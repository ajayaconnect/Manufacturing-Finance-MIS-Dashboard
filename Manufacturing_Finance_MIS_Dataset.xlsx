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aya\Downloads\"/>
    </mc:Choice>
  </mc:AlternateContent>
  <xr:revisionPtr revIDLastSave="0" documentId="13_ncr:1_{D759D56B-A159-42A6-BF21-6FEC666A5B69}" xr6:coauthVersionLast="47" xr6:coauthVersionMax="47" xr10:uidLastSave="{00000000-0000-0000-0000-000000000000}"/>
  <bookViews>
    <workbookView xWindow="-108" yWindow="-108" windowWidth="23256" windowHeight="12456" firstSheet="9" activeTab="16" xr2:uid="{00000000-000D-0000-FFFF-FFFF00000000}"/>
  </bookViews>
  <sheets>
    <sheet name="Sales_Data" sheetId="1" r:id="rId1"/>
    <sheet name="MIS_Calculation" sheetId="8" r:id="rId2"/>
    <sheet name="P&amp;L_Statement" sheetId="9" r:id="rId3"/>
    <sheet name="Balance_Sheet" sheetId="10" r:id="rId4"/>
    <sheet name="Budget_Analysis" sheetId="11" r:id="rId5"/>
    <sheet name="Cash_Flow" sheetId="12" r:id="rId6"/>
    <sheet name="Production_Cost" sheetId="2" r:id="rId7"/>
    <sheet name="Sheet10" sheetId="17" r:id="rId8"/>
    <sheet name="Expense_Data" sheetId="3" r:id="rId9"/>
    <sheet name="Budget_Data" sheetId="4" r:id="rId10"/>
    <sheet name="Payroll_Data" sheetId="5" r:id="rId11"/>
    <sheet name="Asset_Data" sheetId="6" r:id="rId12"/>
    <sheet name="Inventory_Data" sheetId="7" r:id="rId13"/>
    <sheet name="Chart1" sheetId="21" r:id="rId14"/>
    <sheet name="Chart2" sheetId="22" r:id="rId15"/>
    <sheet name="Chart3" sheetId="23" r:id="rId16"/>
    <sheet name="Dashboard" sheetId="14" r:id="rId17"/>
  </sheets>
  <definedNames>
    <definedName name="_xlcn.WorksheetConnection_Manufacturing_Finance_MIS_Dataset.xlsxtblExpense1" hidden="1">tblExpense[]</definedName>
  </definedNames>
  <calcPr calcId="191029"/>
  <pivotCaches>
    <pivotCache cacheId="63" r:id="rId18"/>
    <pivotCache cacheId="21" r:id="rId19"/>
    <pivotCache cacheId="82" r:id="rId20"/>
    <pivotCache cacheId="85" r:id="rId21"/>
    <pivotCache cacheId="103" r:id="rId22"/>
  </pivotCaches>
  <extLst>
    <ext xmlns:x15="http://schemas.microsoft.com/office/spreadsheetml/2010/11/main" uri="{FCE2AD5D-F65C-4FA6-A056-5C36A1767C68}">
      <x15:dataModel>
        <x15:modelTables>
          <x15:modelTable id="tblExpense" name="tblExpense" connection="WorksheetConnection_Manufacturing_Finance_MIS_Dataset.xlsx!tblExpens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7" l="1"/>
  <c r="J5" i="17"/>
  <c r="J6" i="17"/>
  <c r="J7" i="17"/>
  <c r="J8" i="17"/>
  <c r="J9" i="17"/>
  <c r="J10" i="17"/>
  <c r="J11" i="17"/>
  <c r="J12" i="17"/>
  <c r="J13" i="17"/>
  <c r="J14" i="17"/>
  <c r="J15" i="17"/>
  <c r="J3" i="17"/>
  <c r="I4" i="17"/>
  <c r="I5" i="17"/>
  <c r="I6" i="17"/>
  <c r="I7" i="17"/>
  <c r="I8" i="17"/>
  <c r="I9" i="17"/>
  <c r="I10" i="17"/>
  <c r="I11" i="17"/>
  <c r="I12" i="17"/>
  <c r="I13" i="17"/>
  <c r="I14" i="17"/>
  <c r="I15" i="17"/>
  <c r="I3" i="17"/>
  <c r="H4" i="17"/>
  <c r="H5" i="17"/>
  <c r="H6" i="17"/>
  <c r="H7" i="17"/>
  <c r="H8" i="17"/>
  <c r="H9" i="17"/>
  <c r="H10" i="17"/>
  <c r="H11" i="17"/>
  <c r="H12" i="17"/>
  <c r="H13" i="17"/>
  <c r="H14" i="17"/>
  <c r="H15" i="17"/>
  <c r="H3" i="17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F885" i="3"/>
  <c r="F91" i="3"/>
  <c r="F1106" i="3"/>
  <c r="F272" i="3"/>
  <c r="F686" i="3"/>
  <c r="F886" i="3"/>
  <c r="F788" i="3"/>
  <c r="F183" i="3"/>
  <c r="F1107" i="3"/>
  <c r="F990" i="3"/>
  <c r="F991" i="3"/>
  <c r="F92" i="3"/>
  <c r="F472" i="3"/>
  <c r="F358" i="3"/>
  <c r="F184" i="3"/>
  <c r="F359" i="3"/>
  <c r="F2" i="3"/>
  <c r="F185" i="3"/>
  <c r="F887" i="3"/>
  <c r="F888" i="3"/>
  <c r="F93" i="3"/>
  <c r="F889" i="3"/>
  <c r="F582" i="3"/>
  <c r="F992" i="3"/>
  <c r="F687" i="3"/>
  <c r="F3" i="3"/>
  <c r="F993" i="3"/>
  <c r="F994" i="3"/>
  <c r="F688" i="3"/>
  <c r="F789" i="3"/>
  <c r="F890" i="3"/>
  <c r="F583" i="3"/>
  <c r="F473" i="3"/>
  <c r="F584" i="3"/>
  <c r="F995" i="3"/>
  <c r="F689" i="3"/>
  <c r="F996" i="3"/>
  <c r="F1108" i="3"/>
  <c r="F186" i="3"/>
  <c r="F474" i="3"/>
  <c r="F790" i="3"/>
  <c r="F360" i="3"/>
  <c r="F4" i="3"/>
  <c r="F361" i="3"/>
  <c r="F891" i="3"/>
  <c r="F273" i="3"/>
  <c r="F187" i="3"/>
  <c r="F791" i="3"/>
  <c r="F1109" i="3"/>
  <c r="F892" i="3"/>
  <c r="F475" i="3"/>
  <c r="F362" i="3"/>
  <c r="F792" i="3"/>
  <c r="F690" i="3"/>
  <c r="F585" i="3"/>
  <c r="F5" i="3"/>
  <c r="F586" i="3"/>
  <c r="F94" i="3"/>
  <c r="F893" i="3"/>
  <c r="F363" i="3"/>
  <c r="F95" i="3"/>
  <c r="F476" i="3"/>
  <c r="F6" i="3"/>
  <c r="F587" i="3"/>
  <c r="F894" i="3"/>
  <c r="F364" i="3"/>
  <c r="F7" i="3"/>
  <c r="F691" i="3"/>
  <c r="F692" i="3"/>
  <c r="F188" i="3"/>
  <c r="F477" i="3"/>
  <c r="F1110" i="3"/>
  <c r="F1111" i="3"/>
  <c r="F997" i="3"/>
  <c r="F793" i="3"/>
  <c r="F693" i="3"/>
  <c r="F96" i="3"/>
  <c r="F794" i="3"/>
  <c r="F365" i="3"/>
  <c r="F274" i="3"/>
  <c r="F366" i="3"/>
  <c r="F694" i="3"/>
  <c r="F367" i="3"/>
  <c r="F8" i="3"/>
  <c r="F895" i="3"/>
  <c r="F275" i="3"/>
  <c r="F189" i="3"/>
  <c r="F795" i="3"/>
  <c r="F998" i="3"/>
  <c r="F1112" i="3"/>
  <c r="F796" i="3"/>
  <c r="F190" i="3"/>
  <c r="F588" i="3"/>
  <c r="F695" i="3"/>
  <c r="F478" i="3"/>
  <c r="F999" i="3"/>
  <c r="F696" i="3"/>
  <c r="F276" i="3"/>
  <c r="F277" i="3"/>
  <c r="F191" i="3"/>
  <c r="F9" i="3"/>
  <c r="F10" i="3"/>
  <c r="F697" i="3"/>
  <c r="F1000" i="3"/>
  <c r="F11" i="3"/>
  <c r="F97" i="3"/>
  <c r="F896" i="3"/>
  <c r="F797" i="3"/>
  <c r="F192" i="3"/>
  <c r="F278" i="3"/>
  <c r="F368" i="3"/>
  <c r="F698" i="3"/>
  <c r="F699" i="3"/>
  <c r="F897" i="3"/>
  <c r="F1001" i="3"/>
  <c r="F98" i="3"/>
  <c r="F369" i="3"/>
  <c r="F370" i="3"/>
  <c r="F1113" i="3"/>
  <c r="F1002" i="3"/>
  <c r="F371" i="3"/>
  <c r="F1003" i="3"/>
  <c r="F898" i="3"/>
  <c r="F700" i="3"/>
  <c r="F279" i="3"/>
  <c r="F372" i="3"/>
  <c r="F701" i="3"/>
  <c r="F1114" i="3"/>
  <c r="F1115" i="3"/>
  <c r="F702" i="3"/>
  <c r="F12" i="3"/>
  <c r="F1116" i="3"/>
  <c r="F99" i="3"/>
  <c r="F798" i="3"/>
  <c r="F100" i="3"/>
  <c r="F1004" i="3"/>
  <c r="F899" i="3"/>
  <c r="F799" i="3"/>
  <c r="F13" i="3"/>
  <c r="F900" i="3"/>
  <c r="F800" i="3"/>
  <c r="F193" i="3"/>
  <c r="F373" i="3"/>
  <c r="F479" i="3"/>
  <c r="F703" i="3"/>
  <c r="F801" i="3"/>
  <c r="F802" i="3"/>
  <c r="F704" i="3"/>
  <c r="F280" i="3"/>
  <c r="F589" i="3"/>
  <c r="F1005" i="3"/>
  <c r="F1006" i="3"/>
  <c r="F281" i="3"/>
  <c r="F480" i="3"/>
  <c r="F590" i="3"/>
  <c r="F14" i="3"/>
  <c r="F591" i="3"/>
  <c r="F101" i="3"/>
  <c r="F592" i="3"/>
  <c r="F1117" i="3"/>
  <c r="F901" i="3"/>
  <c r="F15" i="3"/>
  <c r="F16" i="3"/>
  <c r="F194" i="3"/>
  <c r="F282" i="3"/>
  <c r="F102" i="3"/>
  <c r="F593" i="3"/>
  <c r="F705" i="3"/>
  <c r="F17" i="3"/>
  <c r="F1118" i="3"/>
  <c r="F283" i="3"/>
  <c r="F284" i="3"/>
  <c r="F481" i="3"/>
  <c r="F482" i="3"/>
  <c r="F103" i="3"/>
  <c r="F483" i="3"/>
  <c r="F484" i="3"/>
  <c r="F285" i="3"/>
  <c r="F286" i="3"/>
  <c r="F195" i="3"/>
  <c r="F902" i="3"/>
  <c r="F104" i="3"/>
  <c r="F1119" i="3"/>
  <c r="F374" i="3"/>
  <c r="F287" i="3"/>
  <c r="F105" i="3"/>
  <c r="F288" i="3"/>
  <c r="F18" i="3"/>
  <c r="F706" i="3"/>
  <c r="F289" i="3"/>
  <c r="F375" i="3"/>
  <c r="F803" i="3"/>
  <c r="F376" i="3"/>
  <c r="F290" i="3"/>
  <c r="F804" i="3"/>
  <c r="F1007" i="3"/>
  <c r="F805" i="3"/>
  <c r="F106" i="3"/>
  <c r="F19" i="3"/>
  <c r="F485" i="3"/>
  <c r="F107" i="3"/>
  <c r="F806" i="3"/>
  <c r="F707" i="3"/>
  <c r="F377" i="3"/>
  <c r="F708" i="3"/>
  <c r="F807" i="3"/>
  <c r="F486" i="3"/>
  <c r="F378" i="3"/>
  <c r="F1008" i="3"/>
  <c r="F487" i="3"/>
  <c r="F1120" i="3"/>
  <c r="F709" i="3"/>
  <c r="F1121" i="3"/>
  <c r="F903" i="3"/>
  <c r="F904" i="3"/>
  <c r="F1009" i="3"/>
  <c r="F379" i="3"/>
  <c r="F488" i="3"/>
  <c r="F380" i="3"/>
  <c r="F381" i="3"/>
  <c r="F20" i="3"/>
  <c r="F489" i="3"/>
  <c r="F382" i="3"/>
  <c r="F594" i="3"/>
  <c r="F490" i="3"/>
  <c r="F1122" i="3"/>
  <c r="F1123" i="3"/>
  <c r="F491" i="3"/>
  <c r="F1010" i="3"/>
  <c r="F196" i="3"/>
  <c r="F21" i="3"/>
  <c r="F1124" i="3"/>
  <c r="F710" i="3"/>
  <c r="F22" i="3"/>
  <c r="F492" i="3"/>
  <c r="F291" i="3"/>
  <c r="F905" i="3"/>
  <c r="F808" i="3"/>
  <c r="F809" i="3"/>
  <c r="F595" i="3"/>
  <c r="F810" i="3"/>
  <c r="F906" i="3"/>
  <c r="F811" i="3"/>
  <c r="F596" i="3"/>
  <c r="F292" i="3"/>
  <c r="F597" i="3"/>
  <c r="F197" i="3"/>
  <c r="F108" i="3"/>
  <c r="F907" i="3"/>
  <c r="F23" i="3"/>
  <c r="F598" i="3"/>
  <c r="F24" i="3"/>
  <c r="F493" i="3"/>
  <c r="F812" i="3"/>
  <c r="F198" i="3"/>
  <c r="F494" i="3"/>
  <c r="F711" i="3"/>
  <c r="F1125" i="3"/>
  <c r="F908" i="3"/>
  <c r="F1011" i="3"/>
  <c r="F293" i="3"/>
  <c r="F599" i="3"/>
  <c r="F1012" i="3"/>
  <c r="F294" i="3"/>
  <c r="F199" i="3"/>
  <c r="F813" i="3"/>
  <c r="F1126" i="3"/>
  <c r="F814" i="3"/>
  <c r="F383" i="3"/>
  <c r="F600" i="3"/>
  <c r="F200" i="3"/>
  <c r="F1127" i="3"/>
  <c r="F909" i="3"/>
  <c r="F25" i="3"/>
  <c r="F201" i="3"/>
  <c r="F910" i="3"/>
  <c r="F109" i="3"/>
  <c r="F1013" i="3"/>
  <c r="F815" i="3"/>
  <c r="F495" i="3"/>
  <c r="F1014" i="3"/>
  <c r="F816" i="3"/>
  <c r="F202" i="3"/>
  <c r="F1015" i="3"/>
  <c r="F26" i="3"/>
  <c r="F295" i="3"/>
  <c r="F1128" i="3"/>
  <c r="F1129" i="3"/>
  <c r="F496" i="3"/>
  <c r="F712" i="3"/>
  <c r="F911" i="3"/>
  <c r="F1130" i="3"/>
  <c r="F203" i="3"/>
  <c r="F497" i="3"/>
  <c r="F110" i="3"/>
  <c r="F713" i="3"/>
  <c r="F1016" i="3"/>
  <c r="F27" i="3"/>
  <c r="F912" i="3"/>
  <c r="F111" i="3"/>
  <c r="F384" i="3"/>
  <c r="F817" i="3"/>
  <c r="F818" i="3"/>
  <c r="F385" i="3"/>
  <c r="F386" i="3"/>
  <c r="F112" i="3"/>
  <c r="F1131" i="3"/>
  <c r="F1017" i="3"/>
  <c r="F1132" i="3"/>
  <c r="F113" i="3"/>
  <c r="F913" i="3"/>
  <c r="F387" i="3"/>
  <c r="F819" i="3"/>
  <c r="F1018" i="3"/>
  <c r="F388" i="3"/>
  <c r="F28" i="3"/>
  <c r="F820" i="3"/>
  <c r="F601" i="3"/>
  <c r="F914" i="3"/>
  <c r="F389" i="3"/>
  <c r="F1019" i="3"/>
  <c r="F114" i="3"/>
  <c r="F915" i="3"/>
  <c r="F714" i="3"/>
  <c r="F498" i="3"/>
  <c r="F602" i="3"/>
  <c r="F29" i="3"/>
  <c r="F30" i="3"/>
  <c r="F821" i="3"/>
  <c r="F499" i="3"/>
  <c r="F916" i="3"/>
  <c r="F1020" i="3"/>
  <c r="F603" i="3"/>
  <c r="F500" i="3"/>
  <c r="F1021" i="3"/>
  <c r="F604" i="3"/>
  <c r="F605" i="3"/>
  <c r="F1022" i="3"/>
  <c r="F822" i="3"/>
  <c r="F1023" i="3"/>
  <c r="F715" i="3"/>
  <c r="F390" i="3"/>
  <c r="F115" i="3"/>
  <c r="F116" i="3"/>
  <c r="F917" i="3"/>
  <c r="F1024" i="3"/>
  <c r="F391" i="3"/>
  <c r="F204" i="3"/>
  <c r="F823" i="3"/>
  <c r="F31" i="3"/>
  <c r="F1025" i="3"/>
  <c r="F205" i="3"/>
  <c r="F501" i="3"/>
  <c r="F32" i="3"/>
  <c r="F296" i="3"/>
  <c r="F716" i="3"/>
  <c r="F502" i="3"/>
  <c r="F503" i="3"/>
  <c r="F1133" i="3"/>
  <c r="F606" i="3"/>
  <c r="F297" i="3"/>
  <c r="F824" i="3"/>
  <c r="F1134" i="3"/>
  <c r="F33" i="3"/>
  <c r="F717" i="3"/>
  <c r="F718" i="3"/>
  <c r="F719" i="3"/>
  <c r="F607" i="3"/>
  <c r="F504" i="3"/>
  <c r="F206" i="3"/>
  <c r="F207" i="3"/>
  <c r="F918" i="3"/>
  <c r="F1026" i="3"/>
  <c r="F825" i="3"/>
  <c r="F505" i="3"/>
  <c r="F117" i="3"/>
  <c r="F118" i="3"/>
  <c r="F392" i="3"/>
  <c r="F506" i="3"/>
  <c r="F298" i="3"/>
  <c r="F608" i="3"/>
  <c r="F919" i="3"/>
  <c r="F826" i="3"/>
  <c r="F1027" i="3"/>
  <c r="F507" i="3"/>
  <c r="F34" i="3"/>
  <c r="F208" i="3"/>
  <c r="F299" i="3"/>
  <c r="F720" i="3"/>
  <c r="F393" i="3"/>
  <c r="F609" i="3"/>
  <c r="F394" i="3"/>
  <c r="F35" i="3"/>
  <c r="F209" i="3"/>
  <c r="F610" i="3"/>
  <c r="F395" i="3"/>
  <c r="F1135" i="3"/>
  <c r="F119" i="3"/>
  <c r="F210" i="3"/>
  <c r="F611" i="3"/>
  <c r="F612" i="3"/>
  <c r="F1028" i="3"/>
  <c r="F508" i="3"/>
  <c r="F211" i="3"/>
  <c r="F120" i="3"/>
  <c r="F396" i="3"/>
  <c r="F1136" i="3"/>
  <c r="F920" i="3"/>
  <c r="F397" i="3"/>
  <c r="F300" i="3"/>
  <c r="F827" i="3"/>
  <c r="F509" i="3"/>
  <c r="F1137" i="3"/>
  <c r="F510" i="3"/>
  <c r="F212" i="3"/>
  <c r="F398" i="3"/>
  <c r="F399" i="3"/>
  <c r="F721" i="3"/>
  <c r="F213" i="3"/>
  <c r="F36" i="3"/>
  <c r="F37" i="3"/>
  <c r="F1138" i="3"/>
  <c r="F1139" i="3"/>
  <c r="F613" i="3"/>
  <c r="F400" i="3"/>
  <c r="F1029" i="3"/>
  <c r="F828" i="3"/>
  <c r="F511" i="3"/>
  <c r="F829" i="3"/>
  <c r="F512" i="3"/>
  <c r="F921" i="3"/>
  <c r="F301" i="3"/>
  <c r="F1030" i="3"/>
  <c r="F121" i="3"/>
  <c r="F722" i="3"/>
  <c r="F1031" i="3"/>
  <c r="F122" i="3"/>
  <c r="F1032" i="3"/>
  <c r="F830" i="3"/>
  <c r="F1033" i="3"/>
  <c r="F214" i="3"/>
  <c r="F401" i="3"/>
  <c r="F1034" i="3"/>
  <c r="F831" i="3"/>
  <c r="F513" i="3"/>
  <c r="F1140" i="3"/>
  <c r="F832" i="3"/>
  <c r="F833" i="3"/>
  <c r="F302" i="3"/>
  <c r="F614" i="3"/>
  <c r="F123" i="3"/>
  <c r="F922" i="3"/>
  <c r="F402" i="3"/>
  <c r="F923" i="3"/>
  <c r="F303" i="3"/>
  <c r="F215" i="3"/>
  <c r="F304" i="3"/>
  <c r="F124" i="3"/>
  <c r="F514" i="3"/>
  <c r="F924" i="3"/>
  <c r="F216" i="3"/>
  <c r="F515" i="3"/>
  <c r="F1035" i="3"/>
  <c r="F403" i="3"/>
  <c r="F925" i="3"/>
  <c r="F615" i="3"/>
  <c r="F125" i="3"/>
  <c r="F723" i="3"/>
  <c r="F305" i="3"/>
  <c r="F834" i="3"/>
  <c r="F724" i="3"/>
  <c r="F516" i="3"/>
  <c r="F1036" i="3"/>
  <c r="F616" i="3"/>
  <c r="F1037" i="3"/>
  <c r="F725" i="3"/>
  <c r="F617" i="3"/>
  <c r="F404" i="3"/>
  <c r="F38" i="3"/>
  <c r="F1038" i="3"/>
  <c r="F1141" i="3"/>
  <c r="F1142" i="3"/>
  <c r="F405" i="3"/>
  <c r="F126" i="3"/>
  <c r="F306" i="3"/>
  <c r="F127" i="3"/>
  <c r="F618" i="3"/>
  <c r="F307" i="3"/>
  <c r="F406" i="3"/>
  <c r="F1039" i="3"/>
  <c r="F128" i="3"/>
  <c r="F926" i="3"/>
  <c r="F835" i="3"/>
  <c r="F836" i="3"/>
  <c r="F217" i="3"/>
  <c r="F308" i="3"/>
  <c r="F407" i="3"/>
  <c r="F408" i="3"/>
  <c r="F726" i="3"/>
  <c r="F39" i="3"/>
  <c r="F1040" i="3"/>
  <c r="F1041" i="3"/>
  <c r="F727" i="3"/>
  <c r="F837" i="3"/>
  <c r="F409" i="3"/>
  <c r="F1042" i="3"/>
  <c r="F517" i="3"/>
  <c r="F728" i="3"/>
  <c r="F410" i="3"/>
  <c r="F927" i="3"/>
  <c r="F729" i="3"/>
  <c r="F730" i="3"/>
  <c r="F411" i="3"/>
  <c r="F518" i="3"/>
  <c r="F1043" i="3"/>
  <c r="F519" i="3"/>
  <c r="F838" i="3"/>
  <c r="F520" i="3"/>
  <c r="F731" i="3"/>
  <c r="F218" i="3"/>
  <c r="F521" i="3"/>
  <c r="F129" i="3"/>
  <c r="F619" i="3"/>
  <c r="F412" i="3"/>
  <c r="F1044" i="3"/>
  <c r="F40" i="3"/>
  <c r="F839" i="3"/>
  <c r="F928" i="3"/>
  <c r="F413" i="3"/>
  <c r="F1143" i="3"/>
  <c r="F929" i="3"/>
  <c r="F930" i="3"/>
  <c r="F219" i="3"/>
  <c r="F931" i="3"/>
  <c r="F1144" i="3"/>
  <c r="F309" i="3"/>
  <c r="F620" i="3"/>
  <c r="F310" i="3"/>
  <c r="F732" i="3"/>
  <c r="F414" i="3"/>
  <c r="F840" i="3"/>
  <c r="F733" i="3"/>
  <c r="F621" i="3"/>
  <c r="F841" i="3"/>
  <c r="F415" i="3"/>
  <c r="F1145" i="3"/>
  <c r="F416" i="3"/>
  <c r="F1146" i="3"/>
  <c r="F130" i="3"/>
  <c r="F842" i="3"/>
  <c r="F622" i="3"/>
  <c r="F311" i="3"/>
  <c r="F1147" i="3"/>
  <c r="F131" i="3"/>
  <c r="F522" i="3"/>
  <c r="F843" i="3"/>
  <c r="F1148" i="3"/>
  <c r="F734" i="3"/>
  <c r="F523" i="3"/>
  <c r="F524" i="3"/>
  <c r="F623" i="3"/>
  <c r="F1149" i="3"/>
  <c r="F1150" i="3"/>
  <c r="F312" i="3"/>
  <c r="F41" i="3"/>
  <c r="F932" i="3"/>
  <c r="F220" i="3"/>
  <c r="F525" i="3"/>
  <c r="F844" i="3"/>
  <c r="F526" i="3"/>
  <c r="F42" i="3"/>
  <c r="F313" i="3"/>
  <c r="F314" i="3"/>
  <c r="F735" i="3"/>
  <c r="F132" i="3"/>
  <c r="F736" i="3"/>
  <c r="F737" i="3"/>
  <c r="F624" i="3"/>
  <c r="F1151" i="3"/>
  <c r="F43" i="3"/>
  <c r="F845" i="3"/>
  <c r="F933" i="3"/>
  <c r="F625" i="3"/>
  <c r="F221" i="3"/>
  <c r="F315" i="3"/>
  <c r="F1045" i="3"/>
  <c r="F1152" i="3"/>
  <c r="F1046" i="3"/>
  <c r="F934" i="3"/>
  <c r="F738" i="3"/>
  <c r="F846" i="3"/>
  <c r="F316" i="3"/>
  <c r="F626" i="3"/>
  <c r="F1153" i="3"/>
  <c r="F222" i="3"/>
  <c r="F317" i="3"/>
  <c r="F133" i="3"/>
  <c r="F318" i="3"/>
  <c r="F935" i="3"/>
  <c r="F1047" i="3"/>
  <c r="F739" i="3"/>
  <c r="F417" i="3"/>
  <c r="F627" i="3"/>
  <c r="F418" i="3"/>
  <c r="F628" i="3"/>
  <c r="F847" i="3"/>
  <c r="F936" i="3"/>
  <c r="F937" i="3"/>
  <c r="F223" i="3"/>
  <c r="F938" i="3"/>
  <c r="F44" i="3"/>
  <c r="F1154" i="3"/>
  <c r="F848" i="3"/>
  <c r="F740" i="3"/>
  <c r="F527" i="3"/>
  <c r="F224" i="3"/>
  <c r="F1155" i="3"/>
  <c r="F849" i="3"/>
  <c r="F850" i="3"/>
  <c r="F319" i="3"/>
  <c r="F629" i="3"/>
  <c r="F630" i="3"/>
  <c r="F631" i="3"/>
  <c r="F225" i="3"/>
  <c r="F419" i="3"/>
  <c r="F632" i="3"/>
  <c r="F528" i="3"/>
  <c r="F45" i="3"/>
  <c r="F1156" i="3"/>
  <c r="F1048" i="3"/>
  <c r="F633" i="3"/>
  <c r="F851" i="3"/>
  <c r="F741" i="3"/>
  <c r="F634" i="3"/>
  <c r="F226" i="3"/>
  <c r="F1049" i="3"/>
  <c r="F1050" i="3"/>
  <c r="F46" i="3"/>
  <c r="F47" i="3"/>
  <c r="F939" i="3"/>
  <c r="F1051" i="3"/>
  <c r="F635" i="3"/>
  <c r="F636" i="3"/>
  <c r="F1052" i="3"/>
  <c r="F1053" i="3"/>
  <c r="F940" i="3"/>
  <c r="F227" i="3"/>
  <c r="F1157" i="3"/>
  <c r="F1158" i="3"/>
  <c r="F1054" i="3"/>
  <c r="F1055" i="3"/>
  <c r="F852" i="3"/>
  <c r="F134" i="3"/>
  <c r="F1159" i="3"/>
  <c r="F941" i="3"/>
  <c r="F742" i="3"/>
  <c r="F228" i="3"/>
  <c r="F743" i="3"/>
  <c r="F1056" i="3"/>
  <c r="F853" i="3"/>
  <c r="F320" i="3"/>
  <c r="F637" i="3"/>
  <c r="F229" i="3"/>
  <c r="F744" i="3"/>
  <c r="F638" i="3"/>
  <c r="F1057" i="3"/>
  <c r="F639" i="3"/>
  <c r="F230" i="3"/>
  <c r="F942" i="3"/>
  <c r="F420" i="3"/>
  <c r="F943" i="3"/>
  <c r="F231" i="3"/>
  <c r="F745" i="3"/>
  <c r="F48" i="3"/>
  <c r="F529" i="3"/>
  <c r="F421" i="3"/>
  <c r="F422" i="3"/>
  <c r="F944" i="3"/>
  <c r="F1160" i="3"/>
  <c r="F135" i="3"/>
  <c r="F640" i="3"/>
  <c r="F423" i="3"/>
  <c r="F641" i="3"/>
  <c r="F424" i="3"/>
  <c r="F49" i="3"/>
  <c r="F425" i="3"/>
  <c r="F426" i="3"/>
  <c r="F50" i="3"/>
  <c r="F530" i="3"/>
  <c r="F136" i="3"/>
  <c r="F137" i="3"/>
  <c r="F1161" i="3"/>
  <c r="F1162" i="3"/>
  <c r="F746" i="3"/>
  <c r="F531" i="3"/>
  <c r="F532" i="3"/>
  <c r="F945" i="3"/>
  <c r="F747" i="3"/>
  <c r="F138" i="3"/>
  <c r="F748" i="3"/>
  <c r="F749" i="3"/>
  <c r="F946" i="3"/>
  <c r="F321" i="3"/>
  <c r="F642" i="3"/>
  <c r="F1163" i="3"/>
  <c r="F750" i="3"/>
  <c r="F1058" i="3"/>
  <c r="F1164" i="3"/>
  <c r="F1059" i="3"/>
  <c r="F322" i="3"/>
  <c r="F427" i="3"/>
  <c r="F1165" i="3"/>
  <c r="F51" i="3"/>
  <c r="F323" i="3"/>
  <c r="F232" i="3"/>
  <c r="F1060" i="3"/>
  <c r="F643" i="3"/>
  <c r="F1166" i="3"/>
  <c r="F533" i="3"/>
  <c r="F751" i="3"/>
  <c r="F324" i="3"/>
  <c r="F752" i="3"/>
  <c r="F428" i="3"/>
  <c r="F429" i="3"/>
  <c r="F430" i="3"/>
  <c r="F52" i="3"/>
  <c r="F534" i="3"/>
  <c r="F325" i="3"/>
  <c r="F139" i="3"/>
  <c r="F326" i="3"/>
  <c r="F535" i="3"/>
  <c r="F536" i="3"/>
  <c r="F140" i="3"/>
  <c r="F854" i="3"/>
  <c r="F1167" i="3"/>
  <c r="F855" i="3"/>
  <c r="F537" i="3"/>
  <c r="F644" i="3"/>
  <c r="F53" i="3"/>
  <c r="F538" i="3"/>
  <c r="F1061" i="3"/>
  <c r="F947" i="3"/>
  <c r="F645" i="3"/>
  <c r="F948" i="3"/>
  <c r="F431" i="3"/>
  <c r="F949" i="3"/>
  <c r="F856" i="3"/>
  <c r="F141" i="3"/>
  <c r="F233" i="3"/>
  <c r="F234" i="3"/>
  <c r="F327" i="3"/>
  <c r="F1062" i="3"/>
  <c r="F539" i="3"/>
  <c r="F1063" i="3"/>
  <c r="F328" i="3"/>
  <c r="F1168" i="3"/>
  <c r="F432" i="3"/>
  <c r="F753" i="3"/>
  <c r="F1169" i="3"/>
  <c r="F950" i="3"/>
  <c r="F1170" i="3"/>
  <c r="F857" i="3"/>
  <c r="F142" i="3"/>
  <c r="F235" i="3"/>
  <c r="F329" i="3"/>
  <c r="F330" i="3"/>
  <c r="F858" i="3"/>
  <c r="F754" i="3"/>
  <c r="F433" i="3"/>
  <c r="F1064" i="3"/>
  <c r="F646" i="3"/>
  <c r="F540" i="3"/>
  <c r="F434" i="3"/>
  <c r="F951" i="3"/>
  <c r="F952" i="3"/>
  <c r="F755" i="3"/>
  <c r="F236" i="3"/>
  <c r="F143" i="3"/>
  <c r="F1065" i="3"/>
  <c r="F1066" i="3"/>
  <c r="F237" i="3"/>
  <c r="F541" i="3"/>
  <c r="F953" i="3"/>
  <c r="F1067" i="3"/>
  <c r="F144" i="3"/>
  <c r="F1068" i="3"/>
  <c r="F145" i="3"/>
  <c r="F954" i="3"/>
  <c r="F647" i="3"/>
  <c r="F648" i="3"/>
  <c r="F756" i="3"/>
  <c r="F435" i="3"/>
  <c r="F238" i="3"/>
  <c r="F54" i="3"/>
  <c r="F859" i="3"/>
  <c r="F1069" i="3"/>
  <c r="F55" i="3"/>
  <c r="F56" i="3"/>
  <c r="F542" i="3"/>
  <c r="F543" i="3"/>
  <c r="F146" i="3"/>
  <c r="F544" i="3"/>
  <c r="F57" i="3"/>
  <c r="F955" i="3"/>
  <c r="F436" i="3"/>
  <c r="F649" i="3"/>
  <c r="F147" i="3"/>
  <c r="F1070" i="3"/>
  <c r="F331" i="3"/>
  <c r="F148" i="3"/>
  <c r="F757" i="3"/>
  <c r="F239" i="3"/>
  <c r="F758" i="3"/>
  <c r="F545" i="3"/>
  <c r="F58" i="3"/>
  <c r="F59" i="3"/>
  <c r="F650" i="3"/>
  <c r="F651" i="3"/>
  <c r="F240" i="3"/>
  <c r="F60" i="3"/>
  <c r="F1071" i="3"/>
  <c r="F759" i="3"/>
  <c r="F652" i="3"/>
  <c r="F1171" i="3"/>
  <c r="F61" i="3"/>
  <c r="F546" i="3"/>
  <c r="F332" i="3"/>
  <c r="F241" i="3"/>
  <c r="F437" i="3"/>
  <c r="F956" i="3"/>
  <c r="F438" i="3"/>
  <c r="F957" i="3"/>
  <c r="F149" i="3"/>
  <c r="F860" i="3"/>
  <c r="F62" i="3"/>
  <c r="F958" i="3"/>
  <c r="F1172" i="3"/>
  <c r="F547" i="3"/>
  <c r="F653" i="3"/>
  <c r="F1173" i="3"/>
  <c r="F959" i="3"/>
  <c r="F439" i="3"/>
  <c r="F548" i="3"/>
  <c r="F242" i="3"/>
  <c r="F440" i="3"/>
  <c r="F243" i="3"/>
  <c r="F1174" i="3"/>
  <c r="F333" i="3"/>
  <c r="F334" i="3"/>
  <c r="F150" i="3"/>
  <c r="F63" i="3"/>
  <c r="F244" i="3"/>
  <c r="F760" i="3"/>
  <c r="F549" i="3"/>
  <c r="F1072" i="3"/>
  <c r="F861" i="3"/>
  <c r="F654" i="3"/>
  <c r="F151" i="3"/>
  <c r="F1175" i="3"/>
  <c r="F1073" i="3"/>
  <c r="F655" i="3"/>
  <c r="F245" i="3"/>
  <c r="F761" i="3"/>
  <c r="F152" i="3"/>
  <c r="F1176" i="3"/>
  <c r="F1074" i="3"/>
  <c r="F1075" i="3"/>
  <c r="F960" i="3"/>
  <c r="F1076" i="3"/>
  <c r="F1077" i="3"/>
  <c r="F762" i="3"/>
  <c r="F1177" i="3"/>
  <c r="F335" i="3"/>
  <c r="F441" i="3"/>
  <c r="F1078" i="3"/>
  <c r="F862" i="3"/>
  <c r="F863" i="3"/>
  <c r="F336" i="3"/>
  <c r="F550" i="3"/>
  <c r="F551" i="3"/>
  <c r="F1079" i="3"/>
  <c r="F961" i="3"/>
  <c r="F552" i="3"/>
  <c r="F64" i="3"/>
  <c r="F763" i="3"/>
  <c r="F764" i="3"/>
  <c r="F765" i="3"/>
  <c r="F1178" i="3"/>
  <c r="F337" i="3"/>
  <c r="F553" i="3"/>
  <c r="F442" i="3"/>
  <c r="F1080" i="3"/>
  <c r="F554" i="3"/>
  <c r="F246" i="3"/>
  <c r="F766" i="3"/>
  <c r="F153" i="3"/>
  <c r="F1179" i="3"/>
  <c r="F1180" i="3"/>
  <c r="F247" i="3"/>
  <c r="F864" i="3"/>
  <c r="F443" i="3"/>
  <c r="F1181" i="3"/>
  <c r="F444" i="3"/>
  <c r="F154" i="3"/>
  <c r="F248" i="3"/>
  <c r="F1081" i="3"/>
  <c r="F445" i="3"/>
  <c r="F446" i="3"/>
  <c r="F1182" i="3"/>
  <c r="F1082" i="3"/>
  <c r="F447" i="3"/>
  <c r="F448" i="3"/>
  <c r="F249" i="3"/>
  <c r="F1083" i="3"/>
  <c r="F338" i="3"/>
  <c r="F656" i="3"/>
  <c r="F250" i="3"/>
  <c r="F1084" i="3"/>
  <c r="F555" i="3"/>
  <c r="F767" i="3"/>
  <c r="F1085" i="3"/>
  <c r="F1183" i="3"/>
  <c r="F657" i="3"/>
  <c r="F155" i="3"/>
  <c r="F251" i="3"/>
  <c r="F658" i="3"/>
  <c r="F449" i="3"/>
  <c r="F450" i="3"/>
  <c r="F556" i="3"/>
  <c r="F659" i="3"/>
  <c r="F660" i="3"/>
  <c r="F865" i="3"/>
  <c r="F866" i="3"/>
  <c r="F962" i="3"/>
  <c r="F963" i="3"/>
  <c r="F1184" i="3"/>
  <c r="F1185" i="3"/>
  <c r="F339" i="3"/>
  <c r="F65" i="3"/>
  <c r="F252" i="3"/>
  <c r="F156" i="3"/>
  <c r="F867" i="3"/>
  <c r="F1186" i="3"/>
  <c r="F1187" i="3"/>
  <c r="F661" i="3"/>
  <c r="F66" i="3"/>
  <c r="F768" i="3"/>
  <c r="F964" i="3"/>
  <c r="F662" i="3"/>
  <c r="F340" i="3"/>
  <c r="F868" i="3"/>
  <c r="F1086" i="3"/>
  <c r="F157" i="3"/>
  <c r="F769" i="3"/>
  <c r="F965" i="3"/>
  <c r="F1087" i="3"/>
  <c r="F341" i="3"/>
  <c r="F451" i="3"/>
  <c r="F1088" i="3"/>
  <c r="F663" i="3"/>
  <c r="F1188" i="3"/>
  <c r="F770" i="3"/>
  <c r="F869" i="3"/>
  <c r="F557" i="3"/>
  <c r="F67" i="3"/>
  <c r="F1189" i="3"/>
  <c r="F452" i="3"/>
  <c r="F68" i="3"/>
  <c r="F558" i="3"/>
  <c r="F1190" i="3"/>
  <c r="F253" i="3"/>
  <c r="F69" i="3"/>
  <c r="F158" i="3"/>
  <c r="F453" i="3"/>
  <c r="F70" i="3"/>
  <c r="F559" i="3"/>
  <c r="F870" i="3"/>
  <c r="F159" i="3"/>
  <c r="F254" i="3"/>
  <c r="F71" i="3"/>
  <c r="F560" i="3"/>
  <c r="F160" i="3"/>
  <c r="F342" i="3"/>
  <c r="F664" i="3"/>
  <c r="F72" i="3"/>
  <c r="F771" i="3"/>
  <c r="F73" i="3"/>
  <c r="F772" i="3"/>
  <c r="F161" i="3"/>
  <c r="F1089" i="3"/>
  <c r="F454" i="3"/>
  <c r="F343" i="3"/>
  <c r="F74" i="3"/>
  <c r="F75" i="3"/>
  <c r="F871" i="3"/>
  <c r="F76" i="3"/>
  <c r="F966" i="3"/>
  <c r="F561" i="3"/>
  <c r="F773" i="3"/>
  <c r="F1191" i="3"/>
  <c r="F967" i="3"/>
  <c r="F665" i="3"/>
  <c r="F77" i="3"/>
  <c r="F162" i="3"/>
  <c r="F344" i="3"/>
  <c r="F968" i="3"/>
  <c r="F1090" i="3"/>
  <c r="F666" i="3"/>
  <c r="F667" i="3"/>
  <c r="F1091" i="3"/>
  <c r="F969" i="3"/>
  <c r="F1092" i="3"/>
  <c r="F163" i="3"/>
  <c r="F872" i="3"/>
  <c r="F774" i="3"/>
  <c r="F455" i="3"/>
  <c r="F668" i="3"/>
  <c r="F1093" i="3"/>
  <c r="F669" i="3"/>
  <c r="F562" i="3"/>
  <c r="F670" i="3"/>
  <c r="F1192" i="3"/>
  <c r="F671" i="3"/>
  <c r="F1094" i="3"/>
  <c r="F164" i="3"/>
  <c r="F255" i="3"/>
  <c r="F775" i="3"/>
  <c r="F1095" i="3"/>
  <c r="F873" i="3"/>
  <c r="F874" i="3"/>
  <c r="F970" i="3"/>
  <c r="F256" i="3"/>
  <c r="F1193" i="3"/>
  <c r="F456" i="3"/>
  <c r="F78" i="3"/>
  <c r="F1096" i="3"/>
  <c r="F971" i="3"/>
  <c r="F1097" i="3"/>
  <c r="F672" i="3"/>
  <c r="F457" i="3"/>
  <c r="F79" i="3"/>
  <c r="F563" i="3"/>
  <c r="F1194" i="3"/>
  <c r="F80" i="3"/>
  <c r="F972" i="3"/>
  <c r="F776" i="3"/>
  <c r="F257" i="3"/>
  <c r="F564" i="3"/>
  <c r="F165" i="3"/>
  <c r="F673" i="3"/>
  <c r="F565" i="3"/>
  <c r="F81" i="3"/>
  <c r="F1098" i="3"/>
  <c r="F777" i="3"/>
  <c r="F258" i="3"/>
  <c r="F166" i="3"/>
  <c r="F458" i="3"/>
  <c r="F259" i="3"/>
  <c r="F345" i="3"/>
  <c r="F1195" i="3"/>
  <c r="F459" i="3"/>
  <c r="F1099" i="3"/>
  <c r="F973" i="3"/>
  <c r="F1100" i="3"/>
  <c r="F778" i="3"/>
  <c r="F974" i="3"/>
  <c r="F975" i="3"/>
  <c r="F167" i="3"/>
  <c r="F875" i="3"/>
  <c r="F876" i="3"/>
  <c r="F1196" i="3"/>
  <c r="F82" i="3"/>
  <c r="F460" i="3"/>
  <c r="F461" i="3"/>
  <c r="F1101" i="3"/>
  <c r="F346" i="3"/>
  <c r="F347" i="3"/>
  <c r="F83" i="3"/>
  <c r="F260" i="3"/>
  <c r="F84" i="3"/>
  <c r="F779" i="3"/>
  <c r="F674" i="3"/>
  <c r="F566" i="3"/>
  <c r="F675" i="3"/>
  <c r="F676" i="3"/>
  <c r="F1197" i="3"/>
  <c r="F261" i="3"/>
  <c r="F877" i="3"/>
  <c r="F567" i="3"/>
  <c r="F780" i="3"/>
  <c r="F168" i="3"/>
  <c r="F976" i="3"/>
  <c r="F85" i="3"/>
  <c r="F462" i="3"/>
  <c r="F781" i="3"/>
  <c r="F568" i="3"/>
  <c r="F348" i="3"/>
  <c r="F677" i="3"/>
  <c r="F678" i="3"/>
  <c r="F463" i="3"/>
  <c r="F569" i="3"/>
  <c r="F464" i="3"/>
  <c r="F570" i="3"/>
  <c r="F977" i="3"/>
  <c r="F86" i="3"/>
  <c r="F1102" i="3"/>
  <c r="F169" i="3"/>
  <c r="F170" i="3"/>
  <c r="F978" i="3"/>
  <c r="F171" i="3"/>
  <c r="F782" i="3"/>
  <c r="F465" i="3"/>
  <c r="F87" i="3"/>
  <c r="F571" i="3"/>
  <c r="F349" i="3"/>
  <c r="F979" i="3"/>
  <c r="F1198" i="3"/>
  <c r="F1103" i="3"/>
  <c r="F172" i="3"/>
  <c r="F466" i="3"/>
  <c r="F878" i="3"/>
  <c r="F572" i="3"/>
  <c r="F679" i="3"/>
  <c r="F680" i="3"/>
  <c r="F262" i="3"/>
  <c r="F573" i="3"/>
  <c r="F980" i="3"/>
  <c r="F467" i="3"/>
  <c r="F263" i="3"/>
  <c r="F264" i="3"/>
  <c r="F350" i="3"/>
  <c r="F783" i="3"/>
  <c r="F574" i="3"/>
  <c r="F351" i="3"/>
  <c r="F173" i="3"/>
  <c r="F174" i="3"/>
  <c r="F981" i="3"/>
  <c r="F982" i="3"/>
  <c r="F879" i="3"/>
  <c r="F468" i="3"/>
  <c r="F88" i="3"/>
  <c r="F175" i="3"/>
  <c r="F784" i="3"/>
  <c r="F176" i="3"/>
  <c r="F177" i="3"/>
  <c r="F1199" i="3"/>
  <c r="F265" i="3"/>
  <c r="F880" i="3"/>
  <c r="F469" i="3"/>
  <c r="F352" i="3"/>
  <c r="F266" i="3"/>
  <c r="F881" i="3"/>
  <c r="F575" i="3"/>
  <c r="F178" i="3"/>
  <c r="F681" i="3"/>
  <c r="F470" i="3"/>
  <c r="F576" i="3"/>
  <c r="F577" i="3"/>
  <c r="F179" i="3"/>
  <c r="F1104" i="3"/>
  <c r="F180" i="3"/>
  <c r="F682" i="3"/>
  <c r="F683" i="3"/>
  <c r="F983" i="3"/>
  <c r="F984" i="3"/>
  <c r="F267" i="3"/>
  <c r="F985" i="3"/>
  <c r="F986" i="3"/>
  <c r="F268" i="3"/>
  <c r="F353" i="3"/>
  <c r="F181" i="3"/>
  <c r="F882" i="3"/>
  <c r="F269" i="3"/>
  <c r="F578" i="3"/>
  <c r="F785" i="3"/>
  <c r="F354" i="3"/>
  <c r="F270" i="3"/>
  <c r="F182" i="3"/>
  <c r="F355" i="3"/>
  <c r="F579" i="3"/>
  <c r="F89" i="3"/>
  <c r="F987" i="3"/>
  <c r="F356" i="3"/>
  <c r="F988" i="3"/>
  <c r="F471" i="3"/>
  <c r="F989" i="3"/>
  <c r="F684" i="3"/>
  <c r="F580" i="3"/>
  <c r="F357" i="3"/>
  <c r="F1200" i="3"/>
  <c r="F883" i="3"/>
  <c r="F786" i="3"/>
  <c r="F884" i="3"/>
  <c r="F90" i="3"/>
  <c r="F685" i="3"/>
  <c r="F1201" i="3"/>
  <c r="F271" i="3"/>
  <c r="F581" i="3"/>
  <c r="F1105" i="3"/>
  <c r="F787" i="3"/>
  <c r="E885" i="3"/>
  <c r="E91" i="3"/>
  <c r="E1106" i="3"/>
  <c r="E272" i="3"/>
  <c r="E686" i="3"/>
  <c r="E886" i="3"/>
  <c r="E788" i="3"/>
  <c r="E183" i="3"/>
  <c r="E1107" i="3"/>
  <c r="E990" i="3"/>
  <c r="E991" i="3"/>
  <c r="E92" i="3"/>
  <c r="E472" i="3"/>
  <c r="E358" i="3"/>
  <c r="E184" i="3"/>
  <c r="E359" i="3"/>
  <c r="E2" i="3"/>
  <c r="E185" i="3"/>
  <c r="E887" i="3"/>
  <c r="E888" i="3"/>
  <c r="E93" i="3"/>
  <c r="E889" i="3"/>
  <c r="E582" i="3"/>
  <c r="E992" i="3"/>
  <c r="E687" i="3"/>
  <c r="E3" i="3"/>
  <c r="E993" i="3"/>
  <c r="E994" i="3"/>
  <c r="E688" i="3"/>
  <c r="E789" i="3"/>
  <c r="E890" i="3"/>
  <c r="E583" i="3"/>
  <c r="E473" i="3"/>
  <c r="E584" i="3"/>
  <c r="E995" i="3"/>
  <c r="E689" i="3"/>
  <c r="E996" i="3"/>
  <c r="E1108" i="3"/>
  <c r="E186" i="3"/>
  <c r="E474" i="3"/>
  <c r="E790" i="3"/>
  <c r="E360" i="3"/>
  <c r="E4" i="3"/>
  <c r="E361" i="3"/>
  <c r="E891" i="3"/>
  <c r="E273" i="3"/>
  <c r="E187" i="3"/>
  <c r="E791" i="3"/>
  <c r="E1109" i="3"/>
  <c r="E892" i="3"/>
  <c r="E475" i="3"/>
  <c r="E362" i="3"/>
  <c r="E792" i="3"/>
  <c r="E690" i="3"/>
  <c r="E585" i="3"/>
  <c r="E5" i="3"/>
  <c r="E586" i="3"/>
  <c r="E94" i="3"/>
  <c r="E893" i="3"/>
  <c r="E363" i="3"/>
  <c r="E95" i="3"/>
  <c r="E476" i="3"/>
  <c r="E6" i="3"/>
  <c r="E587" i="3"/>
  <c r="E894" i="3"/>
  <c r="E364" i="3"/>
  <c r="E7" i="3"/>
  <c r="E691" i="3"/>
  <c r="E692" i="3"/>
  <c r="E188" i="3"/>
  <c r="E477" i="3"/>
  <c r="E1110" i="3"/>
  <c r="E1111" i="3"/>
  <c r="E997" i="3"/>
  <c r="E793" i="3"/>
  <c r="E693" i="3"/>
  <c r="E96" i="3"/>
  <c r="E794" i="3"/>
  <c r="E365" i="3"/>
  <c r="E274" i="3"/>
  <c r="E366" i="3"/>
  <c r="E694" i="3"/>
  <c r="E367" i="3"/>
  <c r="E8" i="3"/>
  <c r="E895" i="3"/>
  <c r="E275" i="3"/>
  <c r="E189" i="3"/>
  <c r="E795" i="3"/>
  <c r="E998" i="3"/>
  <c r="E1112" i="3"/>
  <c r="E796" i="3"/>
  <c r="E190" i="3"/>
  <c r="E588" i="3"/>
  <c r="E695" i="3"/>
  <c r="E478" i="3"/>
  <c r="E999" i="3"/>
  <c r="E696" i="3"/>
  <c r="E276" i="3"/>
  <c r="E277" i="3"/>
  <c r="E191" i="3"/>
  <c r="E9" i="3"/>
  <c r="E10" i="3"/>
  <c r="E697" i="3"/>
  <c r="E1000" i="3"/>
  <c r="E11" i="3"/>
  <c r="E97" i="3"/>
  <c r="E896" i="3"/>
  <c r="E797" i="3"/>
  <c r="E192" i="3"/>
  <c r="E278" i="3"/>
  <c r="E368" i="3"/>
  <c r="E698" i="3"/>
  <c r="E699" i="3"/>
  <c r="E897" i="3"/>
  <c r="E1001" i="3"/>
  <c r="E98" i="3"/>
  <c r="E369" i="3"/>
  <c r="E370" i="3"/>
  <c r="E1113" i="3"/>
  <c r="E1002" i="3"/>
  <c r="E371" i="3"/>
  <c r="E1003" i="3"/>
  <c r="E898" i="3"/>
  <c r="E700" i="3"/>
  <c r="E279" i="3"/>
  <c r="E372" i="3"/>
  <c r="E701" i="3"/>
  <c r="E1114" i="3"/>
  <c r="E1115" i="3"/>
  <c r="E702" i="3"/>
  <c r="E12" i="3"/>
  <c r="E1116" i="3"/>
  <c r="E99" i="3"/>
  <c r="E798" i="3"/>
  <c r="E100" i="3"/>
  <c r="E1004" i="3"/>
  <c r="E899" i="3"/>
  <c r="E799" i="3"/>
  <c r="E13" i="3"/>
  <c r="E900" i="3"/>
  <c r="E800" i="3"/>
  <c r="E193" i="3"/>
  <c r="E373" i="3"/>
  <c r="E479" i="3"/>
  <c r="E703" i="3"/>
  <c r="E801" i="3"/>
  <c r="E802" i="3"/>
  <c r="E704" i="3"/>
  <c r="E280" i="3"/>
  <c r="E589" i="3"/>
  <c r="E1005" i="3"/>
  <c r="E1006" i="3"/>
  <c r="E281" i="3"/>
  <c r="E480" i="3"/>
  <c r="E590" i="3"/>
  <c r="E14" i="3"/>
  <c r="E591" i="3"/>
  <c r="E101" i="3"/>
  <c r="E592" i="3"/>
  <c r="E1117" i="3"/>
  <c r="E901" i="3"/>
  <c r="E15" i="3"/>
  <c r="E16" i="3"/>
  <c r="E194" i="3"/>
  <c r="E282" i="3"/>
  <c r="E102" i="3"/>
  <c r="E593" i="3"/>
  <c r="E705" i="3"/>
  <c r="E17" i="3"/>
  <c r="E1118" i="3"/>
  <c r="E283" i="3"/>
  <c r="E284" i="3"/>
  <c r="E481" i="3"/>
  <c r="E482" i="3"/>
  <c r="E103" i="3"/>
  <c r="E483" i="3"/>
  <c r="E484" i="3"/>
  <c r="E285" i="3"/>
  <c r="E286" i="3"/>
  <c r="E195" i="3"/>
  <c r="E902" i="3"/>
  <c r="E104" i="3"/>
  <c r="E1119" i="3"/>
  <c r="E374" i="3"/>
  <c r="E287" i="3"/>
  <c r="E105" i="3"/>
  <c r="E288" i="3"/>
  <c r="E18" i="3"/>
  <c r="E706" i="3"/>
  <c r="E289" i="3"/>
  <c r="E375" i="3"/>
  <c r="E803" i="3"/>
  <c r="E376" i="3"/>
  <c r="E290" i="3"/>
  <c r="E804" i="3"/>
  <c r="E1007" i="3"/>
  <c r="E805" i="3"/>
  <c r="E106" i="3"/>
  <c r="E19" i="3"/>
  <c r="E485" i="3"/>
  <c r="E107" i="3"/>
  <c r="E806" i="3"/>
  <c r="E707" i="3"/>
  <c r="E377" i="3"/>
  <c r="E708" i="3"/>
  <c r="E807" i="3"/>
  <c r="E486" i="3"/>
  <c r="E378" i="3"/>
  <c r="E1008" i="3"/>
  <c r="E487" i="3"/>
  <c r="E1120" i="3"/>
  <c r="E709" i="3"/>
  <c r="E1121" i="3"/>
  <c r="E903" i="3"/>
  <c r="E904" i="3"/>
  <c r="E1009" i="3"/>
  <c r="E379" i="3"/>
  <c r="E488" i="3"/>
  <c r="E380" i="3"/>
  <c r="E381" i="3"/>
  <c r="E20" i="3"/>
  <c r="E489" i="3"/>
  <c r="E382" i="3"/>
  <c r="E594" i="3"/>
  <c r="E490" i="3"/>
  <c r="E1122" i="3"/>
  <c r="E1123" i="3"/>
  <c r="E491" i="3"/>
  <c r="E1010" i="3"/>
  <c r="E196" i="3"/>
  <c r="E21" i="3"/>
  <c r="E1124" i="3"/>
  <c r="E710" i="3"/>
  <c r="E22" i="3"/>
  <c r="E492" i="3"/>
  <c r="E291" i="3"/>
  <c r="E905" i="3"/>
  <c r="E808" i="3"/>
  <c r="E809" i="3"/>
  <c r="E595" i="3"/>
  <c r="E810" i="3"/>
  <c r="E906" i="3"/>
  <c r="E811" i="3"/>
  <c r="E596" i="3"/>
  <c r="E292" i="3"/>
  <c r="E597" i="3"/>
  <c r="E197" i="3"/>
  <c r="E108" i="3"/>
  <c r="E907" i="3"/>
  <c r="E23" i="3"/>
  <c r="E598" i="3"/>
  <c r="E24" i="3"/>
  <c r="E493" i="3"/>
  <c r="E812" i="3"/>
  <c r="E198" i="3"/>
  <c r="E494" i="3"/>
  <c r="E711" i="3"/>
  <c r="E1125" i="3"/>
  <c r="E908" i="3"/>
  <c r="E1011" i="3"/>
  <c r="E293" i="3"/>
  <c r="E599" i="3"/>
  <c r="E1012" i="3"/>
  <c r="E294" i="3"/>
  <c r="E199" i="3"/>
  <c r="E813" i="3"/>
  <c r="E1126" i="3"/>
  <c r="E814" i="3"/>
  <c r="E383" i="3"/>
  <c r="E600" i="3"/>
  <c r="E200" i="3"/>
  <c r="E1127" i="3"/>
  <c r="E909" i="3"/>
  <c r="E25" i="3"/>
  <c r="E201" i="3"/>
  <c r="E910" i="3"/>
  <c r="E109" i="3"/>
  <c r="E1013" i="3"/>
  <c r="E815" i="3"/>
  <c r="E495" i="3"/>
  <c r="E1014" i="3"/>
  <c r="E816" i="3"/>
  <c r="E202" i="3"/>
  <c r="E1015" i="3"/>
  <c r="E26" i="3"/>
  <c r="E295" i="3"/>
  <c r="E1128" i="3"/>
  <c r="E1129" i="3"/>
  <c r="E496" i="3"/>
  <c r="E712" i="3"/>
  <c r="E911" i="3"/>
  <c r="E1130" i="3"/>
  <c r="E203" i="3"/>
  <c r="E497" i="3"/>
  <c r="E110" i="3"/>
  <c r="E713" i="3"/>
  <c r="E1016" i="3"/>
  <c r="E27" i="3"/>
  <c r="E912" i="3"/>
  <c r="E111" i="3"/>
  <c r="E384" i="3"/>
  <c r="E817" i="3"/>
  <c r="E818" i="3"/>
  <c r="E385" i="3"/>
  <c r="E386" i="3"/>
  <c r="E112" i="3"/>
  <c r="E1131" i="3"/>
  <c r="E1017" i="3"/>
  <c r="E1132" i="3"/>
  <c r="E113" i="3"/>
  <c r="E913" i="3"/>
  <c r="E387" i="3"/>
  <c r="E819" i="3"/>
  <c r="E1018" i="3"/>
  <c r="E388" i="3"/>
  <c r="E28" i="3"/>
  <c r="E820" i="3"/>
  <c r="E601" i="3"/>
  <c r="E914" i="3"/>
  <c r="E389" i="3"/>
  <c r="E1019" i="3"/>
  <c r="E114" i="3"/>
  <c r="E915" i="3"/>
  <c r="E714" i="3"/>
  <c r="E498" i="3"/>
  <c r="E602" i="3"/>
  <c r="E29" i="3"/>
  <c r="E30" i="3"/>
  <c r="E821" i="3"/>
  <c r="E499" i="3"/>
  <c r="E916" i="3"/>
  <c r="E1020" i="3"/>
  <c r="E603" i="3"/>
  <c r="E500" i="3"/>
  <c r="E1021" i="3"/>
  <c r="E604" i="3"/>
  <c r="E605" i="3"/>
  <c r="E1022" i="3"/>
  <c r="E822" i="3"/>
  <c r="E1023" i="3"/>
  <c r="E715" i="3"/>
  <c r="E390" i="3"/>
  <c r="E115" i="3"/>
  <c r="E116" i="3"/>
  <c r="E917" i="3"/>
  <c r="E1024" i="3"/>
  <c r="E391" i="3"/>
  <c r="E204" i="3"/>
  <c r="E823" i="3"/>
  <c r="E31" i="3"/>
  <c r="E1025" i="3"/>
  <c r="E205" i="3"/>
  <c r="E501" i="3"/>
  <c r="E32" i="3"/>
  <c r="E296" i="3"/>
  <c r="E716" i="3"/>
  <c r="E502" i="3"/>
  <c r="E503" i="3"/>
  <c r="E1133" i="3"/>
  <c r="E606" i="3"/>
  <c r="E297" i="3"/>
  <c r="E824" i="3"/>
  <c r="E1134" i="3"/>
  <c r="E33" i="3"/>
  <c r="E717" i="3"/>
  <c r="E718" i="3"/>
  <c r="E719" i="3"/>
  <c r="E607" i="3"/>
  <c r="E504" i="3"/>
  <c r="E206" i="3"/>
  <c r="E207" i="3"/>
  <c r="E918" i="3"/>
  <c r="E1026" i="3"/>
  <c r="E825" i="3"/>
  <c r="E505" i="3"/>
  <c r="E117" i="3"/>
  <c r="E118" i="3"/>
  <c r="E392" i="3"/>
  <c r="E506" i="3"/>
  <c r="E298" i="3"/>
  <c r="E608" i="3"/>
  <c r="E919" i="3"/>
  <c r="E826" i="3"/>
  <c r="E1027" i="3"/>
  <c r="E507" i="3"/>
  <c r="E34" i="3"/>
  <c r="E208" i="3"/>
  <c r="E299" i="3"/>
  <c r="E720" i="3"/>
  <c r="E393" i="3"/>
  <c r="E609" i="3"/>
  <c r="E394" i="3"/>
  <c r="E35" i="3"/>
  <c r="E209" i="3"/>
  <c r="E610" i="3"/>
  <c r="E395" i="3"/>
  <c r="E1135" i="3"/>
  <c r="E119" i="3"/>
  <c r="E210" i="3"/>
  <c r="E611" i="3"/>
  <c r="E612" i="3"/>
  <c r="E1028" i="3"/>
  <c r="E508" i="3"/>
  <c r="E211" i="3"/>
  <c r="E120" i="3"/>
  <c r="E396" i="3"/>
  <c r="E1136" i="3"/>
  <c r="E920" i="3"/>
  <c r="E397" i="3"/>
  <c r="E300" i="3"/>
  <c r="E827" i="3"/>
  <c r="E509" i="3"/>
  <c r="E1137" i="3"/>
  <c r="E510" i="3"/>
  <c r="E212" i="3"/>
  <c r="E398" i="3"/>
  <c r="E399" i="3"/>
  <c r="E721" i="3"/>
  <c r="E213" i="3"/>
  <c r="E36" i="3"/>
  <c r="E37" i="3"/>
  <c r="E1138" i="3"/>
  <c r="E1139" i="3"/>
  <c r="E613" i="3"/>
  <c r="E400" i="3"/>
  <c r="E1029" i="3"/>
  <c r="E828" i="3"/>
  <c r="E511" i="3"/>
  <c r="E829" i="3"/>
  <c r="E512" i="3"/>
  <c r="E921" i="3"/>
  <c r="E301" i="3"/>
  <c r="E1030" i="3"/>
  <c r="E121" i="3"/>
  <c r="E722" i="3"/>
  <c r="E1031" i="3"/>
  <c r="E122" i="3"/>
  <c r="E1032" i="3"/>
  <c r="E830" i="3"/>
  <c r="E1033" i="3"/>
  <c r="E214" i="3"/>
  <c r="E401" i="3"/>
  <c r="E1034" i="3"/>
  <c r="E831" i="3"/>
  <c r="E513" i="3"/>
  <c r="E1140" i="3"/>
  <c r="E832" i="3"/>
  <c r="E833" i="3"/>
  <c r="E302" i="3"/>
  <c r="E614" i="3"/>
  <c r="E123" i="3"/>
  <c r="E922" i="3"/>
  <c r="E402" i="3"/>
  <c r="E923" i="3"/>
  <c r="E303" i="3"/>
  <c r="E215" i="3"/>
  <c r="E304" i="3"/>
  <c r="E124" i="3"/>
  <c r="E514" i="3"/>
  <c r="E924" i="3"/>
  <c r="E216" i="3"/>
  <c r="E515" i="3"/>
  <c r="E1035" i="3"/>
  <c r="E403" i="3"/>
  <c r="E925" i="3"/>
  <c r="E615" i="3"/>
  <c r="E125" i="3"/>
  <c r="E723" i="3"/>
  <c r="E305" i="3"/>
  <c r="E834" i="3"/>
  <c r="E724" i="3"/>
  <c r="E516" i="3"/>
  <c r="E1036" i="3"/>
  <c r="E616" i="3"/>
  <c r="E1037" i="3"/>
  <c r="E725" i="3"/>
  <c r="E617" i="3"/>
  <c r="E404" i="3"/>
  <c r="E38" i="3"/>
  <c r="E1038" i="3"/>
  <c r="E1141" i="3"/>
  <c r="E1142" i="3"/>
  <c r="E405" i="3"/>
  <c r="E126" i="3"/>
  <c r="E306" i="3"/>
  <c r="E127" i="3"/>
  <c r="E618" i="3"/>
  <c r="E307" i="3"/>
  <c r="E406" i="3"/>
  <c r="E1039" i="3"/>
  <c r="E128" i="3"/>
  <c r="E926" i="3"/>
  <c r="E835" i="3"/>
  <c r="E836" i="3"/>
  <c r="E217" i="3"/>
  <c r="E308" i="3"/>
  <c r="E407" i="3"/>
  <c r="E408" i="3"/>
  <c r="E726" i="3"/>
  <c r="E39" i="3"/>
  <c r="E1040" i="3"/>
  <c r="E1041" i="3"/>
  <c r="E727" i="3"/>
  <c r="E837" i="3"/>
  <c r="E409" i="3"/>
  <c r="E1042" i="3"/>
  <c r="E517" i="3"/>
  <c r="E728" i="3"/>
  <c r="E410" i="3"/>
  <c r="E927" i="3"/>
  <c r="E729" i="3"/>
  <c r="E730" i="3"/>
  <c r="E411" i="3"/>
  <c r="E518" i="3"/>
  <c r="E1043" i="3"/>
  <c r="E519" i="3"/>
  <c r="E838" i="3"/>
  <c r="E520" i="3"/>
  <c r="E731" i="3"/>
  <c r="E218" i="3"/>
  <c r="E521" i="3"/>
  <c r="E129" i="3"/>
  <c r="E619" i="3"/>
  <c r="E412" i="3"/>
  <c r="E1044" i="3"/>
  <c r="E40" i="3"/>
  <c r="E839" i="3"/>
  <c r="E928" i="3"/>
  <c r="E413" i="3"/>
  <c r="E1143" i="3"/>
  <c r="E929" i="3"/>
  <c r="E930" i="3"/>
  <c r="E219" i="3"/>
  <c r="E931" i="3"/>
  <c r="E1144" i="3"/>
  <c r="E309" i="3"/>
  <c r="E620" i="3"/>
  <c r="E310" i="3"/>
  <c r="E732" i="3"/>
  <c r="E414" i="3"/>
  <c r="E840" i="3"/>
  <c r="E733" i="3"/>
  <c r="E621" i="3"/>
  <c r="E841" i="3"/>
  <c r="E415" i="3"/>
  <c r="E1145" i="3"/>
  <c r="E416" i="3"/>
  <c r="E1146" i="3"/>
  <c r="E130" i="3"/>
  <c r="E842" i="3"/>
  <c r="E622" i="3"/>
  <c r="E311" i="3"/>
  <c r="E1147" i="3"/>
  <c r="E131" i="3"/>
  <c r="E522" i="3"/>
  <c r="E843" i="3"/>
  <c r="E1148" i="3"/>
  <c r="E734" i="3"/>
  <c r="E523" i="3"/>
  <c r="E524" i="3"/>
  <c r="E623" i="3"/>
  <c r="E1149" i="3"/>
  <c r="E1150" i="3"/>
  <c r="E312" i="3"/>
  <c r="E41" i="3"/>
  <c r="E932" i="3"/>
  <c r="E220" i="3"/>
  <c r="E525" i="3"/>
  <c r="E844" i="3"/>
  <c r="E526" i="3"/>
  <c r="E42" i="3"/>
  <c r="E313" i="3"/>
  <c r="E314" i="3"/>
  <c r="E735" i="3"/>
  <c r="E132" i="3"/>
  <c r="E736" i="3"/>
  <c r="E737" i="3"/>
  <c r="E624" i="3"/>
  <c r="E1151" i="3"/>
  <c r="E43" i="3"/>
  <c r="E845" i="3"/>
  <c r="E933" i="3"/>
  <c r="E625" i="3"/>
  <c r="E221" i="3"/>
  <c r="E315" i="3"/>
  <c r="E1045" i="3"/>
  <c r="E1152" i="3"/>
  <c r="E1046" i="3"/>
  <c r="E934" i="3"/>
  <c r="E738" i="3"/>
  <c r="E846" i="3"/>
  <c r="E316" i="3"/>
  <c r="E626" i="3"/>
  <c r="E1153" i="3"/>
  <c r="E222" i="3"/>
  <c r="E317" i="3"/>
  <c r="E133" i="3"/>
  <c r="E318" i="3"/>
  <c r="E935" i="3"/>
  <c r="E1047" i="3"/>
  <c r="E739" i="3"/>
  <c r="E417" i="3"/>
  <c r="E627" i="3"/>
  <c r="E418" i="3"/>
  <c r="E628" i="3"/>
  <c r="E847" i="3"/>
  <c r="E936" i="3"/>
  <c r="E937" i="3"/>
  <c r="E223" i="3"/>
  <c r="E938" i="3"/>
  <c r="E44" i="3"/>
  <c r="E1154" i="3"/>
  <c r="E848" i="3"/>
  <c r="E740" i="3"/>
  <c r="E527" i="3"/>
  <c r="E224" i="3"/>
  <c r="E1155" i="3"/>
  <c r="E849" i="3"/>
  <c r="E850" i="3"/>
  <c r="E319" i="3"/>
  <c r="E629" i="3"/>
  <c r="E630" i="3"/>
  <c r="E631" i="3"/>
  <c r="E225" i="3"/>
  <c r="E419" i="3"/>
  <c r="E632" i="3"/>
  <c r="E528" i="3"/>
  <c r="E45" i="3"/>
  <c r="E1156" i="3"/>
  <c r="E1048" i="3"/>
  <c r="E633" i="3"/>
  <c r="E851" i="3"/>
  <c r="E741" i="3"/>
  <c r="E634" i="3"/>
  <c r="E226" i="3"/>
  <c r="E1049" i="3"/>
  <c r="E1050" i="3"/>
  <c r="E46" i="3"/>
  <c r="E47" i="3"/>
  <c r="E939" i="3"/>
  <c r="E1051" i="3"/>
  <c r="E635" i="3"/>
  <c r="E636" i="3"/>
  <c r="E1052" i="3"/>
  <c r="E1053" i="3"/>
  <c r="E940" i="3"/>
  <c r="E227" i="3"/>
  <c r="E1157" i="3"/>
  <c r="E1158" i="3"/>
  <c r="E1054" i="3"/>
  <c r="E1055" i="3"/>
  <c r="E852" i="3"/>
  <c r="E134" i="3"/>
  <c r="E1159" i="3"/>
  <c r="E941" i="3"/>
  <c r="E742" i="3"/>
  <c r="E228" i="3"/>
  <c r="E743" i="3"/>
  <c r="E1056" i="3"/>
  <c r="E853" i="3"/>
  <c r="E320" i="3"/>
  <c r="E637" i="3"/>
  <c r="E229" i="3"/>
  <c r="E744" i="3"/>
  <c r="E638" i="3"/>
  <c r="E1057" i="3"/>
  <c r="E639" i="3"/>
  <c r="E230" i="3"/>
  <c r="E942" i="3"/>
  <c r="E420" i="3"/>
  <c r="E943" i="3"/>
  <c r="E231" i="3"/>
  <c r="E745" i="3"/>
  <c r="E48" i="3"/>
  <c r="E529" i="3"/>
  <c r="E421" i="3"/>
  <c r="E422" i="3"/>
  <c r="E944" i="3"/>
  <c r="E1160" i="3"/>
  <c r="E135" i="3"/>
  <c r="E640" i="3"/>
  <c r="E423" i="3"/>
  <c r="E641" i="3"/>
  <c r="E424" i="3"/>
  <c r="E49" i="3"/>
  <c r="E425" i="3"/>
  <c r="E426" i="3"/>
  <c r="E50" i="3"/>
  <c r="E530" i="3"/>
  <c r="E136" i="3"/>
  <c r="E137" i="3"/>
  <c r="E1161" i="3"/>
  <c r="E1162" i="3"/>
  <c r="E746" i="3"/>
  <c r="E531" i="3"/>
  <c r="E532" i="3"/>
  <c r="E945" i="3"/>
  <c r="E747" i="3"/>
  <c r="E138" i="3"/>
  <c r="E748" i="3"/>
  <c r="E749" i="3"/>
  <c r="E946" i="3"/>
  <c r="E321" i="3"/>
  <c r="E642" i="3"/>
  <c r="E1163" i="3"/>
  <c r="E750" i="3"/>
  <c r="E1058" i="3"/>
  <c r="E1164" i="3"/>
  <c r="E1059" i="3"/>
  <c r="E322" i="3"/>
  <c r="E427" i="3"/>
  <c r="E1165" i="3"/>
  <c r="E51" i="3"/>
  <c r="E323" i="3"/>
  <c r="E232" i="3"/>
  <c r="E1060" i="3"/>
  <c r="E643" i="3"/>
  <c r="E1166" i="3"/>
  <c r="E533" i="3"/>
  <c r="E751" i="3"/>
  <c r="E324" i="3"/>
  <c r="E752" i="3"/>
  <c r="E428" i="3"/>
  <c r="E429" i="3"/>
  <c r="E430" i="3"/>
  <c r="E52" i="3"/>
  <c r="E534" i="3"/>
  <c r="E325" i="3"/>
  <c r="E139" i="3"/>
  <c r="E326" i="3"/>
  <c r="E535" i="3"/>
  <c r="E536" i="3"/>
  <c r="E140" i="3"/>
  <c r="E854" i="3"/>
  <c r="E1167" i="3"/>
  <c r="E855" i="3"/>
  <c r="E537" i="3"/>
  <c r="E644" i="3"/>
  <c r="E53" i="3"/>
  <c r="E538" i="3"/>
  <c r="E1061" i="3"/>
  <c r="E947" i="3"/>
  <c r="E645" i="3"/>
  <c r="E948" i="3"/>
  <c r="E431" i="3"/>
  <c r="E949" i="3"/>
  <c r="E856" i="3"/>
  <c r="E141" i="3"/>
  <c r="E233" i="3"/>
  <c r="E234" i="3"/>
  <c r="E327" i="3"/>
  <c r="E1062" i="3"/>
  <c r="E539" i="3"/>
  <c r="E1063" i="3"/>
  <c r="E328" i="3"/>
  <c r="E1168" i="3"/>
  <c r="E432" i="3"/>
  <c r="E753" i="3"/>
  <c r="E1169" i="3"/>
  <c r="E950" i="3"/>
  <c r="E1170" i="3"/>
  <c r="E857" i="3"/>
  <c r="E142" i="3"/>
  <c r="E235" i="3"/>
  <c r="E329" i="3"/>
  <c r="E330" i="3"/>
  <c r="E858" i="3"/>
  <c r="E754" i="3"/>
  <c r="E433" i="3"/>
  <c r="E1064" i="3"/>
  <c r="E646" i="3"/>
  <c r="E540" i="3"/>
  <c r="E434" i="3"/>
  <c r="E951" i="3"/>
  <c r="E952" i="3"/>
  <c r="E755" i="3"/>
  <c r="E236" i="3"/>
  <c r="E143" i="3"/>
  <c r="E1065" i="3"/>
  <c r="E1066" i="3"/>
  <c r="E237" i="3"/>
  <c r="E541" i="3"/>
  <c r="E953" i="3"/>
  <c r="E1067" i="3"/>
  <c r="E144" i="3"/>
  <c r="E1068" i="3"/>
  <c r="E145" i="3"/>
  <c r="E954" i="3"/>
  <c r="E647" i="3"/>
  <c r="E648" i="3"/>
  <c r="E756" i="3"/>
  <c r="E435" i="3"/>
  <c r="E238" i="3"/>
  <c r="E54" i="3"/>
  <c r="E859" i="3"/>
  <c r="E1069" i="3"/>
  <c r="E55" i="3"/>
  <c r="E56" i="3"/>
  <c r="E542" i="3"/>
  <c r="E543" i="3"/>
  <c r="E146" i="3"/>
  <c r="E544" i="3"/>
  <c r="E57" i="3"/>
  <c r="E955" i="3"/>
  <c r="E436" i="3"/>
  <c r="E649" i="3"/>
  <c r="E147" i="3"/>
  <c r="E1070" i="3"/>
  <c r="E331" i="3"/>
  <c r="E148" i="3"/>
  <c r="E757" i="3"/>
  <c r="E239" i="3"/>
  <c r="E758" i="3"/>
  <c r="E545" i="3"/>
  <c r="E58" i="3"/>
  <c r="E59" i="3"/>
  <c r="E650" i="3"/>
  <c r="E651" i="3"/>
  <c r="E240" i="3"/>
  <c r="E60" i="3"/>
  <c r="E1071" i="3"/>
  <c r="E759" i="3"/>
  <c r="E652" i="3"/>
  <c r="E1171" i="3"/>
  <c r="E61" i="3"/>
  <c r="E546" i="3"/>
  <c r="E332" i="3"/>
  <c r="E241" i="3"/>
  <c r="E437" i="3"/>
  <c r="E956" i="3"/>
  <c r="E438" i="3"/>
  <c r="E957" i="3"/>
  <c r="E149" i="3"/>
  <c r="E860" i="3"/>
  <c r="E62" i="3"/>
  <c r="E958" i="3"/>
  <c r="E1172" i="3"/>
  <c r="E547" i="3"/>
  <c r="E653" i="3"/>
  <c r="E1173" i="3"/>
  <c r="E959" i="3"/>
  <c r="E439" i="3"/>
  <c r="E548" i="3"/>
  <c r="E242" i="3"/>
  <c r="E440" i="3"/>
  <c r="E243" i="3"/>
  <c r="E1174" i="3"/>
  <c r="E333" i="3"/>
  <c r="E334" i="3"/>
  <c r="E150" i="3"/>
  <c r="E63" i="3"/>
  <c r="E244" i="3"/>
  <c r="E760" i="3"/>
  <c r="E549" i="3"/>
  <c r="E1072" i="3"/>
  <c r="E861" i="3"/>
  <c r="E654" i="3"/>
  <c r="E151" i="3"/>
  <c r="E1175" i="3"/>
  <c r="E1073" i="3"/>
  <c r="E655" i="3"/>
  <c r="E245" i="3"/>
  <c r="E761" i="3"/>
  <c r="E152" i="3"/>
  <c r="E1176" i="3"/>
  <c r="E1074" i="3"/>
  <c r="E1075" i="3"/>
  <c r="E960" i="3"/>
  <c r="E1076" i="3"/>
  <c r="E1077" i="3"/>
  <c r="E762" i="3"/>
  <c r="E1177" i="3"/>
  <c r="E335" i="3"/>
  <c r="E441" i="3"/>
  <c r="E1078" i="3"/>
  <c r="E862" i="3"/>
  <c r="E863" i="3"/>
  <c r="E336" i="3"/>
  <c r="E550" i="3"/>
  <c r="E551" i="3"/>
  <c r="E1079" i="3"/>
  <c r="E961" i="3"/>
  <c r="E552" i="3"/>
  <c r="E64" i="3"/>
  <c r="E763" i="3"/>
  <c r="E764" i="3"/>
  <c r="E765" i="3"/>
  <c r="E1178" i="3"/>
  <c r="E337" i="3"/>
  <c r="E553" i="3"/>
  <c r="E442" i="3"/>
  <c r="E1080" i="3"/>
  <c r="E554" i="3"/>
  <c r="E246" i="3"/>
  <c r="E766" i="3"/>
  <c r="E153" i="3"/>
  <c r="E1179" i="3"/>
  <c r="E1180" i="3"/>
  <c r="E247" i="3"/>
  <c r="E864" i="3"/>
  <c r="E443" i="3"/>
  <c r="E1181" i="3"/>
  <c r="E444" i="3"/>
  <c r="E154" i="3"/>
  <c r="E248" i="3"/>
  <c r="E1081" i="3"/>
  <c r="E445" i="3"/>
  <c r="E446" i="3"/>
  <c r="E1182" i="3"/>
  <c r="E1082" i="3"/>
  <c r="E447" i="3"/>
  <c r="E448" i="3"/>
  <c r="E249" i="3"/>
  <c r="E1083" i="3"/>
  <c r="E338" i="3"/>
  <c r="E656" i="3"/>
  <c r="E250" i="3"/>
  <c r="E1084" i="3"/>
  <c r="E555" i="3"/>
  <c r="E767" i="3"/>
  <c r="E1085" i="3"/>
  <c r="E1183" i="3"/>
  <c r="E657" i="3"/>
  <c r="E155" i="3"/>
  <c r="E251" i="3"/>
  <c r="E658" i="3"/>
  <c r="E449" i="3"/>
  <c r="E450" i="3"/>
  <c r="E556" i="3"/>
  <c r="E659" i="3"/>
  <c r="E660" i="3"/>
  <c r="E865" i="3"/>
  <c r="E866" i="3"/>
  <c r="E962" i="3"/>
  <c r="E963" i="3"/>
  <c r="E1184" i="3"/>
  <c r="E1185" i="3"/>
  <c r="E339" i="3"/>
  <c r="E65" i="3"/>
  <c r="E252" i="3"/>
  <c r="E156" i="3"/>
  <c r="E867" i="3"/>
  <c r="E1186" i="3"/>
  <c r="E1187" i="3"/>
  <c r="E661" i="3"/>
  <c r="E66" i="3"/>
  <c r="E768" i="3"/>
  <c r="E964" i="3"/>
  <c r="E662" i="3"/>
  <c r="E340" i="3"/>
  <c r="E868" i="3"/>
  <c r="E1086" i="3"/>
  <c r="E157" i="3"/>
  <c r="E769" i="3"/>
  <c r="E965" i="3"/>
  <c r="E1087" i="3"/>
  <c r="E341" i="3"/>
  <c r="E451" i="3"/>
  <c r="E1088" i="3"/>
  <c r="E663" i="3"/>
  <c r="E1188" i="3"/>
  <c r="E770" i="3"/>
  <c r="E869" i="3"/>
  <c r="E557" i="3"/>
  <c r="E67" i="3"/>
  <c r="E1189" i="3"/>
  <c r="E452" i="3"/>
  <c r="E68" i="3"/>
  <c r="E558" i="3"/>
  <c r="E1190" i="3"/>
  <c r="E253" i="3"/>
  <c r="E69" i="3"/>
  <c r="E158" i="3"/>
  <c r="E453" i="3"/>
  <c r="E70" i="3"/>
  <c r="E559" i="3"/>
  <c r="E870" i="3"/>
  <c r="E159" i="3"/>
  <c r="E254" i="3"/>
  <c r="E71" i="3"/>
  <c r="E560" i="3"/>
  <c r="E160" i="3"/>
  <c r="E342" i="3"/>
  <c r="E664" i="3"/>
  <c r="E72" i="3"/>
  <c r="E771" i="3"/>
  <c r="E73" i="3"/>
  <c r="E772" i="3"/>
  <c r="E161" i="3"/>
  <c r="E1089" i="3"/>
  <c r="E454" i="3"/>
  <c r="E343" i="3"/>
  <c r="E74" i="3"/>
  <c r="E75" i="3"/>
  <c r="E871" i="3"/>
  <c r="E76" i="3"/>
  <c r="E966" i="3"/>
  <c r="E561" i="3"/>
  <c r="E773" i="3"/>
  <c r="E1191" i="3"/>
  <c r="E967" i="3"/>
  <c r="E665" i="3"/>
  <c r="E77" i="3"/>
  <c r="E162" i="3"/>
  <c r="E344" i="3"/>
  <c r="E968" i="3"/>
  <c r="E1090" i="3"/>
  <c r="E666" i="3"/>
  <c r="E667" i="3"/>
  <c r="E1091" i="3"/>
  <c r="E969" i="3"/>
  <c r="E1092" i="3"/>
  <c r="E163" i="3"/>
  <c r="E872" i="3"/>
  <c r="E774" i="3"/>
  <c r="E455" i="3"/>
  <c r="E668" i="3"/>
  <c r="E1093" i="3"/>
  <c r="E669" i="3"/>
  <c r="E562" i="3"/>
  <c r="E670" i="3"/>
  <c r="E1192" i="3"/>
  <c r="E671" i="3"/>
  <c r="E1094" i="3"/>
  <c r="E164" i="3"/>
  <c r="E255" i="3"/>
  <c r="E775" i="3"/>
  <c r="E1095" i="3"/>
  <c r="E873" i="3"/>
  <c r="E874" i="3"/>
  <c r="E970" i="3"/>
  <c r="E256" i="3"/>
  <c r="E1193" i="3"/>
  <c r="E456" i="3"/>
  <c r="E78" i="3"/>
  <c r="E1096" i="3"/>
  <c r="E971" i="3"/>
  <c r="E1097" i="3"/>
  <c r="E672" i="3"/>
  <c r="E457" i="3"/>
  <c r="E79" i="3"/>
  <c r="E563" i="3"/>
  <c r="E1194" i="3"/>
  <c r="E80" i="3"/>
  <c r="E972" i="3"/>
  <c r="E776" i="3"/>
  <c r="E257" i="3"/>
  <c r="E564" i="3"/>
  <c r="E165" i="3"/>
  <c r="E673" i="3"/>
  <c r="E565" i="3"/>
  <c r="E81" i="3"/>
  <c r="E1098" i="3"/>
  <c r="E777" i="3"/>
  <c r="E258" i="3"/>
  <c r="E166" i="3"/>
  <c r="E458" i="3"/>
  <c r="E259" i="3"/>
  <c r="E345" i="3"/>
  <c r="E1195" i="3"/>
  <c r="E459" i="3"/>
  <c r="E1099" i="3"/>
  <c r="E973" i="3"/>
  <c r="E1100" i="3"/>
  <c r="E778" i="3"/>
  <c r="E974" i="3"/>
  <c r="E975" i="3"/>
  <c r="E167" i="3"/>
  <c r="E875" i="3"/>
  <c r="E876" i="3"/>
  <c r="E1196" i="3"/>
  <c r="E82" i="3"/>
  <c r="E460" i="3"/>
  <c r="E461" i="3"/>
  <c r="E1101" i="3"/>
  <c r="E346" i="3"/>
  <c r="E347" i="3"/>
  <c r="E83" i="3"/>
  <c r="E260" i="3"/>
  <c r="E84" i="3"/>
  <c r="E779" i="3"/>
  <c r="E674" i="3"/>
  <c r="E566" i="3"/>
  <c r="E675" i="3"/>
  <c r="E676" i="3"/>
  <c r="E1197" i="3"/>
  <c r="E261" i="3"/>
  <c r="E877" i="3"/>
  <c r="E567" i="3"/>
  <c r="E780" i="3"/>
  <c r="E168" i="3"/>
  <c r="E976" i="3"/>
  <c r="E85" i="3"/>
  <c r="E462" i="3"/>
  <c r="E781" i="3"/>
  <c r="E568" i="3"/>
  <c r="E348" i="3"/>
  <c r="E677" i="3"/>
  <c r="E678" i="3"/>
  <c r="E463" i="3"/>
  <c r="E569" i="3"/>
  <c r="E464" i="3"/>
  <c r="E570" i="3"/>
  <c r="E977" i="3"/>
  <c r="E86" i="3"/>
  <c r="E1102" i="3"/>
  <c r="E169" i="3"/>
  <c r="E170" i="3"/>
  <c r="E978" i="3"/>
  <c r="E171" i="3"/>
  <c r="E782" i="3"/>
  <c r="E465" i="3"/>
  <c r="E87" i="3"/>
  <c r="E571" i="3"/>
  <c r="E349" i="3"/>
  <c r="E979" i="3"/>
  <c r="E1198" i="3"/>
  <c r="E1103" i="3"/>
  <c r="E172" i="3"/>
  <c r="E466" i="3"/>
  <c r="E878" i="3"/>
  <c r="E572" i="3"/>
  <c r="E679" i="3"/>
  <c r="E680" i="3"/>
  <c r="E262" i="3"/>
  <c r="E573" i="3"/>
  <c r="E980" i="3"/>
  <c r="E467" i="3"/>
  <c r="E263" i="3"/>
  <c r="E264" i="3"/>
  <c r="E350" i="3"/>
  <c r="E783" i="3"/>
  <c r="E574" i="3"/>
  <c r="E351" i="3"/>
  <c r="E173" i="3"/>
  <c r="E174" i="3"/>
  <c r="E981" i="3"/>
  <c r="E982" i="3"/>
  <c r="E879" i="3"/>
  <c r="E468" i="3"/>
  <c r="E88" i="3"/>
  <c r="E175" i="3"/>
  <c r="E784" i="3"/>
  <c r="E176" i="3"/>
  <c r="E177" i="3"/>
  <c r="E1199" i="3"/>
  <c r="E265" i="3"/>
  <c r="E880" i="3"/>
  <c r="E469" i="3"/>
  <c r="E352" i="3"/>
  <c r="E266" i="3"/>
  <c r="E881" i="3"/>
  <c r="E575" i="3"/>
  <c r="E178" i="3"/>
  <c r="E681" i="3"/>
  <c r="E470" i="3"/>
  <c r="E576" i="3"/>
  <c r="E577" i="3"/>
  <c r="E179" i="3"/>
  <c r="E1104" i="3"/>
  <c r="E180" i="3"/>
  <c r="E682" i="3"/>
  <c r="E683" i="3"/>
  <c r="E983" i="3"/>
  <c r="E984" i="3"/>
  <c r="E267" i="3"/>
  <c r="E985" i="3"/>
  <c r="E986" i="3"/>
  <c r="E268" i="3"/>
  <c r="E353" i="3"/>
  <c r="E181" i="3"/>
  <c r="E882" i="3"/>
  <c r="E269" i="3"/>
  <c r="E578" i="3"/>
  <c r="E785" i="3"/>
  <c r="E354" i="3"/>
  <c r="E270" i="3"/>
  <c r="E182" i="3"/>
  <c r="E355" i="3"/>
  <c r="E579" i="3"/>
  <c r="E89" i="3"/>
  <c r="E987" i="3"/>
  <c r="E356" i="3"/>
  <c r="E988" i="3"/>
  <c r="E471" i="3"/>
  <c r="E989" i="3"/>
  <c r="E684" i="3"/>
  <c r="E580" i="3"/>
  <c r="E357" i="3"/>
  <c r="E1200" i="3"/>
  <c r="E883" i="3"/>
  <c r="E786" i="3"/>
  <c r="E884" i="3"/>
  <c r="E90" i="3"/>
  <c r="E685" i="3"/>
  <c r="E1201" i="3"/>
  <c r="E271" i="3"/>
  <c r="E581" i="3"/>
  <c r="E1105" i="3"/>
  <c r="E787" i="3"/>
  <c r="O13" i="11"/>
  <c r="O14" i="11"/>
  <c r="O15" i="11"/>
  <c r="O16" i="11"/>
  <c r="O17" i="11"/>
  <c r="O12" i="11"/>
  <c r="N13" i="11"/>
  <c r="N14" i="11"/>
  <c r="N15" i="11"/>
  <c r="N16" i="11"/>
  <c r="N17" i="11"/>
  <c r="N12" i="11"/>
  <c r="M13" i="11"/>
  <c r="M14" i="11"/>
  <c r="M15" i="11"/>
  <c r="M16" i="11"/>
  <c r="M17" i="11"/>
  <c r="M12" i="11"/>
  <c r="M10" i="12"/>
  <c r="L6" i="10"/>
  <c r="F6" i="12"/>
  <c r="E2" i="6"/>
  <c r="E3" i="6"/>
  <c r="E4" i="6"/>
  <c r="E5" i="6"/>
  <c r="E6" i="6"/>
  <c r="E7" i="6"/>
  <c r="L22" i="10"/>
  <c r="J22" i="10"/>
  <c r="F22" i="10"/>
  <c r="F14" i="10"/>
  <c r="F9" i="10"/>
  <c r="I372" i="1"/>
  <c r="I622" i="1"/>
  <c r="I745" i="1"/>
  <c r="I2" i="1"/>
  <c r="I244" i="1"/>
  <c r="I1258" i="1"/>
  <c r="I623" i="1"/>
  <c r="I373" i="1"/>
  <c r="I3" i="1"/>
  <c r="I4" i="1"/>
  <c r="I1380" i="1"/>
  <c r="I746" i="1"/>
  <c r="I1134" i="1"/>
  <c r="I1259" i="1"/>
  <c r="I129" i="1"/>
  <c r="I374" i="1"/>
  <c r="I507" i="1"/>
  <c r="I747" i="1"/>
  <c r="I748" i="1"/>
  <c r="I375" i="1"/>
  <c r="I1381" i="1"/>
  <c r="I5" i="1"/>
  <c r="I508" i="1"/>
  <c r="I130" i="1"/>
  <c r="I509" i="1"/>
  <c r="I1382" i="1"/>
  <c r="I1383" i="1"/>
  <c r="I245" i="1"/>
  <c r="I878" i="1"/>
  <c r="I131" i="1"/>
  <c r="I1135" i="1"/>
  <c r="I6" i="1"/>
  <c r="I1136" i="1"/>
  <c r="I879" i="1"/>
  <c r="I132" i="1"/>
  <c r="I1384" i="1"/>
  <c r="I1137" i="1"/>
  <c r="I1385" i="1"/>
  <c r="I880" i="1"/>
  <c r="I749" i="1"/>
  <c r="I133" i="1"/>
  <c r="I7" i="1"/>
  <c r="I750" i="1"/>
  <c r="I376" i="1"/>
  <c r="I134" i="1"/>
  <c r="I1138" i="1"/>
  <c r="I751" i="1"/>
  <c r="I881" i="1"/>
  <c r="I752" i="1"/>
  <c r="I377" i="1"/>
  <c r="I882" i="1"/>
  <c r="I883" i="1"/>
  <c r="I135" i="1"/>
  <c r="I378" i="1"/>
  <c r="I1260" i="1"/>
  <c r="I884" i="1"/>
  <c r="I1386" i="1"/>
  <c r="I1387" i="1"/>
  <c r="I753" i="1"/>
  <c r="I8" i="1"/>
  <c r="I379" i="1"/>
  <c r="I9" i="1"/>
  <c r="I1139" i="1"/>
  <c r="I246" i="1"/>
  <c r="I136" i="1"/>
  <c r="I885" i="1"/>
  <c r="I1261" i="1"/>
  <c r="I1010" i="1"/>
  <c r="I10" i="1"/>
  <c r="I1262" i="1"/>
  <c r="I1388" i="1"/>
  <c r="I886" i="1"/>
  <c r="I887" i="1"/>
  <c r="I754" i="1"/>
  <c r="I247" i="1"/>
  <c r="I1389" i="1"/>
  <c r="I248" i="1"/>
  <c r="I380" i="1"/>
  <c r="I624" i="1"/>
  <c r="I249" i="1"/>
  <c r="I381" i="1"/>
  <c r="I382" i="1"/>
  <c r="I1263" i="1"/>
  <c r="I383" i="1"/>
  <c r="I11" i="1"/>
  <c r="I250" i="1"/>
  <c r="I1390" i="1"/>
  <c r="I1391" i="1"/>
  <c r="I384" i="1"/>
  <c r="I625" i="1"/>
  <c r="I251" i="1"/>
  <c r="I510" i="1"/>
  <c r="I626" i="1"/>
  <c r="I1264" i="1"/>
  <c r="I12" i="1"/>
  <c r="I1011" i="1"/>
  <c r="I137" i="1"/>
  <c r="I252" i="1"/>
  <c r="I13" i="1"/>
  <c r="I755" i="1"/>
  <c r="I1392" i="1"/>
  <c r="I1393" i="1"/>
  <c r="I1140" i="1"/>
  <c r="I756" i="1"/>
  <c r="I138" i="1"/>
  <c r="I385" i="1"/>
  <c r="I888" i="1"/>
  <c r="I889" i="1"/>
  <c r="I253" i="1"/>
  <c r="I139" i="1"/>
  <c r="I627" i="1"/>
  <c r="I1141" i="1"/>
  <c r="I386" i="1"/>
  <c r="I890" i="1"/>
  <c r="I891" i="1"/>
  <c r="I254" i="1"/>
  <c r="I1394" i="1"/>
  <c r="I1142" i="1"/>
  <c r="I255" i="1"/>
  <c r="I140" i="1"/>
  <c r="I1143" i="1"/>
  <c r="I628" i="1"/>
  <c r="I256" i="1"/>
  <c r="I257" i="1"/>
  <c r="I1144" i="1"/>
  <c r="I387" i="1"/>
  <c r="I757" i="1"/>
  <c r="I258" i="1"/>
  <c r="I629" i="1"/>
  <c r="I758" i="1"/>
  <c r="I759" i="1"/>
  <c r="I388" i="1"/>
  <c r="I760" i="1"/>
  <c r="I761" i="1"/>
  <c r="I1145" i="1"/>
  <c r="I1265" i="1"/>
  <c r="I1012" i="1"/>
  <c r="I14" i="1"/>
  <c r="I892" i="1"/>
  <c r="I1146" i="1"/>
  <c r="I1266" i="1"/>
  <c r="I389" i="1"/>
  <c r="I15" i="1"/>
  <c r="I630" i="1"/>
  <c r="I762" i="1"/>
  <c r="I390" i="1"/>
  <c r="I893" i="1"/>
  <c r="I391" i="1"/>
  <c r="I1147" i="1"/>
  <c r="I1148" i="1"/>
  <c r="I259" i="1"/>
  <c r="I1149" i="1"/>
  <c r="I16" i="1"/>
  <c r="I1150" i="1"/>
  <c r="I511" i="1"/>
  <c r="I141" i="1"/>
  <c r="I142" i="1"/>
  <c r="I512" i="1"/>
  <c r="I631" i="1"/>
  <c r="I392" i="1"/>
  <c r="I17" i="1"/>
  <c r="I1151" i="1"/>
  <c r="I1152" i="1"/>
  <c r="I18" i="1"/>
  <c r="I1153" i="1"/>
  <c r="I894" i="1"/>
  <c r="I19" i="1"/>
  <c r="I895" i="1"/>
  <c r="I632" i="1"/>
  <c r="I260" i="1"/>
  <c r="I633" i="1"/>
  <c r="I1267" i="1"/>
  <c r="I1013" i="1"/>
  <c r="I1268" i="1"/>
  <c r="I20" i="1"/>
  <c r="I513" i="1"/>
  <c r="I634" i="1"/>
  <c r="I261" i="1"/>
  <c r="I1154" i="1"/>
  <c r="I1014" i="1"/>
  <c r="I143" i="1"/>
  <c r="I21" i="1"/>
  <c r="I1269" i="1"/>
  <c r="I514" i="1"/>
  <c r="I635" i="1"/>
  <c r="I262" i="1"/>
  <c r="I763" i="1"/>
  <c r="I764" i="1"/>
  <c r="I393" i="1"/>
  <c r="I22" i="1"/>
  <c r="I636" i="1"/>
  <c r="I515" i="1"/>
  <c r="I23" i="1"/>
  <c r="I1270" i="1"/>
  <c r="I765" i="1"/>
  <c r="I1395" i="1"/>
  <c r="I263" i="1"/>
  <c r="I144" i="1"/>
  <c r="I896" i="1"/>
  <c r="I145" i="1"/>
  <c r="I766" i="1"/>
  <c r="I1015" i="1"/>
  <c r="I1155" i="1"/>
  <c r="I767" i="1"/>
  <c r="I897" i="1"/>
  <c r="I146" i="1"/>
  <c r="I898" i="1"/>
  <c r="I264" i="1"/>
  <c r="I1396" i="1"/>
  <c r="I768" i="1"/>
  <c r="I899" i="1"/>
  <c r="I1016" i="1"/>
  <c r="I24" i="1"/>
  <c r="I25" i="1"/>
  <c r="I394" i="1"/>
  <c r="I26" i="1"/>
  <c r="I769" i="1"/>
  <c r="I265" i="1"/>
  <c r="I1156" i="1"/>
  <c r="I1397" i="1"/>
  <c r="I1017" i="1"/>
  <c r="I1018" i="1"/>
  <c r="I1398" i="1"/>
  <c r="I147" i="1"/>
  <c r="I1399" i="1"/>
  <c r="I900" i="1"/>
  <c r="I1157" i="1"/>
  <c r="I516" i="1"/>
  <c r="I901" i="1"/>
  <c r="I1019" i="1"/>
  <c r="I637" i="1"/>
  <c r="I1271" i="1"/>
  <c r="I148" i="1"/>
  <c r="I517" i="1"/>
  <c r="I518" i="1"/>
  <c r="I1020" i="1"/>
  <c r="I770" i="1"/>
  <c r="I1400" i="1"/>
  <c r="I149" i="1"/>
  <c r="I1272" i="1"/>
  <c r="I1401" i="1"/>
  <c r="I1402" i="1"/>
  <c r="I395" i="1"/>
  <c r="I771" i="1"/>
  <c r="I1403" i="1"/>
  <c r="I772" i="1"/>
  <c r="I773" i="1"/>
  <c r="I27" i="1"/>
  <c r="I28" i="1"/>
  <c r="I519" i="1"/>
  <c r="I29" i="1"/>
  <c r="I1273" i="1"/>
  <c r="I30" i="1"/>
  <c r="I520" i="1"/>
  <c r="I266" i="1"/>
  <c r="I31" i="1"/>
  <c r="I902" i="1"/>
  <c r="I1158" i="1"/>
  <c r="I1021" i="1"/>
  <c r="I521" i="1"/>
  <c r="I32" i="1"/>
  <c r="I33" i="1"/>
  <c r="I1159" i="1"/>
  <c r="I150" i="1"/>
  <c r="I267" i="1"/>
  <c r="I638" i="1"/>
  <c r="I396" i="1"/>
  <c r="I903" i="1"/>
  <c r="I34" i="1"/>
  <c r="I1022" i="1"/>
  <c r="I639" i="1"/>
  <c r="I1160" i="1"/>
  <c r="I1404" i="1"/>
  <c r="I1274" i="1"/>
  <c r="I640" i="1"/>
  <c r="I774" i="1"/>
  <c r="I268" i="1"/>
  <c r="I1161" i="1"/>
  <c r="I904" i="1"/>
  <c r="I1023" i="1"/>
  <c r="I269" i="1"/>
  <c r="I905" i="1"/>
  <c r="I1162" i="1"/>
  <c r="I1024" i="1"/>
  <c r="I35" i="1"/>
  <c r="I641" i="1"/>
  <c r="I1025" i="1"/>
  <c r="I1163" i="1"/>
  <c r="I775" i="1"/>
  <c r="I1275" i="1"/>
  <c r="I1164" i="1"/>
  <c r="I151" i="1"/>
  <c r="I776" i="1"/>
  <c r="I397" i="1"/>
  <c r="I906" i="1"/>
  <c r="I398" i="1"/>
  <c r="I522" i="1"/>
  <c r="I1276" i="1"/>
  <c r="I152" i="1"/>
  <c r="I1165" i="1"/>
  <c r="I777" i="1"/>
  <c r="I1277" i="1"/>
  <c r="I153" i="1"/>
  <c r="I270" i="1"/>
  <c r="I523" i="1"/>
  <c r="I399" i="1"/>
  <c r="I778" i="1"/>
  <c r="I36" i="1"/>
  <c r="I907" i="1"/>
  <c r="I524" i="1"/>
  <c r="I908" i="1"/>
  <c r="I400" i="1"/>
  <c r="I1278" i="1"/>
  <c r="I1279" i="1"/>
  <c r="I779" i="1"/>
  <c r="I1166" i="1"/>
  <c r="I642" i="1"/>
  <c r="I525" i="1"/>
  <c r="I37" i="1"/>
  <c r="I1026" i="1"/>
  <c r="I909" i="1"/>
  <c r="I271" i="1"/>
  <c r="I1167" i="1"/>
  <c r="I272" i="1"/>
  <c r="I273" i="1"/>
  <c r="I274" i="1"/>
  <c r="I1280" i="1"/>
  <c r="I1027" i="1"/>
  <c r="I643" i="1"/>
  <c r="I401" i="1"/>
  <c r="I154" i="1"/>
  <c r="I780" i="1"/>
  <c r="I781" i="1"/>
  <c r="I1405" i="1"/>
  <c r="I782" i="1"/>
  <c r="I402" i="1"/>
  <c r="I910" i="1"/>
  <c r="I275" i="1"/>
  <c r="I911" i="1"/>
  <c r="I1281" i="1"/>
  <c r="I38" i="1"/>
  <c r="I1282" i="1"/>
  <c r="I526" i="1"/>
  <c r="I783" i="1"/>
  <c r="I403" i="1"/>
  <c r="I39" i="1"/>
  <c r="I155" i="1"/>
  <c r="I40" i="1"/>
  <c r="I1406" i="1"/>
  <c r="I644" i="1"/>
  <c r="I156" i="1"/>
  <c r="I645" i="1"/>
  <c r="I1168" i="1"/>
  <c r="I157" i="1"/>
  <c r="I41" i="1"/>
  <c r="I276" i="1"/>
  <c r="I277" i="1"/>
  <c r="I1407" i="1"/>
  <c r="I404" i="1"/>
  <c r="I158" i="1"/>
  <c r="I646" i="1"/>
  <c r="I1028" i="1"/>
  <c r="I159" i="1"/>
  <c r="I647" i="1"/>
  <c r="I1408" i="1"/>
  <c r="I912" i="1"/>
  <c r="I1169" i="1"/>
  <c r="I278" i="1"/>
  <c r="I1409" i="1"/>
  <c r="I913" i="1"/>
  <c r="I648" i="1"/>
  <c r="I42" i="1"/>
  <c r="I43" i="1"/>
  <c r="I1170" i="1"/>
  <c r="I1283" i="1"/>
  <c r="I44" i="1"/>
  <c r="I1284" i="1"/>
  <c r="I784" i="1"/>
  <c r="I1410" i="1"/>
  <c r="I914" i="1"/>
  <c r="I527" i="1"/>
  <c r="I649" i="1"/>
  <c r="I279" i="1"/>
  <c r="I1411" i="1"/>
  <c r="I45" i="1"/>
  <c r="I46" i="1"/>
  <c r="I160" i="1"/>
  <c r="I405" i="1"/>
  <c r="I915" i="1"/>
  <c r="I161" i="1"/>
  <c r="I1029" i="1"/>
  <c r="I280" i="1"/>
  <c r="I1030" i="1"/>
  <c r="I528" i="1"/>
  <c r="I47" i="1"/>
  <c r="I1031" i="1"/>
  <c r="I1032" i="1"/>
  <c r="I1033" i="1"/>
  <c r="I650" i="1"/>
  <c r="I406" i="1"/>
  <c r="I916" i="1"/>
  <c r="I281" i="1"/>
  <c r="I651" i="1"/>
  <c r="I529" i="1"/>
  <c r="I917" i="1"/>
  <c r="I407" i="1"/>
  <c r="I652" i="1"/>
  <c r="I1034" i="1"/>
  <c r="I1285" i="1"/>
  <c r="I1286" i="1"/>
  <c r="I785" i="1"/>
  <c r="I918" i="1"/>
  <c r="I1171" i="1"/>
  <c r="I1172" i="1"/>
  <c r="I408" i="1"/>
  <c r="I786" i="1"/>
  <c r="I919" i="1"/>
  <c r="I1287" i="1"/>
  <c r="I530" i="1"/>
  <c r="I282" i="1"/>
  <c r="I531" i="1"/>
  <c r="I409" i="1"/>
  <c r="I1288" i="1"/>
  <c r="I1035" i="1"/>
  <c r="I1289" i="1"/>
  <c r="I410" i="1"/>
  <c r="I1412" i="1"/>
  <c r="I1173" i="1"/>
  <c r="I532" i="1"/>
  <c r="I1174" i="1"/>
  <c r="I920" i="1"/>
  <c r="I787" i="1"/>
  <c r="I788" i="1"/>
  <c r="I533" i="1"/>
  <c r="I534" i="1"/>
  <c r="I921" i="1"/>
  <c r="I535" i="1"/>
  <c r="I922" i="1"/>
  <c r="I789" i="1"/>
  <c r="I790" i="1"/>
  <c r="I1413" i="1"/>
  <c r="I283" i="1"/>
  <c r="I1036" i="1"/>
  <c r="I791" i="1"/>
  <c r="I923" i="1"/>
  <c r="I1414" i="1"/>
  <c r="I162" i="1"/>
  <c r="I163" i="1"/>
  <c r="I284" i="1"/>
  <c r="I1037" i="1"/>
  <c r="I924" i="1"/>
  <c r="I1290" i="1"/>
  <c r="I285" i="1"/>
  <c r="I1415" i="1"/>
  <c r="I792" i="1"/>
  <c r="I164" i="1"/>
  <c r="I653" i="1"/>
  <c r="I286" i="1"/>
  <c r="I793" i="1"/>
  <c r="I1416" i="1"/>
  <c r="I411" i="1"/>
  <c r="I287" i="1"/>
  <c r="I412" i="1"/>
  <c r="I794" i="1"/>
  <c r="I1291" i="1"/>
  <c r="I925" i="1"/>
  <c r="I1038" i="1"/>
  <c r="I1175" i="1"/>
  <c r="I48" i="1"/>
  <c r="I926" i="1"/>
  <c r="I1417" i="1"/>
  <c r="I1039" i="1"/>
  <c r="I1176" i="1"/>
  <c r="I1177" i="1"/>
  <c r="I927" i="1"/>
  <c r="I413" i="1"/>
  <c r="I1040" i="1"/>
  <c r="I795" i="1"/>
  <c r="I536" i="1"/>
  <c r="I1041" i="1"/>
  <c r="I1042" i="1"/>
  <c r="I1178" i="1"/>
  <c r="I1043" i="1"/>
  <c r="I1044" i="1"/>
  <c r="I165" i="1"/>
  <c r="I796" i="1"/>
  <c r="I1045" i="1"/>
  <c r="I654" i="1"/>
  <c r="I928" i="1"/>
  <c r="I166" i="1"/>
  <c r="I167" i="1"/>
  <c r="I288" i="1"/>
  <c r="I168" i="1"/>
  <c r="I414" i="1"/>
  <c r="I655" i="1"/>
  <c r="I289" i="1"/>
  <c r="I537" i="1"/>
  <c r="I929" i="1"/>
  <c r="I797" i="1"/>
  <c r="I656" i="1"/>
  <c r="I930" i="1"/>
  <c r="I1292" i="1"/>
  <c r="I415" i="1"/>
  <c r="I1418" i="1"/>
  <c r="I931" i="1"/>
  <c r="I657" i="1"/>
  <c r="I798" i="1"/>
  <c r="I416" i="1"/>
  <c r="I290" i="1"/>
  <c r="I799" i="1"/>
  <c r="I1419" i="1"/>
  <c r="I1293" i="1"/>
  <c r="I932" i="1"/>
  <c r="I800" i="1"/>
  <c r="I1294" i="1"/>
  <c r="I933" i="1"/>
  <c r="I291" i="1"/>
  <c r="I538" i="1"/>
  <c r="I801" i="1"/>
  <c r="I169" i="1"/>
  <c r="I658" i="1"/>
  <c r="I49" i="1"/>
  <c r="I934" i="1"/>
  <c r="I170" i="1"/>
  <c r="I1046" i="1"/>
  <c r="I292" i="1"/>
  <c r="I1179" i="1"/>
  <c r="I1295" i="1"/>
  <c r="I50" i="1"/>
  <c r="I659" i="1"/>
  <c r="I539" i="1"/>
  <c r="I540" i="1"/>
  <c r="I1180" i="1"/>
  <c r="I1181" i="1"/>
  <c r="I802" i="1"/>
  <c r="I1420" i="1"/>
  <c r="I935" i="1"/>
  <c r="I51" i="1"/>
  <c r="I1182" i="1"/>
  <c r="I171" i="1"/>
  <c r="I660" i="1"/>
  <c r="I293" i="1"/>
  <c r="I1421" i="1"/>
  <c r="I661" i="1"/>
  <c r="I417" i="1"/>
  <c r="I662" i="1"/>
  <c r="I1047" i="1"/>
  <c r="I172" i="1"/>
  <c r="I541" i="1"/>
  <c r="I173" i="1"/>
  <c r="I803" i="1"/>
  <c r="I52" i="1"/>
  <c r="I53" i="1"/>
  <c r="I174" i="1"/>
  <c r="I418" i="1"/>
  <c r="I294" i="1"/>
  <c r="I1183" i="1"/>
  <c r="I1422" i="1"/>
  <c r="I663" i="1"/>
  <c r="I1296" i="1"/>
  <c r="I54" i="1"/>
  <c r="I1423" i="1"/>
  <c r="I175" i="1"/>
  <c r="I55" i="1"/>
  <c r="I804" i="1"/>
  <c r="I1297" i="1"/>
  <c r="I1298" i="1"/>
  <c r="I542" i="1"/>
  <c r="I543" i="1"/>
  <c r="I419" i="1"/>
  <c r="I805" i="1"/>
  <c r="I1184" i="1"/>
  <c r="I936" i="1"/>
  <c r="I1185" i="1"/>
  <c r="I295" i="1"/>
  <c r="I1186" i="1"/>
  <c r="I806" i="1"/>
  <c r="I544" i="1"/>
  <c r="I296" i="1"/>
  <c r="I664" i="1"/>
  <c r="I1187" i="1"/>
  <c r="I56" i="1"/>
  <c r="I1188" i="1"/>
  <c r="I297" i="1"/>
  <c r="I176" i="1"/>
  <c r="I545" i="1"/>
  <c r="I1189" i="1"/>
  <c r="I1048" i="1"/>
  <c r="I1424" i="1"/>
  <c r="I177" i="1"/>
  <c r="I420" i="1"/>
  <c r="I665" i="1"/>
  <c r="I1425" i="1"/>
  <c r="I57" i="1"/>
  <c r="I546" i="1"/>
  <c r="I1049" i="1"/>
  <c r="I1190" i="1"/>
  <c r="I547" i="1"/>
  <c r="I807" i="1"/>
  <c r="I298" i="1"/>
  <c r="I1299" i="1"/>
  <c r="I178" i="1"/>
  <c r="I937" i="1"/>
  <c r="I1426" i="1"/>
  <c r="I666" i="1"/>
  <c r="I1300" i="1"/>
  <c r="I667" i="1"/>
  <c r="I1050" i="1"/>
  <c r="I1191" i="1"/>
  <c r="I179" i="1"/>
  <c r="I1427" i="1"/>
  <c r="I1192" i="1"/>
  <c r="I58" i="1"/>
  <c r="I421" i="1"/>
  <c r="I59" i="1"/>
  <c r="I1193" i="1"/>
  <c r="I548" i="1"/>
  <c r="I180" i="1"/>
  <c r="I1194" i="1"/>
  <c r="I668" i="1"/>
  <c r="I1051" i="1"/>
  <c r="I1428" i="1"/>
  <c r="I299" i="1"/>
  <c r="I1429" i="1"/>
  <c r="I1430" i="1"/>
  <c r="I1301" i="1"/>
  <c r="I808" i="1"/>
  <c r="I549" i="1"/>
  <c r="I1195" i="1"/>
  <c r="I1431" i="1"/>
  <c r="I669" i="1"/>
  <c r="I670" i="1"/>
  <c r="I550" i="1"/>
  <c r="I1052" i="1"/>
  <c r="I1053" i="1"/>
  <c r="I300" i="1"/>
  <c r="I301" i="1"/>
  <c r="I302" i="1"/>
  <c r="I938" i="1"/>
  <c r="I422" i="1"/>
  <c r="I423" i="1"/>
  <c r="I551" i="1"/>
  <c r="I671" i="1"/>
  <c r="I809" i="1"/>
  <c r="I939" i="1"/>
  <c r="I181" i="1"/>
  <c r="I60" i="1"/>
  <c r="I1302" i="1"/>
  <c r="I940" i="1"/>
  <c r="I303" i="1"/>
  <c r="I424" i="1"/>
  <c r="I1432" i="1"/>
  <c r="I61" i="1"/>
  <c r="I425" i="1"/>
  <c r="I1303" i="1"/>
  <c r="I1054" i="1"/>
  <c r="I1304" i="1"/>
  <c r="I182" i="1"/>
  <c r="I810" i="1"/>
  <c r="I672" i="1"/>
  <c r="I183" i="1"/>
  <c r="I426" i="1"/>
  <c r="I811" i="1"/>
  <c r="I1305" i="1"/>
  <c r="I427" i="1"/>
  <c r="I941" i="1"/>
  <c r="I1055" i="1"/>
  <c r="I1196" i="1"/>
  <c r="I942" i="1"/>
  <c r="I184" i="1"/>
  <c r="I1306" i="1"/>
  <c r="I428" i="1"/>
  <c r="I673" i="1"/>
  <c r="I429" i="1"/>
  <c r="I1307" i="1"/>
  <c r="I62" i="1"/>
  <c r="I430" i="1"/>
  <c r="I674" i="1"/>
  <c r="I812" i="1"/>
  <c r="I1056" i="1"/>
  <c r="I675" i="1"/>
  <c r="I1308" i="1"/>
  <c r="I1057" i="1"/>
  <c r="I676" i="1"/>
  <c r="I1433" i="1"/>
  <c r="I185" i="1"/>
  <c r="I186" i="1"/>
  <c r="I1197" i="1"/>
  <c r="I187" i="1"/>
  <c r="I1309" i="1"/>
  <c r="I1434" i="1"/>
  <c r="I1058" i="1"/>
  <c r="I1059" i="1"/>
  <c r="I188" i="1"/>
  <c r="I813" i="1"/>
  <c r="I677" i="1"/>
  <c r="I1198" i="1"/>
  <c r="I189" i="1"/>
  <c r="I678" i="1"/>
  <c r="I431" i="1"/>
  <c r="I679" i="1"/>
  <c r="I1435" i="1"/>
  <c r="I680" i="1"/>
  <c r="I814" i="1"/>
  <c r="I1310" i="1"/>
  <c r="I1436" i="1"/>
  <c r="I681" i="1"/>
  <c r="I1060" i="1"/>
  <c r="I190" i="1"/>
  <c r="I1061" i="1"/>
  <c r="I682" i="1"/>
  <c r="I552" i="1"/>
  <c r="I432" i="1"/>
  <c r="I553" i="1"/>
  <c r="I1311" i="1"/>
  <c r="I304" i="1"/>
  <c r="I1199" i="1"/>
  <c r="I1200" i="1"/>
  <c r="I191" i="1"/>
  <c r="I1437" i="1"/>
  <c r="I1438" i="1"/>
  <c r="I943" i="1"/>
  <c r="I944" i="1"/>
  <c r="I554" i="1"/>
  <c r="I1201" i="1"/>
  <c r="I1439" i="1"/>
  <c r="I63" i="1"/>
  <c r="I683" i="1"/>
  <c r="I1062" i="1"/>
  <c r="I433" i="1"/>
  <c r="I1440" i="1"/>
  <c r="I192" i="1"/>
  <c r="I305" i="1"/>
  <c r="I1312" i="1"/>
  <c r="I815" i="1"/>
  <c r="I64" i="1"/>
  <c r="I65" i="1"/>
  <c r="I1441" i="1"/>
  <c r="I816" i="1"/>
  <c r="I1313" i="1"/>
  <c r="I306" i="1"/>
  <c r="I1314" i="1"/>
  <c r="I817" i="1"/>
  <c r="I945" i="1"/>
  <c r="I1315" i="1"/>
  <c r="I1316" i="1"/>
  <c r="I66" i="1"/>
  <c r="I818" i="1"/>
  <c r="I684" i="1"/>
  <c r="I434" i="1"/>
  <c r="I1442" i="1"/>
  <c r="I67" i="1"/>
  <c r="I1063" i="1"/>
  <c r="I555" i="1"/>
  <c r="I946" i="1"/>
  <c r="I556" i="1"/>
  <c r="I947" i="1"/>
  <c r="I819" i="1"/>
  <c r="I820" i="1"/>
  <c r="I1202" i="1"/>
  <c r="I1064" i="1"/>
  <c r="I1443" i="1"/>
  <c r="I1065" i="1"/>
  <c r="I557" i="1"/>
  <c r="I435" i="1"/>
  <c r="I68" i="1"/>
  <c r="I307" i="1"/>
  <c r="I821" i="1"/>
  <c r="I822" i="1"/>
  <c r="I1444" i="1"/>
  <c r="I436" i="1"/>
  <c r="I69" i="1"/>
  <c r="I823" i="1"/>
  <c r="I1317" i="1"/>
  <c r="I437" i="1"/>
  <c r="I438" i="1"/>
  <c r="I1318" i="1"/>
  <c r="I308" i="1"/>
  <c r="I70" i="1"/>
  <c r="I1066" i="1"/>
  <c r="I685" i="1"/>
  <c r="I1445" i="1"/>
  <c r="I948" i="1"/>
  <c r="I949" i="1"/>
  <c r="I1446" i="1"/>
  <c r="I1203" i="1"/>
  <c r="I193" i="1"/>
  <c r="I950" i="1"/>
  <c r="I71" i="1"/>
  <c r="I439" i="1"/>
  <c r="I194" i="1"/>
  <c r="I558" i="1"/>
  <c r="I686" i="1"/>
  <c r="I559" i="1"/>
  <c r="I951" i="1"/>
  <c r="I560" i="1"/>
  <c r="I72" i="1"/>
  <c r="I952" i="1"/>
  <c r="I440" i="1"/>
  <c r="I73" i="1"/>
  <c r="I441" i="1"/>
  <c r="I1204" i="1"/>
  <c r="I442" i="1"/>
  <c r="I1447" i="1"/>
  <c r="I1319" i="1"/>
  <c r="I74" i="1"/>
  <c r="I1448" i="1"/>
  <c r="I953" i="1"/>
  <c r="I309" i="1"/>
  <c r="I1320" i="1"/>
  <c r="I310" i="1"/>
  <c r="I1205" i="1"/>
  <c r="I824" i="1"/>
  <c r="I311" i="1"/>
  <c r="I1449" i="1"/>
  <c r="I1067" i="1"/>
  <c r="I195" i="1"/>
  <c r="I1068" i="1"/>
  <c r="I1069" i="1"/>
  <c r="I1450" i="1"/>
  <c r="I1321" i="1"/>
  <c r="I1451" i="1"/>
  <c r="I1322" i="1"/>
  <c r="I1070" i="1"/>
  <c r="I1323" i="1"/>
  <c r="I443" i="1"/>
  <c r="I1206" i="1"/>
  <c r="I1071" i="1"/>
  <c r="I954" i="1"/>
  <c r="I196" i="1"/>
  <c r="I1452" i="1"/>
  <c r="I955" i="1"/>
  <c r="I561" i="1"/>
  <c r="I1453" i="1"/>
  <c r="I444" i="1"/>
  <c r="I445" i="1"/>
  <c r="I197" i="1"/>
  <c r="I1072" i="1"/>
  <c r="I1073" i="1"/>
  <c r="I1454" i="1"/>
  <c r="I198" i="1"/>
  <c r="I199" i="1"/>
  <c r="I1324" i="1"/>
  <c r="I1207" i="1"/>
  <c r="I200" i="1"/>
  <c r="I446" i="1"/>
  <c r="I562" i="1"/>
  <c r="I312" i="1"/>
  <c r="I825" i="1"/>
  <c r="I447" i="1"/>
  <c r="I1455" i="1"/>
  <c r="I313" i="1"/>
  <c r="I201" i="1"/>
  <c r="I563" i="1"/>
  <c r="I1325" i="1"/>
  <c r="I826" i="1"/>
  <c r="I1326" i="1"/>
  <c r="I314" i="1"/>
  <c r="I956" i="1"/>
  <c r="I1327" i="1"/>
  <c r="I564" i="1"/>
  <c r="I1456" i="1"/>
  <c r="I1074" i="1"/>
  <c r="I315" i="1"/>
  <c r="I448" i="1"/>
  <c r="I1208" i="1"/>
  <c r="I202" i="1"/>
  <c r="I203" i="1"/>
  <c r="I75" i="1"/>
  <c r="I687" i="1"/>
  <c r="I449" i="1"/>
  <c r="I1075" i="1"/>
  <c r="I827" i="1"/>
  <c r="I688" i="1"/>
  <c r="I1328" i="1"/>
  <c r="I316" i="1"/>
  <c r="I828" i="1"/>
  <c r="I957" i="1"/>
  <c r="I1329" i="1"/>
  <c r="I1209" i="1"/>
  <c r="I1210" i="1"/>
  <c r="I1076" i="1"/>
  <c r="I1457" i="1"/>
  <c r="I317" i="1"/>
  <c r="I76" i="1"/>
  <c r="I1211" i="1"/>
  <c r="I1212" i="1"/>
  <c r="I450" i="1"/>
  <c r="I1213" i="1"/>
  <c r="I565" i="1"/>
  <c r="I1458" i="1"/>
  <c r="I451" i="1"/>
  <c r="I958" i="1"/>
  <c r="I1214" i="1"/>
  <c r="I566" i="1"/>
  <c r="I1459" i="1"/>
  <c r="I1077" i="1"/>
  <c r="I1215" i="1"/>
  <c r="I567" i="1"/>
  <c r="I568" i="1"/>
  <c r="I204" i="1"/>
  <c r="I1460" i="1"/>
  <c r="I318" i="1"/>
  <c r="I829" i="1"/>
  <c r="I319" i="1"/>
  <c r="I77" i="1"/>
  <c r="I78" i="1"/>
  <c r="I830" i="1"/>
  <c r="I689" i="1"/>
  <c r="I831" i="1"/>
  <c r="I79" i="1"/>
  <c r="I1330" i="1"/>
  <c r="I80" i="1"/>
  <c r="I1331" i="1"/>
  <c r="I205" i="1"/>
  <c r="I1332" i="1"/>
  <c r="I690" i="1"/>
  <c r="I1216" i="1"/>
  <c r="I1333" i="1"/>
  <c r="I81" i="1"/>
  <c r="I452" i="1"/>
  <c r="I1461" i="1"/>
  <c r="I206" i="1"/>
  <c r="I959" i="1"/>
  <c r="I1217" i="1"/>
  <c r="I453" i="1"/>
  <c r="I1078" i="1"/>
  <c r="I1079" i="1"/>
  <c r="I454" i="1"/>
  <c r="I691" i="1"/>
  <c r="I1218" i="1"/>
  <c r="I320" i="1"/>
  <c r="I1080" i="1"/>
  <c r="I1334" i="1"/>
  <c r="I82" i="1"/>
  <c r="I455" i="1"/>
  <c r="I569" i="1"/>
  <c r="I321" i="1"/>
  <c r="I83" i="1"/>
  <c r="I322" i="1"/>
  <c r="I570" i="1"/>
  <c r="I84" i="1"/>
  <c r="I456" i="1"/>
  <c r="I692" i="1"/>
  <c r="I571" i="1"/>
  <c r="I457" i="1"/>
  <c r="I832" i="1"/>
  <c r="I960" i="1"/>
  <c r="I961" i="1"/>
  <c r="I458" i="1"/>
  <c r="I1462" i="1"/>
  <c r="I833" i="1"/>
  <c r="I572" i="1"/>
  <c r="I573" i="1"/>
  <c r="I1463" i="1"/>
  <c r="I574" i="1"/>
  <c r="I962" i="1"/>
  <c r="I1219" i="1"/>
  <c r="I459" i="1"/>
  <c r="I323" i="1"/>
  <c r="I575" i="1"/>
  <c r="I576" i="1"/>
  <c r="I1335" i="1"/>
  <c r="I1220" i="1"/>
  <c r="I85" i="1"/>
  <c r="I1221" i="1"/>
  <c r="I324" i="1"/>
  <c r="I1222" i="1"/>
  <c r="I325" i="1"/>
  <c r="I460" i="1"/>
  <c r="I461" i="1"/>
  <c r="I207" i="1"/>
  <c r="I86" i="1"/>
  <c r="I1223" i="1"/>
  <c r="I1464" i="1"/>
  <c r="I1224" i="1"/>
  <c r="I1336" i="1"/>
  <c r="I326" i="1"/>
  <c r="I462" i="1"/>
  <c r="I1225" i="1"/>
  <c r="I463" i="1"/>
  <c r="I464" i="1"/>
  <c r="I834" i="1"/>
  <c r="I577" i="1"/>
  <c r="I578" i="1"/>
  <c r="I1337" i="1"/>
  <c r="I835" i="1"/>
  <c r="I963" i="1"/>
  <c r="I1338" i="1"/>
  <c r="I1465" i="1"/>
  <c r="I579" i="1"/>
  <c r="I836" i="1"/>
  <c r="I1081" i="1"/>
  <c r="I964" i="1"/>
  <c r="I208" i="1"/>
  <c r="I327" i="1"/>
  <c r="I465" i="1"/>
  <c r="I1226" i="1"/>
  <c r="I965" i="1"/>
  <c r="I1466" i="1"/>
  <c r="I466" i="1"/>
  <c r="I1227" i="1"/>
  <c r="I1228" i="1"/>
  <c r="I580" i="1"/>
  <c r="I693" i="1"/>
  <c r="I837" i="1"/>
  <c r="I838" i="1"/>
  <c r="I694" i="1"/>
  <c r="I581" i="1"/>
  <c r="I1082" i="1"/>
  <c r="I582" i="1"/>
  <c r="I1083" i="1"/>
  <c r="I467" i="1"/>
  <c r="I1229" i="1"/>
  <c r="I468" i="1"/>
  <c r="I469" i="1"/>
  <c r="I1467" i="1"/>
  <c r="I87" i="1"/>
  <c r="I328" i="1"/>
  <c r="I88" i="1"/>
  <c r="I89" i="1"/>
  <c r="I839" i="1"/>
  <c r="I470" i="1"/>
  <c r="I329" i="1"/>
  <c r="I1084" i="1"/>
  <c r="I583" i="1"/>
  <c r="I209" i="1"/>
  <c r="I1230" i="1"/>
  <c r="I1339" i="1"/>
  <c r="I1468" i="1"/>
  <c r="I1469" i="1"/>
  <c r="I471" i="1"/>
  <c r="I840" i="1"/>
  <c r="I472" i="1"/>
  <c r="I584" i="1"/>
  <c r="I1085" i="1"/>
  <c r="I1470" i="1"/>
  <c r="I695" i="1"/>
  <c r="I1340" i="1"/>
  <c r="I1341" i="1"/>
  <c r="I1231" i="1"/>
  <c r="I585" i="1"/>
  <c r="I90" i="1"/>
  <c r="I586" i="1"/>
  <c r="I966" i="1"/>
  <c r="I330" i="1"/>
  <c r="I967" i="1"/>
  <c r="I1086" i="1"/>
  <c r="I1232" i="1"/>
  <c r="I473" i="1"/>
  <c r="I331" i="1"/>
  <c r="I1087" i="1"/>
  <c r="I587" i="1"/>
  <c r="I696" i="1"/>
  <c r="I210" i="1"/>
  <c r="I1342" i="1"/>
  <c r="I841" i="1"/>
  <c r="I588" i="1"/>
  <c r="I91" i="1"/>
  <c r="I1233" i="1"/>
  <c r="I589" i="1"/>
  <c r="I92" i="1"/>
  <c r="I1088" i="1"/>
  <c r="I474" i="1"/>
  <c r="I1471" i="1"/>
  <c r="I1089" i="1"/>
  <c r="I697" i="1"/>
  <c r="I1343" i="1"/>
  <c r="I590" i="1"/>
  <c r="I698" i="1"/>
  <c r="I332" i="1"/>
  <c r="I93" i="1"/>
  <c r="I842" i="1"/>
  <c r="I1090" i="1"/>
  <c r="I475" i="1"/>
  <c r="I699" i="1"/>
  <c r="I94" i="1"/>
  <c r="I1234" i="1"/>
  <c r="I1344" i="1"/>
  <c r="I1091" i="1"/>
  <c r="I591" i="1"/>
  <c r="I333" i="1"/>
  <c r="I334" i="1"/>
  <c r="I968" i="1"/>
  <c r="I1092" i="1"/>
  <c r="I335" i="1"/>
  <c r="I700" i="1"/>
  <c r="I336" i="1"/>
  <c r="I969" i="1"/>
  <c r="I476" i="1"/>
  <c r="I337" i="1"/>
  <c r="I843" i="1"/>
  <c r="I1472" i="1"/>
  <c r="I1473" i="1"/>
  <c r="I338" i="1"/>
  <c r="I701" i="1"/>
  <c r="I702" i="1"/>
  <c r="I592" i="1"/>
  <c r="I477" i="1"/>
  <c r="I1093" i="1"/>
  <c r="I1235" i="1"/>
  <c r="I211" i="1"/>
  <c r="I212" i="1"/>
  <c r="I1345" i="1"/>
  <c r="I1236" i="1"/>
  <c r="I339" i="1"/>
  <c r="I478" i="1"/>
  <c r="I95" i="1"/>
  <c r="I703" i="1"/>
  <c r="I1094" i="1"/>
  <c r="I1346" i="1"/>
  <c r="I704" i="1"/>
  <c r="I96" i="1"/>
  <c r="I844" i="1"/>
  <c r="I213" i="1"/>
  <c r="I97" i="1"/>
  <c r="I479" i="1"/>
  <c r="I1095" i="1"/>
  <c r="I98" i="1"/>
  <c r="I1347" i="1"/>
  <c r="I1474" i="1"/>
  <c r="I970" i="1"/>
  <c r="I99" i="1"/>
  <c r="I1475" i="1"/>
  <c r="I705" i="1"/>
  <c r="I340" i="1"/>
  <c r="I706" i="1"/>
  <c r="I480" i="1"/>
  <c r="I1096" i="1"/>
  <c r="I1097" i="1"/>
  <c r="I481" i="1"/>
  <c r="I971" i="1"/>
  <c r="I100" i="1"/>
  <c r="I972" i="1"/>
  <c r="I1098" i="1"/>
  <c r="I341" i="1"/>
  <c r="I214" i="1"/>
  <c r="I973" i="1"/>
  <c r="I1476" i="1"/>
  <c r="I1099" i="1"/>
  <c r="I215" i="1"/>
  <c r="I101" i="1"/>
  <c r="I974" i="1"/>
  <c r="I1237" i="1"/>
  <c r="I593" i="1"/>
  <c r="I707" i="1"/>
  <c r="I594" i="1"/>
  <c r="I342" i="1"/>
  <c r="I1100" i="1"/>
  <c r="I708" i="1"/>
  <c r="I343" i="1"/>
  <c r="I595" i="1"/>
  <c r="I709" i="1"/>
  <c r="I596" i="1"/>
  <c r="I710" i="1"/>
  <c r="I1101" i="1"/>
  <c r="I216" i="1"/>
  <c r="I975" i="1"/>
  <c r="I845" i="1"/>
  <c r="I711" i="1"/>
  <c r="I1477" i="1"/>
  <c r="I712" i="1"/>
  <c r="I217" i="1"/>
  <c r="I344" i="1"/>
  <c r="I1348" i="1"/>
  <c r="I846" i="1"/>
  <c r="I976" i="1"/>
  <c r="I713" i="1"/>
  <c r="I1478" i="1"/>
  <c r="I597" i="1"/>
  <c r="I1238" i="1"/>
  <c r="I847" i="1"/>
  <c r="I345" i="1"/>
  <c r="I346" i="1"/>
  <c r="I977" i="1"/>
  <c r="I598" i="1"/>
  <c r="I714" i="1"/>
  <c r="I848" i="1"/>
  <c r="I1239" i="1"/>
  <c r="I347" i="1"/>
  <c r="I218" i="1"/>
  <c r="I482" i="1"/>
  <c r="I1479" i="1"/>
  <c r="I1349" i="1"/>
  <c r="I219" i="1"/>
  <c r="I715" i="1"/>
  <c r="I220" i="1"/>
  <c r="I221" i="1"/>
  <c r="I978" i="1"/>
  <c r="I849" i="1"/>
  <c r="I1350" i="1"/>
  <c r="I850" i="1"/>
  <c r="I979" i="1"/>
  <c r="I222" i="1"/>
  <c r="I1351" i="1"/>
  <c r="I223" i="1"/>
  <c r="I102" i="1"/>
  <c r="I599" i="1"/>
  <c r="I348" i="1"/>
  <c r="I1480" i="1"/>
  <c r="I600" i="1"/>
  <c r="I980" i="1"/>
  <c r="I1102" i="1"/>
  <c r="I601" i="1"/>
  <c r="I981" i="1"/>
  <c r="I483" i="1"/>
  <c r="I982" i="1"/>
  <c r="I349" i="1"/>
  <c r="I1240" i="1"/>
  <c r="I103" i="1"/>
  <c r="I983" i="1"/>
  <c r="I484" i="1"/>
  <c r="I1481" i="1"/>
  <c r="I716" i="1"/>
  <c r="I1482" i="1"/>
  <c r="I984" i="1"/>
  <c r="I224" i="1"/>
  <c r="I350" i="1"/>
  <c r="I602" i="1"/>
  <c r="I1241" i="1"/>
  <c r="I225" i="1"/>
  <c r="I1103" i="1"/>
  <c r="I351" i="1"/>
  <c r="I985" i="1"/>
  <c r="I1104" i="1"/>
  <c r="I352" i="1"/>
  <c r="I986" i="1"/>
  <c r="I851" i="1"/>
  <c r="I1352" i="1"/>
  <c r="I717" i="1"/>
  <c r="I226" i="1"/>
  <c r="I603" i="1"/>
  <c r="I604" i="1"/>
  <c r="I485" i="1"/>
  <c r="I852" i="1"/>
  <c r="I987" i="1"/>
  <c r="I353" i="1"/>
  <c r="I605" i="1"/>
  <c r="I227" i="1"/>
  <c r="I1483" i="1"/>
  <c r="I606" i="1"/>
  <c r="I486" i="1"/>
  <c r="I487" i="1"/>
  <c r="I988" i="1"/>
  <c r="I989" i="1"/>
  <c r="I1105" i="1"/>
  <c r="I228" i="1"/>
  <c r="I229" i="1"/>
  <c r="I488" i="1"/>
  <c r="I1106" i="1"/>
  <c r="I718" i="1"/>
  <c r="I1484" i="1"/>
  <c r="I607" i="1"/>
  <c r="I719" i="1"/>
  <c r="I1107" i="1"/>
  <c r="I1353" i="1"/>
  <c r="I720" i="1"/>
  <c r="I1108" i="1"/>
  <c r="I721" i="1"/>
  <c r="I1354" i="1"/>
  <c r="I1485" i="1"/>
  <c r="I1242" i="1"/>
  <c r="I104" i="1"/>
  <c r="I354" i="1"/>
  <c r="I853" i="1"/>
  <c r="I722" i="1"/>
  <c r="I105" i="1"/>
  <c r="I355" i="1"/>
  <c r="I723" i="1"/>
  <c r="I854" i="1"/>
  <c r="I1355" i="1"/>
  <c r="I855" i="1"/>
  <c r="I106" i="1"/>
  <c r="I724" i="1"/>
  <c r="I990" i="1"/>
  <c r="I1486" i="1"/>
  <c r="I489" i="1"/>
  <c r="I1356" i="1"/>
  <c r="I107" i="1"/>
  <c r="I1109" i="1"/>
  <c r="I725" i="1"/>
  <c r="I356" i="1"/>
  <c r="I1110" i="1"/>
  <c r="I1243" i="1"/>
  <c r="I856" i="1"/>
  <c r="I357" i="1"/>
  <c r="I991" i="1"/>
  <c r="I1111" i="1"/>
  <c r="I1357" i="1"/>
  <c r="I1487" i="1"/>
  <c r="I1358" i="1"/>
  <c r="I108" i="1"/>
  <c r="I490" i="1"/>
  <c r="I491" i="1"/>
  <c r="I1488" i="1"/>
  <c r="I109" i="1"/>
  <c r="I726" i="1"/>
  <c r="I608" i="1"/>
  <c r="I110" i="1"/>
  <c r="I1244" i="1"/>
  <c r="I1359" i="1"/>
  <c r="I230" i="1"/>
  <c r="I1112" i="1"/>
  <c r="I358" i="1"/>
  <c r="I1113" i="1"/>
  <c r="I1245" i="1"/>
  <c r="I1489" i="1"/>
  <c r="I1360" i="1"/>
  <c r="I727" i="1"/>
  <c r="I992" i="1"/>
  <c r="I1361" i="1"/>
  <c r="I857" i="1"/>
  <c r="I1114" i="1"/>
  <c r="I359" i="1"/>
  <c r="I609" i="1"/>
  <c r="I1490" i="1"/>
  <c r="I610" i="1"/>
  <c r="I231" i="1"/>
  <c r="I993" i="1"/>
  <c r="I728" i="1"/>
  <c r="I232" i="1"/>
  <c r="I111" i="1"/>
  <c r="I1115" i="1"/>
  <c r="I611" i="1"/>
  <c r="I994" i="1"/>
  <c r="I1246" i="1"/>
  <c r="I1491" i="1"/>
  <c r="I1492" i="1"/>
  <c r="I612" i="1"/>
  <c r="I360" i="1"/>
  <c r="I361" i="1"/>
  <c r="I492" i="1"/>
  <c r="I858" i="1"/>
  <c r="I362" i="1"/>
  <c r="I493" i="1"/>
  <c r="I233" i="1"/>
  <c r="I859" i="1"/>
  <c r="I1247" i="1"/>
  <c r="I1362" i="1"/>
  <c r="I995" i="1"/>
  <c r="I112" i="1"/>
  <c r="I1363" i="1"/>
  <c r="I729" i="1"/>
  <c r="I1116" i="1"/>
  <c r="I1117" i="1"/>
  <c r="I730" i="1"/>
  <c r="I234" i="1"/>
  <c r="I1118" i="1"/>
  <c r="I363" i="1"/>
  <c r="I1119" i="1"/>
  <c r="I996" i="1"/>
  <c r="I1248" i="1"/>
  <c r="I613" i="1"/>
  <c r="I997" i="1"/>
  <c r="I731" i="1"/>
  <c r="I860" i="1"/>
  <c r="I1364" i="1"/>
  <c r="I861" i="1"/>
  <c r="I732" i="1"/>
  <c r="I494" i="1"/>
  <c r="I1365" i="1"/>
  <c r="I235" i="1"/>
  <c r="I364" i="1"/>
  <c r="I113" i="1"/>
  <c r="I495" i="1"/>
  <c r="I614" i="1"/>
  <c r="I615" i="1"/>
  <c r="I1120" i="1"/>
  <c r="I862" i="1"/>
  <c r="I365" i="1"/>
  <c r="I733" i="1"/>
  <c r="I1366" i="1"/>
  <c r="I1493" i="1"/>
  <c r="I114" i="1"/>
  <c r="I734" i="1"/>
  <c r="I616" i="1"/>
  <c r="I998" i="1"/>
  <c r="I1121" i="1"/>
  <c r="I1367" i="1"/>
  <c r="I1368" i="1"/>
  <c r="I617" i="1"/>
  <c r="I618" i="1"/>
  <c r="I863" i="1"/>
  <c r="I864" i="1"/>
  <c r="I1122" i="1"/>
  <c r="I496" i="1"/>
  <c r="I1249" i="1"/>
  <c r="I497" i="1"/>
  <c r="I999" i="1"/>
  <c r="I1369" i="1"/>
  <c r="I1123" i="1"/>
  <c r="I735" i="1"/>
  <c r="I366" i="1"/>
  <c r="I115" i="1"/>
  <c r="I1370" i="1"/>
  <c r="I865" i="1"/>
  <c r="I1000" i="1"/>
  <c r="I116" i="1"/>
  <c r="I736" i="1"/>
  <c r="I866" i="1"/>
  <c r="I367" i="1"/>
  <c r="I737" i="1"/>
  <c r="I619" i="1"/>
  <c r="I117" i="1"/>
  <c r="I1124" i="1"/>
  <c r="I1371" i="1"/>
  <c r="I118" i="1"/>
  <c r="I738" i="1"/>
  <c r="I1125" i="1"/>
  <c r="I236" i="1"/>
  <c r="I739" i="1"/>
  <c r="I237" i="1"/>
  <c r="I867" i="1"/>
  <c r="I1372" i="1"/>
  <c r="I368" i="1"/>
  <c r="I1001" i="1"/>
  <c r="I1494" i="1"/>
  <c r="I238" i="1"/>
  <c r="I1002" i="1"/>
  <c r="I498" i="1"/>
  <c r="I119" i="1"/>
  <c r="I868" i="1"/>
  <c r="I1126" i="1"/>
  <c r="I1373" i="1"/>
  <c r="I740" i="1"/>
  <c r="I120" i="1"/>
  <c r="I499" i="1"/>
  <c r="I1495" i="1"/>
  <c r="I239" i="1"/>
  <c r="I240" i="1"/>
  <c r="I620" i="1"/>
  <c r="I121" i="1"/>
  <c r="I369" i="1"/>
  <c r="I500" i="1"/>
  <c r="I869" i="1"/>
  <c r="I370" i="1"/>
  <c r="I122" i="1"/>
  <c r="I1003" i="1"/>
  <c r="I741" i="1"/>
  <c r="I1496" i="1"/>
  <c r="I1374" i="1"/>
  <c r="I241" i="1"/>
  <c r="I1497" i="1"/>
  <c r="I371" i="1"/>
  <c r="I1127" i="1"/>
  <c r="I742" i="1"/>
  <c r="I123" i="1"/>
  <c r="I1004" i="1"/>
  <c r="I1005" i="1"/>
  <c r="I501" i="1"/>
  <c r="I502" i="1"/>
  <c r="I1250" i="1"/>
  <c r="I870" i="1"/>
  <c r="I871" i="1"/>
  <c r="I872" i="1"/>
  <c r="I1375" i="1"/>
  <c r="I873" i="1"/>
  <c r="I621" i="1"/>
  <c r="I503" i="1"/>
  <c r="I743" i="1"/>
  <c r="I124" i="1"/>
  <c r="I1251" i="1"/>
  <c r="I504" i="1"/>
  <c r="I1006" i="1"/>
  <c r="I505" i="1"/>
  <c r="I1007" i="1"/>
  <c r="I1376" i="1"/>
  <c r="I1377" i="1"/>
  <c r="I1252" i="1"/>
  <c r="I1498" i="1"/>
  <c r="I1008" i="1"/>
  <c r="I874" i="1"/>
  <c r="I1253" i="1"/>
  <c r="I1128" i="1"/>
  <c r="I1378" i="1"/>
  <c r="I1499" i="1"/>
  <c r="I1379" i="1"/>
  <c r="I1129" i="1"/>
  <c r="I875" i="1"/>
  <c r="I744" i="1"/>
  <c r="I1500" i="1"/>
  <c r="I1130" i="1"/>
  <c r="I1131" i="1"/>
  <c r="I1132" i="1"/>
  <c r="I506" i="1"/>
  <c r="I125" i="1"/>
  <c r="I876" i="1"/>
  <c r="I126" i="1"/>
  <c r="I1254" i="1"/>
  <c r="I242" i="1"/>
  <c r="I877" i="1"/>
  <c r="I1255" i="1"/>
  <c r="I127" i="1"/>
  <c r="I1133" i="1"/>
  <c r="I1256" i="1"/>
  <c r="I128" i="1"/>
  <c r="I1009" i="1"/>
  <c r="I1257" i="1"/>
  <c r="I243" i="1"/>
  <c r="I1501" i="1"/>
  <c r="F6" i="11"/>
  <c r="F6" i="10"/>
  <c r="I6" i="10"/>
  <c r="H10" i="9"/>
  <c r="E10" i="9"/>
  <c r="H6" i="9" s="1"/>
  <c r="E15" i="9" s="1"/>
  <c r="E6" i="9"/>
  <c r="K6" i="8"/>
  <c r="H6" i="8"/>
  <c r="E6" i="8"/>
  <c r="E11" i="8" l="1"/>
  <c r="H11" i="8" s="1"/>
  <c r="I9" i="10"/>
  <c r="I14" i="10" s="1"/>
  <c r="I6" i="11"/>
  <c r="F10" i="11"/>
  <c r="E14" i="8"/>
  <c r="M9" i="12" l="1"/>
  <c r="M12" i="12" s="1"/>
  <c r="M13" i="12" s="1"/>
  <c r="K11" i="8"/>
  <c r="O6" i="10"/>
  <c r="O11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F8DCFD-BC6A-40B2-B949-A883D86B64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326F650-27F7-482C-BFB3-D48C1EAB9C0A}" name="WorksheetConnection_Manufacturing_Finance_MIS_Dataset.xlsx!tblExpense" type="102" refreshedVersion="8" minRefreshableVersion="5">
    <extLst>
      <ext xmlns:x15="http://schemas.microsoft.com/office/spreadsheetml/2010/11/main" uri="{DE250136-89BD-433C-8126-D09CA5730AF9}">
        <x15:connection id="tblExpense" autoDelete="1">
          <x15:rangePr sourceName="_xlcn.WorksheetConnection_Manufacturing_Finance_MIS_Dataset.xlsxtblExpense1"/>
        </x15:connection>
      </ext>
    </extLst>
  </connection>
</connections>
</file>

<file path=xl/sharedStrings.xml><?xml version="1.0" encoding="utf-8"?>
<sst xmlns="http://schemas.openxmlformats.org/spreadsheetml/2006/main" count="10217" uniqueCount="1817">
  <si>
    <t>Date</t>
  </si>
  <si>
    <t>Invoice_No</t>
  </si>
  <si>
    <t>Product</t>
  </si>
  <si>
    <t>Quantity</t>
  </si>
  <si>
    <t>Unit_Price</t>
  </si>
  <si>
    <t>Sales_Amount</t>
  </si>
  <si>
    <t>Region</t>
  </si>
  <si>
    <t>Customer</t>
  </si>
  <si>
    <t>INV00001</t>
  </si>
  <si>
    <t>Compressor</t>
  </si>
  <si>
    <t>West</t>
  </si>
  <si>
    <t>XYZ Pvt Ltd</t>
  </si>
  <si>
    <t>INV00002</t>
  </si>
  <si>
    <t>Generator</t>
  </si>
  <si>
    <t>East</t>
  </si>
  <si>
    <t>Skyline Ltd</t>
  </si>
  <si>
    <t>INV00003</t>
  </si>
  <si>
    <t>ABC Ltd</t>
  </si>
  <si>
    <t>INV00004</t>
  </si>
  <si>
    <t>South</t>
  </si>
  <si>
    <t>INV00005</t>
  </si>
  <si>
    <t>INV00006</t>
  </si>
  <si>
    <t>Motor</t>
  </si>
  <si>
    <t>North</t>
  </si>
  <si>
    <t>INV00007</t>
  </si>
  <si>
    <t>INV00008</t>
  </si>
  <si>
    <t>Pump</t>
  </si>
  <si>
    <t>Prime Industries</t>
  </si>
  <si>
    <t>INV00009</t>
  </si>
  <si>
    <t>INV00010</t>
  </si>
  <si>
    <t>Global Corp</t>
  </si>
  <si>
    <t>INV00011</t>
  </si>
  <si>
    <t>INV00012</t>
  </si>
  <si>
    <t>INV00013</t>
  </si>
  <si>
    <t>INV00014</t>
  </si>
  <si>
    <t>Valve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</si>
  <si>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</si>
  <si>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</si>
  <si>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</si>
  <si>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</si>
  <si>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</si>
  <si>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</si>
  <si>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</si>
  <si>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</si>
  <si>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</si>
  <si>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</si>
  <si>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</si>
  <si>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</si>
  <si>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</si>
  <si>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</si>
  <si>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</si>
  <si>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</si>
  <si>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</si>
  <si>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</si>
  <si>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</si>
  <si>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</si>
  <si>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</si>
  <si>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</si>
  <si>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</si>
  <si>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</si>
  <si>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</si>
  <si>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</si>
  <si>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</si>
  <si>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</si>
  <si>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</si>
  <si>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</si>
  <si>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</si>
  <si>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</si>
  <si>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</si>
  <si>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</si>
  <si>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</si>
  <si>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</si>
  <si>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</si>
  <si>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</si>
  <si>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</si>
  <si>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</si>
  <si>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</si>
  <si>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</si>
  <si>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</si>
  <si>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</si>
  <si>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</si>
  <si>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</si>
  <si>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</si>
  <si>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</si>
  <si>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</si>
  <si>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</si>
  <si>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</si>
  <si>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</si>
  <si>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</si>
  <si>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</si>
  <si>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</si>
  <si>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</si>
  <si>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</si>
  <si>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</si>
  <si>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</si>
  <si>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</si>
  <si>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</si>
  <si>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</si>
  <si>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</si>
  <si>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</si>
  <si>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</si>
  <si>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</si>
  <si>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</si>
  <si>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</si>
  <si>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</si>
  <si>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</si>
  <si>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</si>
  <si>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</si>
  <si>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</si>
  <si>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</si>
  <si>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</si>
  <si>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</si>
  <si>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</si>
  <si>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</si>
  <si>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</si>
  <si>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</si>
  <si>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</si>
  <si>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</si>
  <si>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</si>
  <si>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</si>
  <si>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</si>
  <si>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</si>
  <si>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</si>
  <si>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</si>
  <si>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</si>
  <si>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</si>
  <si>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</si>
  <si>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</si>
  <si>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</si>
  <si>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</si>
  <si>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</si>
  <si>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</si>
  <si>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</si>
  <si>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</si>
  <si>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</si>
  <si>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</si>
  <si>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</si>
  <si>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</si>
  <si>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</si>
  <si>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</si>
  <si>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</si>
  <si>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</si>
  <si>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</si>
  <si>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</si>
  <si>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</si>
  <si>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</si>
  <si>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</si>
  <si>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</si>
  <si>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</si>
  <si>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</si>
  <si>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</si>
  <si>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</si>
  <si>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</si>
  <si>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</si>
  <si>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</si>
  <si>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</si>
  <si>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</si>
  <si>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</si>
  <si>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</si>
  <si>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</si>
  <si>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</si>
  <si>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</si>
  <si>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</si>
  <si>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</si>
  <si>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</si>
  <si>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</si>
  <si>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</si>
  <si>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</si>
  <si>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</si>
  <si>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</si>
  <si>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</si>
  <si>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</si>
  <si>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</si>
  <si>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</si>
  <si>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</si>
  <si>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</si>
  <si>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</si>
  <si>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</si>
  <si>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</si>
  <si>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</si>
  <si>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</si>
  <si>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</si>
  <si>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</si>
  <si>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</si>
  <si>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</si>
  <si>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</si>
  <si>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</si>
  <si>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</si>
  <si>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</si>
  <si>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</si>
  <si>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</si>
  <si>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</si>
  <si>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</si>
  <si>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</si>
  <si>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</si>
  <si>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</si>
  <si>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</si>
  <si>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</si>
  <si>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</si>
  <si>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</si>
  <si>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</si>
  <si>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</si>
  <si>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</si>
  <si>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</si>
  <si>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</si>
  <si>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</si>
  <si>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</si>
  <si>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</si>
  <si>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</si>
  <si>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</si>
  <si>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</si>
  <si>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</si>
  <si>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</si>
  <si>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</si>
  <si>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</si>
  <si>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</si>
  <si>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</si>
  <si>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</si>
  <si>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</si>
  <si>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</si>
  <si>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</si>
  <si>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</si>
  <si>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</si>
  <si>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</si>
  <si>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</si>
  <si>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</si>
  <si>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</si>
  <si>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</si>
  <si>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</si>
  <si>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</si>
  <si>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</si>
  <si>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</si>
  <si>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</si>
  <si>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</si>
  <si>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</si>
  <si>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</si>
  <si>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</si>
  <si>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</si>
  <si>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</si>
  <si>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</si>
  <si>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</si>
  <si>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</si>
  <si>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</si>
  <si>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</si>
  <si>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</si>
  <si>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</si>
  <si>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</si>
  <si>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</si>
  <si>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</si>
  <si>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</si>
  <si>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</si>
  <si>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</si>
  <si>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</si>
  <si>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</si>
  <si>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</si>
  <si>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</si>
  <si>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</si>
  <si>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</si>
  <si>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</si>
  <si>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</si>
  <si>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</si>
  <si>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</si>
  <si>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</si>
  <si>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</si>
  <si>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</si>
  <si>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</si>
  <si>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</si>
  <si>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</si>
  <si>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</si>
  <si>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</si>
  <si>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</si>
  <si>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</si>
  <si>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</si>
  <si>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</si>
  <si>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</si>
  <si>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</si>
  <si>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</si>
  <si>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</si>
  <si>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</si>
  <si>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</si>
  <si>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</si>
  <si>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</si>
  <si>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</si>
  <si>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</si>
  <si>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</si>
  <si>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</si>
  <si>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</si>
  <si>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</si>
  <si>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</si>
  <si>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</si>
  <si>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</si>
  <si>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</si>
  <si>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</si>
  <si>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</si>
  <si>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</si>
  <si>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</si>
  <si>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</si>
  <si>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</si>
  <si>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</si>
  <si>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</si>
  <si>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</si>
  <si>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</si>
  <si>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</si>
  <si>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</si>
  <si>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</si>
  <si>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</si>
  <si>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</si>
  <si>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</si>
  <si>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</si>
  <si>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</si>
  <si>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</si>
  <si>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</si>
  <si>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</si>
  <si>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</si>
  <si>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</si>
  <si>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</si>
  <si>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</si>
  <si>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</si>
  <si>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</si>
  <si>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</si>
  <si>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</si>
  <si>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</si>
  <si>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</si>
  <si>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</si>
  <si>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</si>
  <si>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</si>
  <si>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</si>
  <si>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</si>
  <si>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</si>
  <si>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</si>
  <si>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</si>
  <si>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</si>
  <si>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</si>
  <si>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</si>
  <si>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</si>
  <si>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</si>
  <si>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</si>
  <si>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</si>
  <si>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</si>
  <si>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</si>
  <si>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</si>
  <si>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</si>
  <si>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</si>
  <si>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</si>
  <si>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</si>
  <si>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</si>
  <si>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</si>
  <si>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</si>
  <si>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</si>
  <si>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</si>
  <si>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</si>
  <si>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</si>
  <si>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</si>
  <si>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</si>
  <si>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</si>
  <si>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</si>
  <si>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</si>
  <si>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</si>
  <si>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</si>
  <si>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</si>
  <si>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</si>
  <si>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</si>
  <si>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</si>
  <si>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</si>
  <si>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</si>
  <si>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</si>
  <si>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</si>
  <si>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</si>
  <si>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</si>
  <si>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</si>
  <si>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</si>
  <si>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</si>
  <si>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</si>
  <si>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</si>
  <si>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</si>
  <si>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</si>
  <si>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</si>
  <si>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</si>
  <si>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</si>
  <si>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</si>
  <si>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</si>
  <si>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</si>
  <si>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</si>
  <si>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</si>
  <si>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</si>
  <si>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</si>
  <si>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</si>
  <si>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</si>
  <si>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</si>
  <si>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</si>
  <si>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</si>
  <si>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</si>
  <si>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</si>
  <si>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</si>
  <si>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</si>
  <si>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</si>
  <si>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</si>
  <si>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</si>
  <si>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</si>
  <si>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</si>
  <si>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</si>
  <si>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</si>
  <si>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</si>
  <si>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</si>
  <si>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</si>
  <si>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</si>
  <si>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</si>
  <si>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</si>
  <si>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</si>
  <si>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</si>
  <si>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</si>
  <si>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</si>
  <si>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</si>
  <si>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</si>
  <si>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</si>
  <si>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</si>
  <si>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</si>
  <si>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</si>
  <si>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</si>
  <si>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</si>
  <si>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</si>
  <si>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</si>
  <si>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</si>
  <si>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</si>
  <si>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</si>
  <si>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</si>
  <si>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</si>
  <si>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</si>
  <si>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</si>
  <si>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</si>
  <si>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</si>
  <si>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</si>
  <si>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</si>
  <si>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</si>
  <si>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</si>
  <si>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</si>
  <si>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</si>
  <si>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</si>
  <si>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</si>
  <si>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</si>
  <si>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</si>
  <si>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</si>
  <si>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</si>
  <si>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</si>
  <si>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</si>
  <si>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</si>
  <si>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</si>
  <si>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</si>
  <si>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</si>
  <si>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</si>
  <si>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</si>
  <si>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</si>
  <si>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</si>
  <si>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</si>
  <si>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</si>
  <si>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</si>
  <si>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</si>
  <si>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</si>
  <si>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</si>
  <si>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</si>
  <si>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</si>
  <si>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</si>
  <si>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</si>
  <si>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</si>
  <si>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</si>
  <si>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</si>
  <si>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</si>
  <si>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</si>
  <si>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</si>
  <si>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</si>
  <si>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</si>
  <si>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</si>
  <si>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</si>
  <si>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</si>
  <si>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</si>
  <si>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</si>
  <si>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</si>
  <si>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</si>
  <si>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</si>
  <si>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</si>
  <si>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</si>
  <si>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</si>
  <si>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</si>
  <si>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</si>
  <si>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</si>
  <si>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</si>
  <si>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</si>
  <si>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</si>
  <si>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</si>
  <si>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</si>
  <si>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</si>
  <si>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</si>
  <si>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</si>
  <si>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</si>
  <si>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</si>
  <si>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</si>
  <si>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</si>
  <si>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</si>
  <si>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</si>
  <si>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</si>
  <si>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</si>
  <si>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</si>
  <si>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</si>
  <si>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</si>
  <si>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</si>
  <si>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</si>
  <si>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</si>
  <si>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</si>
  <si>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</si>
  <si>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</si>
  <si>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</si>
  <si>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</si>
  <si>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</si>
  <si>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</si>
  <si>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</si>
  <si>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</si>
  <si>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</si>
  <si>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</si>
  <si>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</si>
  <si>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</si>
  <si>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</si>
  <si>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</si>
  <si>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</si>
  <si>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</si>
  <si>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</si>
  <si>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</si>
  <si>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</si>
  <si>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</si>
  <si>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</si>
  <si>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</si>
  <si>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</si>
  <si>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</si>
  <si>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</si>
  <si>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</si>
  <si>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</si>
  <si>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</si>
  <si>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</si>
  <si>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</si>
  <si>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</si>
  <si>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</si>
  <si>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</si>
  <si>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</si>
  <si>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</si>
  <si>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</si>
  <si>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</si>
  <si>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</si>
  <si>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</si>
  <si>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</si>
  <si>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</si>
  <si>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</si>
  <si>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</si>
  <si>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</si>
  <si>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</si>
  <si>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</si>
  <si>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</si>
  <si>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</si>
  <si>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</si>
  <si>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</si>
  <si>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</si>
  <si>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</si>
  <si>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</si>
  <si>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</si>
  <si>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</si>
  <si>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</si>
  <si>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</si>
  <si>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</si>
  <si>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</si>
  <si>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</si>
  <si>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</si>
  <si>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</si>
  <si>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</si>
  <si>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</si>
  <si>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</si>
  <si>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</si>
  <si>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</si>
  <si>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</si>
  <si>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</si>
  <si>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</si>
  <si>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</si>
  <si>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</si>
  <si>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</si>
  <si>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</si>
  <si>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</si>
  <si>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</si>
  <si>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</si>
  <si>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</si>
  <si>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</si>
  <si>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</si>
  <si>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</si>
  <si>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</si>
  <si>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</si>
  <si>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</si>
  <si>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</si>
  <si>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</si>
  <si>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</si>
  <si>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</si>
  <si>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</si>
  <si>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</si>
  <si>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</si>
  <si>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</si>
  <si>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</si>
  <si>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</si>
  <si>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</si>
  <si>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</si>
  <si>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</si>
  <si>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</si>
  <si>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</si>
  <si>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</si>
  <si>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</si>
  <si>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</si>
  <si>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</si>
  <si>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</si>
  <si>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</si>
  <si>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</si>
  <si>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</si>
  <si>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</si>
  <si>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</si>
  <si>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</si>
  <si>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</si>
  <si>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</si>
  <si>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</si>
  <si>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</si>
  <si>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</si>
  <si>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</si>
  <si>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</si>
  <si>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</si>
  <si>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</si>
  <si>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</si>
  <si>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</si>
  <si>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</si>
  <si>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</si>
  <si>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</si>
  <si>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</si>
  <si>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</si>
  <si>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</si>
  <si>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</si>
  <si>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</si>
  <si>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</si>
  <si>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</si>
  <si>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</si>
  <si>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</si>
  <si>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</si>
  <si>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</si>
  <si>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</si>
  <si>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</si>
  <si>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</si>
  <si>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</si>
  <si>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</si>
  <si>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</si>
  <si>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</si>
  <si>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</si>
  <si>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</si>
  <si>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</si>
  <si>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</si>
  <si>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</si>
  <si>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</si>
  <si>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</si>
  <si>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</si>
  <si>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</si>
  <si>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</si>
  <si>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</si>
  <si>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</si>
  <si>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</si>
  <si>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</si>
  <si>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</si>
  <si>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</si>
  <si>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</si>
  <si>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</si>
  <si>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</si>
  <si>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</si>
  <si>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</si>
  <si>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</si>
  <si>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</si>
  <si>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</si>
  <si>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</si>
  <si>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</si>
  <si>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</si>
  <si>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</si>
  <si>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</si>
  <si>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</si>
  <si>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</si>
  <si>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</si>
  <si>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</si>
  <si>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</si>
  <si>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</si>
  <si>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</si>
  <si>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</si>
  <si>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</si>
  <si>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</si>
  <si>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</si>
  <si>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</si>
  <si>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</si>
  <si>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</si>
  <si>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</si>
  <si>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</si>
  <si>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</si>
  <si>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</si>
  <si>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</si>
  <si>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</si>
  <si>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</si>
  <si>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</si>
  <si>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</si>
  <si>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</si>
  <si>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</si>
  <si>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</si>
  <si>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</si>
  <si>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</si>
  <si>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</si>
  <si>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</si>
  <si>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</si>
  <si>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</si>
  <si>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</si>
  <si>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</si>
  <si>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</si>
  <si>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</si>
  <si>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</si>
  <si>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</si>
  <si>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</si>
  <si>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</si>
  <si>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</si>
  <si>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</si>
  <si>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</si>
  <si>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</si>
  <si>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</si>
  <si>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</si>
  <si>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</si>
  <si>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</si>
  <si>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</si>
  <si>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</si>
  <si>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</si>
  <si>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</si>
  <si>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</si>
  <si>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</si>
  <si>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</si>
  <si>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</si>
  <si>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</si>
  <si>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</si>
  <si>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</si>
  <si>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</si>
  <si>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</si>
  <si>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</si>
  <si>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</si>
  <si>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</si>
  <si>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</si>
  <si>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</si>
  <si>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</si>
  <si>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</si>
  <si>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</si>
  <si>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</si>
  <si>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</si>
  <si>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</si>
  <si>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</si>
  <si>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</si>
  <si>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</si>
  <si>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</si>
  <si>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</si>
  <si>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</si>
  <si>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</si>
  <si>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</si>
  <si>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</si>
  <si>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</si>
  <si>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</si>
  <si>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</si>
  <si>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</si>
  <si>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</si>
  <si>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</si>
  <si>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</si>
  <si>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</si>
  <si>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</si>
  <si>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</si>
  <si>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</si>
  <si>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</si>
  <si>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</si>
  <si>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</si>
  <si>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</si>
  <si>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</si>
  <si>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</si>
  <si>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</si>
  <si>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</si>
  <si>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</si>
  <si>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</si>
  <si>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</si>
  <si>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</si>
  <si>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</si>
  <si>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</si>
  <si>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</si>
  <si>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</si>
  <si>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</si>
  <si>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</si>
  <si>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</si>
  <si>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</si>
  <si>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</si>
  <si>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</si>
  <si>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</si>
  <si>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</si>
  <si>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</si>
  <si>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</si>
  <si>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</si>
  <si>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</si>
  <si>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</si>
  <si>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</si>
  <si>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</si>
  <si>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</si>
  <si>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</si>
  <si>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</si>
  <si>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</si>
  <si>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</si>
  <si>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</si>
  <si>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</si>
  <si>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</si>
  <si>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</si>
  <si>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</si>
  <si>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</si>
  <si>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</si>
  <si>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</si>
  <si>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</si>
  <si>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</si>
  <si>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</si>
  <si>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</si>
  <si>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</si>
  <si>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</si>
  <si>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</si>
  <si>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</si>
  <si>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</si>
  <si>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</si>
  <si>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</si>
  <si>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</si>
  <si>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</si>
  <si>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</si>
  <si>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</si>
  <si>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</si>
  <si>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</si>
  <si>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</si>
  <si>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</si>
  <si>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</si>
  <si>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</si>
  <si>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</si>
  <si>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</si>
  <si>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</si>
  <si>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</si>
  <si>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</si>
  <si>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</si>
  <si>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</si>
  <si>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</si>
  <si>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</si>
  <si>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</si>
  <si>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</si>
  <si>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</si>
  <si>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</si>
  <si>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</si>
  <si>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</si>
  <si>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</si>
  <si>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</si>
  <si>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</si>
  <si>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</si>
  <si>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</si>
  <si>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</si>
  <si>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</si>
  <si>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</si>
  <si>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</si>
  <si>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</si>
  <si>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</si>
  <si>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</si>
  <si>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</si>
  <si>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</si>
  <si>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</si>
  <si>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</si>
  <si>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</si>
  <si>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</si>
  <si>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</si>
  <si>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</si>
  <si>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</si>
  <si>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</si>
  <si>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</si>
  <si>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</si>
  <si>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</si>
  <si>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</si>
  <si>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</si>
  <si>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</si>
  <si>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</si>
  <si>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</si>
  <si>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</si>
  <si>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</si>
  <si>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</si>
  <si>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</si>
  <si>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</si>
  <si>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</si>
  <si>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</si>
  <si>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</si>
  <si>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</si>
  <si>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</si>
  <si>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</si>
  <si>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</si>
  <si>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</si>
  <si>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</si>
  <si>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</si>
  <si>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</si>
  <si>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</si>
  <si>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</si>
  <si>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</si>
  <si>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</si>
  <si>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</si>
  <si>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</si>
  <si>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</si>
  <si>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</si>
  <si>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</si>
  <si>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</si>
  <si>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</si>
  <si>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</si>
  <si>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</si>
  <si>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</si>
  <si>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</si>
  <si>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</si>
  <si>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</si>
  <si>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</si>
  <si>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</si>
  <si>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</si>
  <si>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</si>
  <si>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</si>
  <si>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</si>
  <si>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</si>
  <si>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</si>
  <si>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</si>
  <si>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</si>
  <si>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</si>
  <si>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</si>
  <si>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</si>
  <si>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</si>
  <si>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</si>
  <si>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</si>
  <si>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</si>
  <si>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</si>
  <si>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</si>
  <si>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</si>
  <si>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</si>
  <si>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</si>
  <si>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</si>
  <si>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</si>
  <si>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</si>
  <si>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</si>
  <si>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</si>
  <si>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</si>
  <si>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</si>
  <si>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</si>
  <si>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</si>
  <si>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</si>
  <si>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</si>
  <si>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</si>
  <si>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</si>
  <si>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</si>
  <si>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</si>
  <si>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</si>
  <si>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</si>
  <si>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</si>
  <si>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</si>
  <si>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</si>
  <si>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</si>
  <si>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</si>
  <si>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</si>
  <si>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</si>
  <si>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</si>
  <si>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</si>
  <si>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</si>
  <si>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</si>
  <si>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</si>
  <si>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</si>
  <si>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</si>
  <si>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</si>
  <si>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</si>
  <si>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</si>
  <si>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</si>
  <si>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</si>
  <si>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</si>
  <si>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</si>
  <si>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</si>
  <si>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</si>
  <si>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</si>
  <si>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</si>
  <si>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</si>
  <si>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</si>
  <si>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</si>
  <si>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</si>
  <si>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</si>
  <si>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</si>
  <si>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</si>
  <si>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</si>
  <si>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</si>
  <si>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</si>
  <si>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</si>
  <si>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</si>
  <si>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</si>
  <si>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</si>
  <si>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</si>
  <si>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</si>
  <si>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</si>
  <si>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</si>
  <si>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</si>
  <si>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</si>
  <si>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</si>
  <si>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</si>
  <si>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</si>
  <si>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</si>
  <si>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</si>
  <si>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</si>
  <si>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</si>
  <si>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</si>
  <si>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</si>
  <si>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</si>
  <si>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</si>
  <si>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</si>
  <si>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</si>
  <si>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</si>
  <si>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</si>
  <si>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</si>
  <si>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</si>
  <si>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</si>
  <si>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</si>
  <si>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</si>
  <si>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</si>
  <si>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</si>
  <si>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</si>
  <si>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</si>
  <si>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</si>
  <si>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</si>
  <si>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</si>
  <si>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</si>
  <si>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</si>
  <si>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</si>
  <si>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</si>
  <si>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</si>
  <si>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</si>
  <si>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</si>
  <si>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</si>
  <si>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</si>
  <si>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</si>
  <si>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</si>
  <si>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</si>
  <si>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</si>
  <si>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</si>
  <si>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</si>
  <si>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</si>
  <si>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</si>
  <si>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</si>
  <si>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</si>
  <si>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</si>
  <si>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</si>
  <si>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</si>
  <si>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</si>
  <si>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</si>
  <si>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</si>
  <si>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</si>
  <si>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</si>
  <si>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</si>
  <si>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</si>
  <si>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</si>
  <si>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</si>
  <si>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</si>
  <si>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</si>
  <si>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</si>
  <si>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</si>
  <si>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</si>
  <si>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</si>
  <si>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</si>
  <si>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</si>
  <si>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</si>
  <si>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</si>
  <si>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</si>
  <si>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</si>
  <si>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</si>
  <si>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</si>
  <si>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</si>
  <si>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</si>
  <si>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</si>
  <si>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</si>
  <si>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</si>
  <si>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</si>
  <si>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</si>
  <si>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</si>
  <si>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</si>
  <si>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</si>
  <si>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</si>
  <si>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</si>
  <si>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</si>
  <si>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</si>
  <si>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</si>
  <si>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</si>
  <si>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</si>
  <si>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</si>
  <si>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</si>
  <si>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</si>
  <si>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</si>
  <si>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</si>
  <si>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</si>
  <si>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</si>
  <si>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</si>
  <si>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</si>
  <si>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</si>
  <si>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</si>
  <si>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</si>
  <si>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</si>
  <si>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</si>
  <si>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</si>
  <si>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</si>
  <si>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</si>
  <si>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</si>
  <si>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</si>
  <si>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</si>
  <si>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</si>
  <si>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</si>
  <si>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</si>
  <si>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</si>
  <si>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</si>
  <si>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</si>
  <si>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</si>
  <si>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</si>
  <si>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</si>
  <si>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</si>
  <si>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</si>
  <si>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</si>
  <si>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</si>
  <si>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</si>
  <si>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</si>
  <si>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</si>
  <si>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</si>
  <si>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</si>
  <si>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</si>
  <si>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</si>
  <si>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</si>
  <si>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</si>
  <si>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</si>
  <si>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</si>
  <si>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</si>
  <si>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</si>
  <si>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</si>
  <si>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</si>
  <si>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</si>
  <si>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</si>
  <si>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</si>
  <si>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</si>
  <si>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</si>
  <si>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</si>
  <si>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</si>
  <si>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</si>
  <si>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</si>
  <si>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</si>
  <si>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</si>
  <si>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</si>
  <si>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</si>
  <si>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</si>
  <si>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</si>
  <si>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</si>
  <si>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</si>
  <si>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</si>
  <si>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</si>
  <si>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</si>
  <si>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</si>
  <si>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</si>
  <si>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</si>
  <si>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</si>
  <si>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</si>
  <si>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</si>
  <si>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</si>
  <si>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</si>
  <si>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</si>
  <si>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</si>
  <si>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</si>
  <si>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</si>
  <si>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</si>
  <si>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</si>
  <si>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</si>
  <si>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</si>
  <si>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</si>
  <si>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</si>
  <si>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</si>
  <si>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</si>
  <si>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</si>
  <si>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</si>
  <si>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</si>
  <si>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</si>
  <si>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</si>
  <si>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</si>
  <si>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</si>
  <si>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</si>
  <si>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</si>
  <si>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</si>
  <si>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</si>
  <si>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</si>
  <si>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</si>
  <si>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</si>
  <si>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</si>
  <si>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</si>
  <si>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</si>
  <si>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</si>
  <si>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</si>
  <si>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</si>
  <si>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</si>
  <si>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</si>
  <si>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</si>
  <si>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</si>
  <si>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</si>
  <si>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</si>
  <si>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</si>
  <si>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</si>
  <si>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</si>
  <si>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</si>
  <si>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</si>
  <si>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</si>
  <si>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</si>
  <si>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</si>
  <si>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</si>
  <si>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</si>
  <si>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</si>
  <si>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</si>
  <si>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</si>
  <si>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</si>
  <si>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</si>
  <si>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</si>
  <si>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</si>
  <si>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</si>
  <si>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</si>
  <si>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</si>
  <si>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</si>
  <si>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</si>
  <si>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</si>
  <si>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</si>
  <si>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</si>
  <si>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</si>
  <si>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</si>
  <si>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</si>
  <si>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</si>
  <si>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</si>
  <si>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</si>
  <si>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</si>
  <si>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</si>
  <si>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</si>
  <si>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</si>
  <si>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</si>
  <si>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</si>
  <si>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</si>
  <si>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</si>
  <si>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</si>
  <si>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</si>
  <si>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</si>
  <si>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</si>
  <si>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</si>
  <si>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</si>
  <si>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</si>
  <si>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</si>
  <si>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</si>
  <si>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</si>
  <si>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</si>
  <si>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</si>
  <si>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</si>
  <si>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</si>
  <si>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</si>
  <si>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</si>
  <si>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</si>
  <si>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</si>
  <si>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</si>
  <si>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</si>
  <si>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</si>
  <si>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</si>
  <si>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</si>
  <si>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</si>
  <si>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</si>
  <si>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</si>
  <si>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</si>
  <si>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</si>
  <si>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</si>
  <si>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</si>
  <si>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</si>
  <si>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</si>
  <si>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</si>
  <si>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</si>
  <si>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</si>
  <si>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</si>
  <si>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</si>
  <si>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</si>
  <si>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</si>
  <si>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</si>
  <si>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</si>
  <si>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</si>
  <si>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</si>
  <si>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</si>
  <si>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</si>
  <si>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</si>
  <si>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</si>
  <si>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</si>
  <si>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</si>
  <si>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</si>
  <si>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</si>
  <si>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</si>
  <si>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</si>
  <si>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</si>
  <si>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</si>
  <si>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</si>
  <si>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</si>
  <si>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</si>
  <si>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</si>
  <si>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</si>
  <si>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</si>
  <si>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</si>
  <si>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</si>
  <si>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</si>
  <si>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</si>
  <si>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</si>
  <si>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</si>
  <si>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</si>
  <si>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</si>
  <si>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</si>
  <si>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</si>
  <si>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</si>
  <si>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</si>
  <si>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</si>
  <si>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</si>
  <si>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</si>
  <si>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</si>
  <si>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</si>
  <si>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</si>
  <si>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</si>
  <si>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</si>
  <si>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</si>
  <si>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</si>
  <si>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</si>
  <si>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</si>
  <si>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</si>
  <si>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</si>
  <si>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</si>
  <si>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</si>
  <si>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</si>
  <si>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</si>
  <si>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</si>
  <si>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</si>
  <si>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</si>
  <si>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</si>
  <si>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</si>
  <si>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</si>
  <si>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</si>
  <si>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</si>
  <si>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</si>
  <si>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</si>
  <si>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</si>
  <si>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</si>
  <si>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</si>
  <si>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</si>
  <si>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</si>
  <si>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</si>
  <si>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</si>
  <si>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</si>
  <si>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</si>
  <si>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</si>
  <si>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</si>
  <si>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</si>
  <si>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</si>
  <si>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</si>
  <si>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</si>
  <si>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</si>
  <si>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</si>
  <si>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</si>
  <si>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</si>
  <si>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</si>
  <si>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</si>
  <si>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</si>
  <si>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</si>
  <si>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</si>
  <si>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</si>
  <si>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</si>
  <si>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</si>
  <si>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</si>
  <si>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</si>
  <si>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</si>
  <si>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</si>
  <si>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</si>
  <si>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</si>
  <si>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</si>
  <si>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</si>
  <si>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</si>
  <si>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</si>
  <si>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</si>
  <si>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</si>
  <si>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</si>
  <si>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</si>
  <si>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</si>
  <si>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</si>
  <si>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</si>
  <si>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</si>
  <si>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</si>
  <si>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</si>
  <si>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</si>
  <si>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</si>
  <si>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</si>
  <si>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</si>
  <si>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</si>
  <si>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</si>
  <si>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</si>
  <si>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</si>
  <si>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</si>
  <si>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</si>
  <si>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</si>
  <si>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</si>
  <si>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</si>
  <si>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</si>
  <si>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</si>
  <si>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</si>
  <si>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</si>
  <si>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</si>
  <si>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</si>
  <si>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</si>
  <si>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</si>
  <si>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</si>
  <si>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</si>
  <si>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</si>
  <si>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</si>
  <si>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</si>
  <si>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</si>
  <si>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</si>
  <si>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</si>
  <si>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</si>
  <si>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</si>
  <si>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</si>
  <si>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</si>
  <si>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</si>
  <si>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</si>
  <si>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</si>
  <si>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</si>
  <si>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</si>
  <si>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</si>
  <si>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</si>
  <si>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</si>
  <si>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</si>
  <si>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</si>
  <si>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</si>
  <si>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</si>
  <si>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</si>
  <si>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</si>
  <si>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</si>
  <si>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</si>
  <si>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</si>
  <si>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</si>
  <si>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</si>
  <si>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</si>
  <si>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</si>
  <si>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</si>
  <si>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</si>
  <si>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</si>
  <si>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</si>
  <si>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</si>
  <si>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</si>
  <si>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</si>
  <si>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</si>
  <si>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</si>
  <si>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</si>
  <si>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</si>
  <si>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</si>
  <si>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</si>
  <si>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</si>
  <si>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</si>
  <si>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</si>
  <si>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</si>
  <si>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</si>
  <si>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</si>
  <si>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</si>
  <si>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</si>
  <si>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</si>
  <si>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</si>
  <si>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</si>
  <si>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</si>
  <si>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</si>
  <si>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</si>
  <si>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</si>
  <si>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</si>
  <si>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</si>
  <si>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</si>
  <si>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</si>
  <si>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</si>
  <si>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</si>
  <si>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</si>
  <si>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</si>
  <si>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</si>
  <si>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</si>
  <si>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</si>
  <si>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</si>
  <si>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</si>
  <si>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</si>
  <si>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</si>
  <si>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</si>
  <si>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</si>
  <si>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</si>
  <si>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</si>
  <si>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</si>
  <si>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</si>
  <si>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</si>
  <si>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</si>
  <si>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</si>
  <si>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</si>
  <si>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</si>
  <si>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</si>
  <si>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</si>
  <si>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</si>
  <si>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</si>
  <si>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</si>
  <si>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</si>
  <si>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</si>
  <si>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</si>
  <si>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</si>
  <si>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</si>
  <si>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</si>
  <si>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</si>
  <si>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</si>
  <si>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</si>
  <si>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</si>
  <si>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</si>
  <si>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</si>
  <si>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</si>
  <si>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</si>
  <si>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</si>
  <si>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</si>
  <si>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</si>
  <si>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</si>
  <si>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</si>
  <si>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</si>
  <si>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</si>
  <si>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Raw_Material</t>
  </si>
  <si>
    <t>Labor</t>
  </si>
  <si>
    <t>Overhead</t>
  </si>
  <si>
    <t>Total_Cost</t>
  </si>
  <si>
    <t>Department</t>
  </si>
  <si>
    <t>Expense_Type</t>
  </si>
  <si>
    <t>Amount</t>
  </si>
  <si>
    <t>HR</t>
  </si>
  <si>
    <t>Utilities</t>
  </si>
  <si>
    <t>Finance</t>
  </si>
  <si>
    <t>Office Supplies</t>
  </si>
  <si>
    <t>Sales</t>
  </si>
  <si>
    <t>Travel</t>
  </si>
  <si>
    <t>Maintenance</t>
  </si>
  <si>
    <t>Admin</t>
  </si>
  <si>
    <t>Marketing</t>
  </si>
  <si>
    <t>Production</t>
  </si>
  <si>
    <t>Month</t>
  </si>
  <si>
    <t>Budget_Amount</t>
  </si>
  <si>
    <t>Employee_ID</t>
  </si>
  <si>
    <t>Salary</t>
  </si>
  <si>
    <t>Bonus</t>
  </si>
  <si>
    <t>Total_Pay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</si>
  <si>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</si>
  <si>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</si>
  <si>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</si>
  <si>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</si>
  <si>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</si>
  <si>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</si>
  <si>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</si>
  <si>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</si>
  <si>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</si>
  <si>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</si>
  <si>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</si>
  <si>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</si>
  <si>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</si>
  <si>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</si>
  <si>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</si>
  <si>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</si>
  <si>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</si>
  <si>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</si>
  <si>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</si>
  <si>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</si>
  <si>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</si>
  <si>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</si>
  <si>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</si>
  <si>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</si>
  <si>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</si>
  <si>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</si>
  <si>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</si>
  <si>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</si>
  <si>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</si>
  <si>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</si>
  <si>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</si>
  <si>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</si>
  <si>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</si>
  <si>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</si>
  <si>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</si>
  <si>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</si>
  <si>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</si>
  <si>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</si>
  <si>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</si>
  <si>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</si>
  <si>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</si>
  <si>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</si>
  <si>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</si>
  <si>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</si>
  <si>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</si>
  <si>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</si>
  <si>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</si>
  <si>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</si>
  <si>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</si>
  <si>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</si>
  <si>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</si>
  <si>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</si>
  <si>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</si>
  <si>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</si>
  <si>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</si>
  <si>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</si>
  <si>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</si>
  <si>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</si>
  <si>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</si>
  <si>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</si>
  <si>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</si>
  <si>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</si>
  <si>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</si>
  <si>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</si>
  <si>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</si>
  <si>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</si>
  <si>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</si>
  <si>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</si>
  <si>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</si>
  <si>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</si>
  <si>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</si>
  <si>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</si>
  <si>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</si>
  <si>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</si>
  <si>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</si>
  <si>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</si>
  <si>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</si>
  <si>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</si>
  <si>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</si>
  <si>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</si>
  <si>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</si>
  <si>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</si>
  <si>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</si>
  <si>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</si>
  <si>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</si>
  <si>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</si>
  <si>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</si>
  <si>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</si>
  <si>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</si>
  <si>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</si>
  <si>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</si>
  <si>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</si>
  <si>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</si>
  <si>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</si>
  <si>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</si>
  <si>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</si>
  <si>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</si>
  <si>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</si>
  <si>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</si>
  <si>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</si>
  <si>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</si>
  <si>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</si>
  <si>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</si>
  <si>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</si>
  <si>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</si>
  <si>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</si>
  <si>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</si>
  <si>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</si>
  <si>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</si>
  <si>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</si>
  <si>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</si>
  <si>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</si>
  <si>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</si>
  <si>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</si>
  <si>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</si>
  <si>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</si>
  <si>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</si>
  <si>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</si>
  <si>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</si>
  <si>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</si>
  <si>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</si>
  <si>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</si>
  <si>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</si>
  <si>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</si>
  <si>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</si>
  <si>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</si>
  <si>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</si>
  <si>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</si>
  <si>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</si>
  <si>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</si>
  <si>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</si>
  <si>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</si>
  <si>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</si>
  <si>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</si>
  <si>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</si>
  <si>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</si>
  <si>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</si>
  <si>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</si>
  <si>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</si>
  <si>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</si>
  <si>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</si>
  <si>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</si>
  <si>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</si>
  <si>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</si>
  <si>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</si>
  <si>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</si>
  <si>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</si>
  <si>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</si>
  <si>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</si>
  <si>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</si>
  <si>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</si>
  <si>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</si>
  <si>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</si>
  <si>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</si>
  <si>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</si>
  <si>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</si>
  <si>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</si>
  <si>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</si>
  <si>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</si>
  <si>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</si>
  <si>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</si>
  <si>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</si>
  <si>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</si>
  <si>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</si>
  <si>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</si>
  <si>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</si>
  <si>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</si>
  <si>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</si>
  <si>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</si>
  <si>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</si>
  <si>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</si>
  <si>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</si>
  <si>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</si>
  <si>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</si>
  <si>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</si>
  <si>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</si>
  <si>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</si>
  <si>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</si>
  <si>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</si>
  <si>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</si>
  <si>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</si>
  <si>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</si>
  <si>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</si>
  <si>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</si>
  <si>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</si>
  <si>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</si>
  <si>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</si>
  <si>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</si>
  <si>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</si>
  <si>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</si>
  <si>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</si>
  <si>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</si>
  <si>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</si>
  <si>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</si>
  <si>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</si>
  <si>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</si>
  <si>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</si>
  <si>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</si>
  <si>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</si>
  <si>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</si>
  <si>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Asset_Name</t>
  </si>
  <si>
    <t>Purchase_Date</t>
  </si>
  <si>
    <t>Cost</t>
  </si>
  <si>
    <t>Depreciation_Rate</t>
  </si>
  <si>
    <t>CNC Machine</t>
  </si>
  <si>
    <t>Lathe Machine</t>
  </si>
  <si>
    <t>Forklift</t>
  </si>
  <si>
    <t>Factory Building</t>
  </si>
  <si>
    <t>Generator Unit</t>
  </si>
  <si>
    <t>Opening_Inventory</t>
  </si>
  <si>
    <t>Closing_Inventory</t>
  </si>
  <si>
    <t>MIS_CALCULATION</t>
  </si>
  <si>
    <t>Revenue Calculation</t>
  </si>
  <si>
    <t>Production Cost</t>
  </si>
  <si>
    <t>Total Operating Expense</t>
  </si>
  <si>
    <t>Gross Profit</t>
  </si>
  <si>
    <t>Net Profit</t>
  </si>
  <si>
    <t>P&amp;L_Statement</t>
  </si>
  <si>
    <t>COGS</t>
  </si>
  <si>
    <t>Total Revenue</t>
  </si>
  <si>
    <t>Operating Expense</t>
  </si>
  <si>
    <t>Balance_Sheet</t>
  </si>
  <si>
    <t>Inventory</t>
  </si>
  <si>
    <t>Fixed Assets</t>
  </si>
  <si>
    <t>Budget</t>
  </si>
  <si>
    <t>Variance</t>
  </si>
  <si>
    <t>Variance %</t>
  </si>
  <si>
    <t>BUDGET VS ACTUAL</t>
  </si>
  <si>
    <t>Grand Total</t>
  </si>
  <si>
    <t>Net Profit %</t>
  </si>
  <si>
    <t>Month No</t>
  </si>
  <si>
    <t>Month_No</t>
  </si>
  <si>
    <t>Month_Name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</si>
  <si>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</si>
  <si>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</si>
  <si>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</si>
  <si>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</si>
  <si>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</si>
  <si>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</si>
  <si>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</si>
  <si>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</si>
  <si>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</si>
  <si>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</si>
  <si>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</si>
  <si>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</si>
  <si>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Actual </t>
  </si>
  <si>
    <t>Inventory (Value)</t>
  </si>
  <si>
    <t>Receivables (30% of Sales)</t>
  </si>
  <si>
    <t>Total Assets</t>
  </si>
  <si>
    <t>Cash</t>
  </si>
  <si>
    <t>LIABILITIES</t>
  </si>
  <si>
    <t>Payables</t>
  </si>
  <si>
    <t>Loan</t>
  </si>
  <si>
    <t>Total Liabilities</t>
  </si>
  <si>
    <t>EQUITY</t>
  </si>
  <si>
    <t>Balance Check</t>
  </si>
  <si>
    <t>CASH FLOW STATEMENT</t>
  </si>
  <si>
    <t>Depreciation</t>
  </si>
  <si>
    <t>Item</t>
  </si>
  <si>
    <t>Opening Cash</t>
  </si>
  <si>
    <t>Operating Cash Flow</t>
  </si>
  <si>
    <t>Closing Cash</t>
  </si>
  <si>
    <t>Investing</t>
  </si>
  <si>
    <t>Financing</t>
  </si>
  <si>
    <t>Net Change</t>
  </si>
  <si>
    <t>Revenue</t>
  </si>
  <si>
    <t>Expense Type</t>
  </si>
  <si>
    <t xml:space="preserve">Amount </t>
  </si>
  <si>
    <t xml:space="preserve">Budget_Amount </t>
  </si>
  <si>
    <t>Month Name</t>
  </si>
  <si>
    <t>Actual</t>
  </si>
  <si>
    <t xml:space="preserve">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</si>
</sst>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₹&quot;\ #,##0;&quot;₹&quot;\ \-#,##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DLaM Display"/>
    </font>
    <font>
      <b/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8" fillId="0" borderId="0" xfId="0" applyNumberFormat="1" applyFont="1" applyAlignment="1">
      <alignment horizontal="center"/>
    </xf>
    <xf numFmtId="0" fontId="1" fillId="1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3" fontId="0" fillId="0" borderId="0" xfId="0" applyNumberFormat="1" applyAlignment="1">
      <alignment vertical="center" wrapText="1"/>
    </xf>
    <xf numFmtId="3" fontId="7" fillId="0" borderId="0" xfId="0" applyNumberFormat="1" applyFont="1" applyAlignment="1">
      <alignment horizontal="center"/>
    </xf>
    <xf numFmtId="0" fontId="0" fillId="0" borderId="0" xfId="0" applyBorder="1"/>
    <xf numFmtId="5" fontId="5" fillId="0" borderId="0" xfId="0" applyNumberFormat="1" applyFont="1" applyAlignment="1">
      <alignment horizontal="center"/>
    </xf>
    <xf numFmtId="5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3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2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Relationship Id="rId22" Type="http://schemas.openxmlformats.org/officeDocument/2006/relationships/pivotCacheDefinition" Target="pivotCache/pivotCacheDefinition5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788655"/>
        <c:axId val="575781455"/>
      </c:barChart>
      <c:catAx>
        <c:axId val="57578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81455"/>
        <c:crosses val="autoZero"/>
        <c:auto val="1"/>
        <c:lblAlgn val="ctr"/>
        <c:lblOffset val="100"/>
        <c:noMultiLvlLbl val="0"/>
      </c:catAx>
      <c:valAx>
        <c:axId val="5757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8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192303"/>
        <c:axId val="396195663"/>
      </c:barChart>
      <c:catAx>
        <c:axId val="396192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95663"/>
        <c:crosses val="autoZero"/>
        <c:auto val="1"/>
        <c:lblAlgn val="ctr"/>
        <c:lblOffset val="100"/>
        <c:noMultiLvlLbl val="0"/>
      </c:catAx>
      <c:valAx>
        <c:axId val="3961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9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790095"/>
        <c:axId val="575775215"/>
      </c:barChart>
      <c:catAx>
        <c:axId val="57579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75215"/>
        <c:crosses val="autoZero"/>
        <c:auto val="1"/>
        <c:lblAlgn val="ctr"/>
        <c:lblOffset val="100"/>
        <c:noMultiLvlLbl val="0"/>
      </c:catAx>
      <c:valAx>
        <c:axId val="5757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[Manufacturing_Finance_MIS_Dataset.xlsx]Expense_Data!PivotTable4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Expense_Data!$J$5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6-48FD-A217-BE3F1035DD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6-48FD-A217-BE3F1035DD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46-48FD-A217-BE3F1035DD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46-48FD-A217-BE3F1035DD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46-48FD-A217-BE3F1035DD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Expense_Data!$I$6:$I$10</c:f>
              <c:strCache>
                <c:ptCount val="5"/>
                <c:pt idx="0">
                  <c:v>Maintenance</c:v>
                </c:pt>
                <c:pt idx="1">
                  <c:v>Marketing</c:v>
                </c:pt>
                <c:pt idx="2">
                  <c:v>Office Supplies</c:v>
                </c:pt>
                <c:pt idx="3">
                  <c:v>Travel</c:v>
                </c:pt>
                <c:pt idx="4">
                  <c:v>Utilities</c:v>
                </c:pt>
              </c:strCache>
            </c:strRef>
          </c:cat>
          <c:val>
            <c:numRef>
              <c:f>Expense_Data!$J$6:$J$10</c:f>
              <c:numCache>
                <c:formatCode>General</c:formatCode>
                <c:ptCount val="5"/>
                <c:pt idx="0">
                  <c:v>12255922</c:v>
                </c:pt>
                <c:pt idx="1">
                  <c:v>11923780</c:v>
                </c:pt>
                <c:pt idx="2">
                  <c:v>12597865</c:v>
                </c:pt>
                <c:pt idx="3">
                  <c:v>12363172</c:v>
                </c:pt>
                <c:pt idx="4">
                  <c:v>13098775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46-48FD-A217-BE3F1035DD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Budget_Analysis!$N$12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Budget_Analysis!$M$13:$M$17</c:f>
              <c:strCache>
                <c:ptCount val="5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Budget_Analysis!$N$13:$N$17</c:f>
              <c:numCache>
                <c:formatCode>General</c:formatCode>
                <c:ptCount val="5"/>
                <c:pt idx="0">
                  <c:v>12993015</c:v>
                </c:pt>
                <c:pt idx="1">
                  <c:v>13494287</c:v>
                </c:pt>
                <c:pt idx="2">
                  <c:v>13513332</c:v>
                </c:pt>
                <c:pt idx="3">
                  <c:v>10411134</c:v>
                </c:pt>
                <c:pt idx="4">
                  <c:v>11827746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E-4A02-9FEC-4DC17A09E255}"/>
            </c:ext>
          </c:extLst>
        </c:ser>
        <c:ser>
          <c:idx val="1"/>
          <c:order val="1"/>
          <c:tx>
            <c:strRef>
              <c:f>Budget_Analysis!$O$12</c:f>
              <c:strCache>
                <c:ptCount val="1"/>
                <c:pt idx="0">
                  <c:v>Budget_Amount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Budget_Analysis!$M$13:$M$17</c:f>
              <c:strCache>
                <c:ptCount val="5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Production</c:v>
                </c:pt>
                <c:pt idx="4">
                  <c:v>Sales</c:v>
                </c:pt>
              </c:strCache>
            </c:strRef>
          </c:cat>
          <c:val>
            <c:numRef>
              <c:f>Budget_Analysis!$O$13:$O$17</c:f>
              <c:numCache>
                <c:formatCode>General</c:formatCode>
                <c:ptCount val="5"/>
                <c:pt idx="0">
                  <c:v>11859813</c:v>
                </c:pt>
                <c:pt idx="1">
                  <c:v>12992030</c:v>
                </c:pt>
                <c:pt idx="2">
                  <c:v>10959858</c:v>
                </c:pt>
                <c:pt idx="3">
                  <c:v>10936072</c:v>
                </c:pt>
                <c:pt idx="4">
                  <c:v>12080163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E-4A02-9FEC-4DC17A09E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62911"/>
        <c:axId val="2121149695"/>
      </c:barChart>
      <c:catAx>
        <c:axId val="57976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49695"/>
        <c:crosses val="autoZero"/>
        <c:auto val="1"/>
        <c:lblAlgn val="ctr"/>
        <c:lblOffset val="100"/>
        <c:noMultiLvlLbl val="0"/>
      </c:catAx>
      <c:valAx>
        <c:axId val="212114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291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Sheet10!$I$3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Sheet10!$H$4:$H$15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Sheet10!$I$4:$I$15</c:f>
              <c:numCache>
                <c:formatCode>General</c:formatCode>
                <c:ptCount val="12"/>
                <c:pt idx="0">
                  <c:v>4507726</c:v>
                </c:pt>
                <c:pt idx="1">
                  <c:v>4319447</c:v>
                </c:pt>
                <c:pt idx="2">
                  <c:v>4727879</c:v>
                </c:pt>
                <c:pt idx="3">
                  <c:v>4500499</c:v>
                </c:pt>
                <c:pt idx="4">
                  <c:v>6300236</c:v>
                </c:pt>
                <c:pt idx="5">
                  <c:v>6051932</c:v>
                </c:pt>
                <c:pt idx="6">
                  <c:v>5195852</c:v>
                </c:pt>
                <c:pt idx="7">
                  <c:v>5753695</c:v>
                </c:pt>
                <c:pt idx="8">
                  <c:v>4865596</c:v>
                </c:pt>
                <c:pt idx="9">
                  <c:v>5302187</c:v>
                </c:pt>
                <c:pt idx="10">
                  <c:v>5922727</c:v>
                </c:pt>
                <c:pt idx="11">
                  <c:v>4791738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03-40A6-8D4A-DA52A0F0B846}"/>
            </c:ext>
          </c:extLst>
        </c:ser>
        <c:ser>
          <c:idx val="1"/>
          <c:order val="1"/>
          <c:tx>
            <c:strRef>
              <c:f>Sheet10!$J$3</c:f>
              <c:strCache>
                <c:ptCount val="1"/>
                <c:pt idx="0">
                  <c:v>Budget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Sheet10!$H$4:$H$15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Sheet10!$J$4:$J$15</c:f>
              <c:numCache>
                <c:formatCode>General</c:formatCode>
                <c:ptCount val="12"/>
                <c:pt idx="0">
                  <c:v>3907772</c:v>
                </c:pt>
                <c:pt idx="1">
                  <c:v>4818021</c:v>
                </c:pt>
                <c:pt idx="2">
                  <c:v>5506033</c:v>
                </c:pt>
                <c:pt idx="3">
                  <c:v>4895832</c:v>
                </c:pt>
                <c:pt idx="4">
                  <c:v>3972259</c:v>
                </c:pt>
                <c:pt idx="5">
                  <c:v>5165177</c:v>
                </c:pt>
                <c:pt idx="6">
                  <c:v>5521056</c:v>
                </c:pt>
                <c:pt idx="7">
                  <c:v>5347705</c:v>
                </c:pt>
                <c:pt idx="8">
                  <c:v>5032892</c:v>
                </c:pt>
                <c:pt idx="9">
                  <c:v>5325704</c:v>
                </c:pt>
                <c:pt idx="10">
                  <c:v>4588709</c:v>
                </c:pt>
                <c:pt idx="11">
                  <c:v>4746776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03-40A6-8D4A-DA52A0F0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34223"/>
        <c:axId val="104933743"/>
      </c:lineChart>
      <c:catAx>
        <c:axId val="10493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743"/>
        <c:crosses val="autoZero"/>
        <c:auto val="1"/>
        <c:lblAlgn val="ctr"/>
        <c:lblOffset val="100"/>
        <c:noMultiLvlLbl val="0"/>
      </c:catAx>
      <c:valAx>
        <c:axId val="10493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42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[Manufacturing_Finance_MIS_Dataset.xlsx]Sales_Data!PivotTable16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Sales_Data!$O$15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Sales_Data!$N$16:$N$27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Sales_Data!$O$16:$O$27</c:f>
              <c:numCache>
                <c:formatCode>General</c:formatCode>
                <c:ptCount val="12"/>
                <c:pt idx="0">
                  <c:v>53330265</c:v>
                </c:pt>
                <c:pt idx="1">
                  <c:v>56760805</c:v>
                </c:pt>
                <c:pt idx="2">
                  <c:v>63822253</c:v>
                </c:pt>
                <c:pt idx="3">
                  <c:v>65762706</c:v>
                </c:pt>
                <c:pt idx="4">
                  <c:v>60741035</c:v>
                </c:pt>
                <c:pt idx="5">
                  <c:v>58848659</c:v>
                </c:pt>
                <c:pt idx="6">
                  <c:v>76418690</c:v>
                </c:pt>
                <c:pt idx="7">
                  <c:v>68394112</c:v>
                </c:pt>
                <c:pt idx="8">
                  <c:v>70175354</c:v>
                </c:pt>
                <c:pt idx="9">
                  <c:v>63047495</c:v>
                </c:pt>
                <c:pt idx="10">
                  <c:v>56272966</c:v>
                </c:pt>
                <c:pt idx="11">
                  <c:v>54714295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B0-4FA7-B830-BEC4BF7F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766271"/>
        <c:axId val="579762431"/>
      </c:lineChart>
      <c:catAx>
        <c:axId val="5797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2431"/>
        <c:crosses val="autoZero"/>
        <c:auto val="1"/>
        <c:lblAlgn val="ctr"/>
        <c:lblOffset val="100"/>
        <c:noMultiLvlLbl val="0"/>
      </c:catAx>
      <c:valAx>
        <c:axId val="57976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62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6A7062-D0EC-4CC0-AD3D-3C676FDE3673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F6EA84-178E-4382-A061-C2C34B63A0EA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70D82D-B99A-4FC6-805B-5548F11B16DF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73635-5FFB-3E91-8AF2-E3B2638604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1EE26-43B3-B5A6-A034-B5A228DF8F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D3F24-3CDA-441C-2F3F-A3D6602512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170331</xdr:colOff>
      <xdr:row>2</xdr:row>
      <xdr:rowOff>125506</xdr:rowOff>
    </xdr:from>
    <xdr:to>
      <xdr:col>19</xdr:col>
      <xdr:colOff>510988</xdr:colOff>
      <xdr:row>6</xdr:row>
      <xdr:rowOff>161364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7840D3F-AA0F-4FEF-86FB-B999750D9E37}"/>
            </a:ext>
          </a:extLst>
        </xdr:cNvPr>
        <xdr:cNvSpPr/>
      </xdr:nvSpPr>
      <xdr:spPr>
        <a:xfrm>
          <a:off x="3218331" y="484094"/>
          <a:ext cx="8875057" cy="753035"/>
        </a:xfrm>
        <a:prstGeom prst="roundRect">
          <a:avLst>
            <a:gd name="adj" fmla="val 14650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286869</xdr:colOff>
      <xdr:row>3</xdr:row>
      <xdr:rowOff>35858</xdr:rowOff>
    </xdr:from>
    <xdr:to>
      <xdr:col>7</xdr:col>
      <xdr:colOff>206188</xdr:colOff>
      <xdr:row>7</xdr:row>
      <xdr:rowOff>17929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92F7FC3F-ACDB-808B-737F-9520FC0930E7}"/>
            </a:ext>
          </a:extLst>
        </xdr:cNvPr>
        <xdr:cNvGrpSpPr/>
      </xdr:nvGrpSpPr>
      <xdr:grpSpPr>
        <a:xfrm>
          <a:off x="3334869" y="584498"/>
          <a:ext cx="1138519" cy="713591"/>
          <a:chOff x="3334869" y="573740"/>
          <a:chExt cx="1138519" cy="699248"/>
        </a:xfrm>
      </xdr:grpSpPr>
      <xdr:sp macro="" textlink="MIS_Calculation!E6">
        <xdr:nvSpPr>
          <xdr:cNvPr id="5" name="TextBox 4">
            <a:extLst>
              <a:ext uri="{FF2B5EF4-FFF2-40B4-BE49-F238E27FC236}">
                <a16:creationId xmlns:a16="http://schemas.microsoft.com/office/drawing/2014/main" id="{B384CE10-806C-7884-ACEB-75805C788D93}"/>
              </a:ext>
            </a:extLst>
          </xdr:cNvPr>
          <xdr:cNvSpPr txBox="1"/>
        </xdr:nvSpPr>
        <xdr:spPr>
          <a:xfrm>
            <a:off x="3334869" y="851646"/>
            <a:ext cx="1138519" cy="421342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F9164E1-802B-446D-AD50-B07D9CCF0A61}" type="TxLink">
              <a:rPr lang="en-US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pPr algn="ctr"/>
              <a:t>₹ 74,82,88,635</a:t>
            </a:fld>
            <a:endParaRPr lang="en-IN" sz="105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  <xdr:sp macro="" textlink="MIS_Calculation!E6">
        <xdr:nvSpPr>
          <xdr:cNvPr id="6" name="TextBox 5">
            <a:extLst>
              <a:ext uri="{FF2B5EF4-FFF2-40B4-BE49-F238E27FC236}">
                <a16:creationId xmlns:a16="http://schemas.microsoft.com/office/drawing/2014/main" id="{CF26E59C-5D13-4FFA-A9FE-8B9732E50A42}"/>
              </a:ext>
            </a:extLst>
          </xdr:cNvPr>
          <xdr:cNvSpPr txBox="1"/>
        </xdr:nvSpPr>
        <xdr:spPr>
          <a:xfrm>
            <a:off x="3397624" y="573740"/>
            <a:ext cx="968188" cy="31376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Revenue</a:t>
            </a:r>
            <a:endParaRPr lang="en-IN" sz="140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</xdr:grpSp>
    <xdr:clientData/>
  </xdr:twoCellAnchor>
  <xdr:twoCellAnchor>
    <xdr:from>
      <xdr:col>7</xdr:col>
      <xdr:colOff>116540</xdr:colOff>
      <xdr:row>3</xdr:row>
      <xdr:rowOff>44823</xdr:rowOff>
    </xdr:from>
    <xdr:to>
      <xdr:col>9</xdr:col>
      <xdr:colOff>457200</xdr:colOff>
      <xdr:row>7</xdr:row>
      <xdr:rowOff>17929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BE0C64C-F123-9A40-D956-5656C1408D0D}"/>
            </a:ext>
          </a:extLst>
        </xdr:cNvPr>
        <xdr:cNvGrpSpPr/>
      </xdr:nvGrpSpPr>
      <xdr:grpSpPr>
        <a:xfrm>
          <a:off x="4383740" y="593463"/>
          <a:ext cx="1559860" cy="704626"/>
          <a:chOff x="4383740" y="593463"/>
          <a:chExt cx="1559860" cy="704626"/>
        </a:xfrm>
      </xdr:grpSpPr>
      <xdr:sp macro="" textlink="MIS_Calculation!E6">
        <xdr:nvSpPr>
          <xdr:cNvPr id="7" name="TextBox 6">
            <a:extLst>
              <a:ext uri="{FF2B5EF4-FFF2-40B4-BE49-F238E27FC236}">
                <a16:creationId xmlns:a16="http://schemas.microsoft.com/office/drawing/2014/main" id="{2B3D1C6F-0192-458E-8E65-B5477AC8D56B}"/>
              </a:ext>
            </a:extLst>
          </xdr:cNvPr>
          <xdr:cNvSpPr txBox="1"/>
        </xdr:nvSpPr>
        <xdr:spPr>
          <a:xfrm>
            <a:off x="4383740" y="593463"/>
            <a:ext cx="1559860" cy="308387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Production Cost</a:t>
            </a:r>
            <a:endParaRPr lang="en-IN" sz="120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  <xdr:sp macro="" textlink="MIS_Calculation!H6">
        <xdr:nvSpPr>
          <xdr:cNvPr id="8" name="TextBox 7">
            <a:extLst>
              <a:ext uri="{FF2B5EF4-FFF2-40B4-BE49-F238E27FC236}">
                <a16:creationId xmlns:a16="http://schemas.microsoft.com/office/drawing/2014/main" id="{A3A62207-2380-4B6D-8883-8C48ACDA76B6}"/>
              </a:ext>
            </a:extLst>
          </xdr:cNvPr>
          <xdr:cNvSpPr txBox="1"/>
        </xdr:nvSpPr>
        <xdr:spPr>
          <a:xfrm>
            <a:off x="4500281" y="865990"/>
            <a:ext cx="1138519" cy="432099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A7619B56-9EBA-4DFD-826C-8473317F3A26}" type="TxLink">
              <a:rPr lang="en-US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pPr marL="0" indent="0" algn="ctr"/>
              <a:t>₹ 2,46,99,202</a:t>
            </a:fld>
            <a:endParaRPr lang="en-IN" sz="1050" b="1" i="0" u="none" strike="noStrike">
              <a:solidFill>
                <a:schemeClr val="bg1"/>
              </a:solidFill>
              <a:latin typeface="Aptos Black" panose="020F0502020204030204" pitchFamily="34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9</xdr:col>
      <xdr:colOff>277905</xdr:colOff>
      <xdr:row>3</xdr:row>
      <xdr:rowOff>53788</xdr:rowOff>
    </xdr:from>
    <xdr:to>
      <xdr:col>14</xdr:col>
      <xdr:colOff>143435</xdr:colOff>
      <xdr:row>7</xdr:row>
      <xdr:rowOff>80682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FAE00F04-70B0-52B6-EACB-86E99E3D321B}"/>
            </a:ext>
          </a:extLst>
        </xdr:cNvPr>
        <xdr:cNvGrpSpPr/>
      </xdr:nvGrpSpPr>
      <xdr:grpSpPr>
        <a:xfrm>
          <a:off x="5764305" y="602428"/>
          <a:ext cx="2913530" cy="758414"/>
          <a:chOff x="5764305" y="602428"/>
          <a:chExt cx="2913530" cy="758414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333F873C-0B46-C065-23BB-608C2163DBF5}"/>
              </a:ext>
            </a:extLst>
          </xdr:cNvPr>
          <xdr:cNvGrpSpPr/>
        </xdr:nvGrpSpPr>
        <xdr:grpSpPr>
          <a:xfrm>
            <a:off x="5764305" y="602428"/>
            <a:ext cx="1559860" cy="686696"/>
            <a:chOff x="5764305" y="602428"/>
            <a:chExt cx="1559860" cy="686696"/>
          </a:xfrm>
        </xdr:grpSpPr>
        <xdr:sp macro="" textlink="MIS_Calculation!E6">
          <xdr:nvSpPr>
            <xdr:cNvPr id="9" name="TextBox 8">
              <a:extLst>
                <a:ext uri="{FF2B5EF4-FFF2-40B4-BE49-F238E27FC236}">
                  <a16:creationId xmlns:a16="http://schemas.microsoft.com/office/drawing/2014/main" id="{1FF224E1-8DB7-400F-8C29-83C5C737FDDC}"/>
                </a:ext>
              </a:extLst>
            </xdr:cNvPr>
            <xdr:cNvSpPr txBox="1"/>
          </xdr:nvSpPr>
          <xdr:spPr>
            <a:xfrm>
              <a:off x="5764305" y="602428"/>
              <a:ext cx="1559860" cy="311972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 i="0" u="none" strike="noStrike">
                  <a:solidFill>
                    <a:schemeClr val="bg1"/>
                  </a:solidFill>
                  <a:latin typeface="Aptos Black" panose="020F0502020204030204" pitchFamily="34" charset="0"/>
                  <a:ea typeface="Calibri"/>
                  <a:cs typeface="Calibri"/>
                </a:rPr>
                <a:t>Operation</a:t>
              </a:r>
              <a:r>
                <a:rPr lang="en-US" sz="1200" b="1" i="0" u="none" strike="noStrike" baseline="0">
                  <a:solidFill>
                    <a:schemeClr val="bg1"/>
                  </a:solidFill>
                  <a:latin typeface="Aptos Black" panose="020F0502020204030204" pitchFamily="34" charset="0"/>
                  <a:ea typeface="Calibri"/>
                  <a:cs typeface="Calibri"/>
                </a:rPr>
                <a:t> </a:t>
              </a:r>
              <a:r>
                <a:rPr lang="en-US" sz="1200" b="1" i="0" u="none" strike="noStrike">
                  <a:solidFill>
                    <a:schemeClr val="bg1"/>
                  </a:solidFill>
                  <a:latin typeface="Aptos Black" panose="020F0502020204030204" pitchFamily="34" charset="0"/>
                  <a:ea typeface="Calibri"/>
                  <a:cs typeface="Calibri"/>
                </a:rPr>
                <a:t>Cost</a:t>
              </a:r>
              <a:endParaRPr lang="en-IN" sz="1200" b="1">
                <a:solidFill>
                  <a:schemeClr val="bg1"/>
                </a:solidFill>
                <a:latin typeface="Aptos Black" panose="020F0502020204030204" pitchFamily="34" charset="0"/>
              </a:endParaRPr>
            </a:p>
          </xdr:txBody>
        </xdr:sp>
        <xdr:sp macro="" textlink="MIS_Calculation!K6">
          <xdr:nvSpPr>
            <xdr:cNvPr id="10" name="TextBox 9">
              <a:extLst>
                <a:ext uri="{FF2B5EF4-FFF2-40B4-BE49-F238E27FC236}">
                  <a16:creationId xmlns:a16="http://schemas.microsoft.com/office/drawing/2014/main" id="{01ACC4D2-1AC0-41BE-A804-11E6098A5720}"/>
                </a:ext>
              </a:extLst>
            </xdr:cNvPr>
            <xdr:cNvSpPr txBox="1"/>
          </xdr:nvSpPr>
          <xdr:spPr>
            <a:xfrm>
              <a:off x="5934634" y="857025"/>
              <a:ext cx="1138519" cy="432099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BBAABD08-D985-499D-854E-865ED8124405}" type="TxLink">
                <a:rPr lang="en-US" sz="1050" b="1" i="0" u="none" strike="noStrike">
                  <a:solidFill>
                    <a:schemeClr val="bg1"/>
                  </a:solidFill>
                  <a:latin typeface="Aptos Black" panose="020F0502020204030204" pitchFamily="34" charset="0"/>
                  <a:ea typeface="Calibri"/>
                  <a:cs typeface="Calibri"/>
                </a:rPr>
                <a:pPr marL="0" indent="0" algn="ctr"/>
                <a:t>₹ 6,22,39,514</a:t>
              </a:fld>
              <a:endParaRPr lang="en-IN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endParaRPr>
            </a:p>
          </xdr:txBody>
        </xdr:sp>
      </xdr:grpSp>
      <xdr:sp macro="" textlink="MIS_Calculation!E6">
        <xdr:nvSpPr>
          <xdr:cNvPr id="11" name="TextBox 10">
            <a:extLst>
              <a:ext uri="{FF2B5EF4-FFF2-40B4-BE49-F238E27FC236}">
                <a16:creationId xmlns:a16="http://schemas.microsoft.com/office/drawing/2014/main" id="{27E1B61C-B721-469F-97CC-88F7B8D67E2C}"/>
              </a:ext>
            </a:extLst>
          </xdr:cNvPr>
          <xdr:cNvSpPr txBox="1"/>
        </xdr:nvSpPr>
        <xdr:spPr>
          <a:xfrm>
            <a:off x="7117975" y="602428"/>
            <a:ext cx="1559860" cy="311972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Net</a:t>
            </a:r>
            <a:r>
              <a:rPr lang="en-US" sz="1200" b="1" i="0" u="none" strike="noStrike" baseline="0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 Profit</a:t>
            </a:r>
            <a:endParaRPr lang="en-IN" sz="120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  <xdr:sp macro="" textlink="MIS_Calculation!H11">
        <xdr:nvSpPr>
          <xdr:cNvPr id="15" name="TextBox 14">
            <a:extLst>
              <a:ext uri="{FF2B5EF4-FFF2-40B4-BE49-F238E27FC236}">
                <a16:creationId xmlns:a16="http://schemas.microsoft.com/office/drawing/2014/main" id="{69D88939-1E43-4A42-B7FD-4A64C4CAAB34}"/>
              </a:ext>
            </a:extLst>
          </xdr:cNvPr>
          <xdr:cNvSpPr txBox="1"/>
        </xdr:nvSpPr>
        <xdr:spPr>
          <a:xfrm>
            <a:off x="7306234" y="932328"/>
            <a:ext cx="1138519" cy="428514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8600D2C4-074F-4984-BE6E-B19278D811AD}" type="TxLink">
              <a:rPr lang="en-US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pPr marL="0" indent="0" algn="ctr"/>
              <a:t>₹ 66,13,49,919</a:t>
            </a:fld>
            <a:endParaRPr lang="en-IN" sz="1050" b="1" i="0" u="none" strike="noStrike">
              <a:solidFill>
                <a:schemeClr val="bg1"/>
              </a:solidFill>
              <a:latin typeface="Aptos Black" panose="020F0502020204030204" pitchFamily="34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14</xdr:col>
      <xdr:colOff>125505</xdr:colOff>
      <xdr:row>3</xdr:row>
      <xdr:rowOff>26894</xdr:rowOff>
    </xdr:from>
    <xdr:to>
      <xdr:col>16</xdr:col>
      <xdr:colOff>466165</xdr:colOff>
      <xdr:row>7</xdr:row>
      <xdr:rowOff>71717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67EBD196-5E82-9203-87C3-19C251C1C50C}"/>
            </a:ext>
          </a:extLst>
        </xdr:cNvPr>
        <xdr:cNvGrpSpPr/>
      </xdr:nvGrpSpPr>
      <xdr:grpSpPr>
        <a:xfrm>
          <a:off x="8659905" y="575534"/>
          <a:ext cx="1559860" cy="776343"/>
          <a:chOff x="8659905" y="575534"/>
          <a:chExt cx="1559860" cy="776343"/>
        </a:xfrm>
      </xdr:grpSpPr>
      <xdr:sp macro="" textlink="MIS_Calculation!E6">
        <xdr:nvSpPr>
          <xdr:cNvPr id="14" name="TextBox 13">
            <a:extLst>
              <a:ext uri="{FF2B5EF4-FFF2-40B4-BE49-F238E27FC236}">
                <a16:creationId xmlns:a16="http://schemas.microsoft.com/office/drawing/2014/main" id="{24F52F17-6D51-4192-B72C-5B8AA26FE90F}"/>
              </a:ext>
            </a:extLst>
          </xdr:cNvPr>
          <xdr:cNvSpPr txBox="1"/>
        </xdr:nvSpPr>
        <xdr:spPr>
          <a:xfrm>
            <a:off x="8659905" y="575534"/>
            <a:ext cx="1559860" cy="308387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Net Profit %</a:t>
            </a:r>
            <a:endParaRPr lang="en-IN" sz="120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  <xdr:sp macro="" textlink="MIS_Calculation!K11">
        <xdr:nvSpPr>
          <xdr:cNvPr id="16" name="TextBox 15">
            <a:extLst>
              <a:ext uri="{FF2B5EF4-FFF2-40B4-BE49-F238E27FC236}">
                <a16:creationId xmlns:a16="http://schemas.microsoft.com/office/drawing/2014/main" id="{26602FDE-AB27-4621-9903-56DD1C6C7C16}"/>
              </a:ext>
            </a:extLst>
          </xdr:cNvPr>
          <xdr:cNvSpPr txBox="1"/>
        </xdr:nvSpPr>
        <xdr:spPr>
          <a:xfrm>
            <a:off x="8892987" y="923363"/>
            <a:ext cx="1138519" cy="428514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7CA57FFA-39EF-48EE-BBB5-3CD1ADDB1352}" type="TxLink">
              <a:rPr lang="en-US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pPr marL="0" indent="0" algn="ctr"/>
              <a:t>88.38%</a:t>
            </a:fld>
            <a:endParaRPr lang="en-IN" sz="1050" b="1" i="0" u="none" strike="noStrike">
              <a:solidFill>
                <a:schemeClr val="bg1"/>
              </a:solidFill>
              <a:latin typeface="Aptos Black" panose="020F0502020204030204" pitchFamily="34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466164</xdr:colOff>
      <xdr:row>3</xdr:row>
      <xdr:rowOff>35858</xdr:rowOff>
    </xdr:from>
    <xdr:to>
      <xdr:col>19</xdr:col>
      <xdr:colOff>197224</xdr:colOff>
      <xdr:row>7</xdr:row>
      <xdr:rowOff>35858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C82E1BE-3AB8-AB2D-B4E1-C72AD81FED22}"/>
            </a:ext>
          </a:extLst>
        </xdr:cNvPr>
        <xdr:cNvGrpSpPr/>
      </xdr:nvGrpSpPr>
      <xdr:grpSpPr>
        <a:xfrm>
          <a:off x="10219764" y="584498"/>
          <a:ext cx="1559860" cy="731520"/>
          <a:chOff x="10219764" y="584498"/>
          <a:chExt cx="1559860" cy="731520"/>
        </a:xfrm>
      </xdr:grpSpPr>
      <xdr:sp macro="" textlink="MIS_Calculation!E6">
        <xdr:nvSpPr>
          <xdr:cNvPr id="12" name="TextBox 11">
            <a:extLst>
              <a:ext uri="{FF2B5EF4-FFF2-40B4-BE49-F238E27FC236}">
                <a16:creationId xmlns:a16="http://schemas.microsoft.com/office/drawing/2014/main" id="{90E45439-F36E-4BAE-8B91-27600127F059}"/>
              </a:ext>
            </a:extLst>
          </xdr:cNvPr>
          <xdr:cNvSpPr txBox="1"/>
        </xdr:nvSpPr>
        <xdr:spPr>
          <a:xfrm>
            <a:off x="10219764" y="584498"/>
            <a:ext cx="1559860" cy="308387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t>Budget Varience %</a:t>
            </a:r>
            <a:endParaRPr lang="en-IN" sz="1200" b="1">
              <a:solidFill>
                <a:schemeClr val="bg1"/>
              </a:solidFill>
              <a:latin typeface="Aptos Black" panose="020F0502020204030204" pitchFamily="34" charset="0"/>
            </a:endParaRPr>
          </a:p>
        </xdr:txBody>
      </xdr:sp>
      <xdr:sp macro="" textlink="Budget_Analysis!F10">
        <xdr:nvSpPr>
          <xdr:cNvPr id="17" name="TextBox 16">
            <a:extLst>
              <a:ext uri="{FF2B5EF4-FFF2-40B4-BE49-F238E27FC236}">
                <a16:creationId xmlns:a16="http://schemas.microsoft.com/office/drawing/2014/main" id="{D3A050FA-EB26-43F6-887F-D1514EFB0D67}"/>
              </a:ext>
            </a:extLst>
          </xdr:cNvPr>
          <xdr:cNvSpPr txBox="1"/>
        </xdr:nvSpPr>
        <xdr:spPr>
          <a:xfrm>
            <a:off x="10390094" y="883919"/>
            <a:ext cx="1138519" cy="432099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54A10D47-3288-4A27-8AC3-3E3297D87A64}" type="TxLink">
              <a:rPr lang="en-US" sz="1050" b="1" i="0" u="none" strike="noStrike">
                <a:solidFill>
                  <a:schemeClr val="bg1"/>
                </a:solidFill>
                <a:latin typeface="Aptos Black" panose="020F0502020204030204" pitchFamily="34" charset="0"/>
                <a:ea typeface="Calibri"/>
                <a:cs typeface="Calibri"/>
              </a:rPr>
              <a:pPr marL="0" indent="0" algn="ctr"/>
              <a:t>5.80%</a:t>
            </a:fld>
            <a:endParaRPr lang="en-IN" sz="1050" b="1" i="0" u="none" strike="noStrike">
              <a:solidFill>
                <a:schemeClr val="bg1"/>
              </a:solidFill>
              <a:latin typeface="Aptos Black" panose="020F0502020204030204" pitchFamily="34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13</xdr:col>
      <xdr:colOff>161365</xdr:colOff>
      <xdr:row>7</xdr:row>
      <xdr:rowOff>107576</xdr:rowOff>
    </xdr:from>
    <xdr:to>
      <xdr:col>19</xdr:col>
      <xdr:colOff>430306</xdr:colOff>
      <xdr:row>18</xdr:row>
      <xdr:rowOff>62752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1DF71DE-C4BA-4B82-9FD5-55D80872B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609599</xdr:colOff>
      <xdr:row>0</xdr:row>
      <xdr:rowOff>71716</xdr:rowOff>
    </xdr:from>
    <xdr:to>
      <xdr:col>12</xdr:col>
      <xdr:colOff>340659</xdr:colOff>
      <xdr:row>2</xdr:row>
      <xdr:rowOff>80683</xdr:rowOff>
    </xdr:to>
    <xdr:sp macro="" textlink="MIS_Calculation!E6">
      <xdr:nvSpPr>
        <xdr:cNvPr id="20" name="TextBox 19">
          <a:extLst>
            <a:ext uri="{FF2B5EF4-FFF2-40B4-BE49-F238E27FC236}">
              <a16:creationId xmlns:a16="http://schemas.microsoft.com/office/drawing/2014/main" id="{94DDEAAC-0BF4-4DBB-9829-BC32D424D975}"/>
            </a:ext>
          </a:extLst>
        </xdr:cNvPr>
        <xdr:cNvSpPr txBox="1"/>
      </xdr:nvSpPr>
      <xdr:spPr>
        <a:xfrm>
          <a:off x="3047999" y="71716"/>
          <a:ext cx="4607860" cy="367555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i="0" u="none" strike="noStrike">
              <a:solidFill>
                <a:schemeClr val="accent1"/>
              </a:solidFill>
              <a:latin typeface="Aptos Black" panose="020F0502020204030204" pitchFamily="34" charset="0"/>
              <a:ea typeface="Calibri"/>
              <a:cs typeface="Calibri"/>
            </a:rPr>
            <a:t>Manufacturing Finance</a:t>
          </a:r>
          <a:r>
            <a:rPr lang="en-US" sz="1800" b="1" i="0" u="none" strike="noStrike" baseline="0">
              <a:solidFill>
                <a:schemeClr val="accent1"/>
              </a:solidFill>
              <a:latin typeface="Aptos Black" panose="020F0502020204030204" pitchFamily="34" charset="0"/>
              <a:ea typeface="Calibri"/>
              <a:cs typeface="Calibri"/>
            </a:rPr>
            <a:t> MIS Dashboard</a:t>
          </a:r>
          <a:endParaRPr lang="en-IN" sz="1800" b="1">
            <a:solidFill>
              <a:schemeClr val="accent1"/>
            </a:solidFill>
            <a:latin typeface="Aptos Black" panose="020F0502020204030204" pitchFamily="34" charset="0"/>
          </a:endParaRPr>
        </a:p>
      </xdr:txBody>
    </xdr:sp>
    <xdr:clientData/>
  </xdr:twoCellAnchor>
  <xdr:twoCellAnchor>
    <xdr:from>
      <xdr:col>13</xdr:col>
      <xdr:colOff>143435</xdr:colOff>
      <xdr:row>19</xdr:row>
      <xdr:rowOff>8965</xdr:rowOff>
    </xdr:from>
    <xdr:to>
      <xdr:col>19</xdr:col>
      <xdr:colOff>457200</xdr:colOff>
      <xdr:row>30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868443F-EF77-4285-8E31-35C343EE7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233082</xdr:colOff>
      <xdr:row>19</xdr:row>
      <xdr:rowOff>44825</xdr:rowOff>
    </xdr:from>
    <xdr:to>
      <xdr:col>12</xdr:col>
      <xdr:colOff>591670</xdr:colOff>
      <xdr:row>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219248B-0D4D-4B66-9543-FC799B8D1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259976</xdr:colOff>
      <xdr:row>7</xdr:row>
      <xdr:rowOff>107577</xdr:rowOff>
    </xdr:from>
    <xdr:to>
      <xdr:col>12</xdr:col>
      <xdr:colOff>591670</xdr:colOff>
      <xdr:row>18</xdr:row>
      <xdr:rowOff>62753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74E7AC9-0A62-4880-918F-5A17619F7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a pradhan" refreshedDate="46085.023396759258" createdVersion="8" refreshedVersion="8" minRefreshableVersion="3" recordCount="1200" xr:uid="{7EA4DC09-F99A-4EDD-865A-CB1FE5032273}">
  <cacheSource type="worksheet">
    <worksheetSource name="tblExpense"/>
  </cacheSource>
  <cacheFields count="4">
    <cacheField name="Date" numFmtId="14">
      <sharedItems containsSemiMixedTypes="0" containsNonDate="0" containsDate="1" containsString="0" minDate="2024-01-01T00:00:00" maxDate="2025-01-01T00:00:00"/>
    </cacheField>
    <cacheField name="Department" numFmtId="0">
      <sharedItems count="5">
        <s v="HR"/>
        <s v="Finance"/>
        <s v="Sales"/>
        <s v="Admin"/>
        <s v="Production"/>
      </sharedItems>
    </cacheField>
    <cacheField name="Expense_Type" numFmtId="0">
      <sharedItems count="5">
        <s v="Utilities"/>
        <s v="Office Supplies"/>
        <s v="Travel"/>
        <s v="Maintenance"/>
        <s v="Marketing"/>
      </sharedItems>
    </cacheField>
    <cacheField name="Amount" numFmtId="0">
      <sharedItems containsSemiMixedTypes="0" containsString="0" containsNumber="1" containsInteger="1" minValue="5111" maxValue="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a pradhan" refreshedDate="46085.130237962963" createdVersion="8" refreshedVersion="8" minRefreshableVersion="3" recordCount="60" xr:uid="{F3544A52-C657-4F86-A5AB-D25CFB93AB5F}">
  <cacheSource type="worksheet">
    <worksheetSource name="tblBudget"/>
  </cacheSource>
  <cacheFields count="3">
    <cacheField name="Month" numFmtId="0">
      <sharedItems containsSemiMixedTypes="0" containsString="0" containsNumber="1" containsInteger="1" minValue="1" maxValue="12"/>
    </cacheField>
    <cacheField name="Department" numFmtId="0">
      <sharedItems count="5">
        <s v="Production"/>
        <s v="Sales"/>
        <s v="HR"/>
        <s v="Admin"/>
        <s v="Finance"/>
      </sharedItems>
    </cacheField>
    <cacheField name="Budget_Amount" numFmtId="0">
      <sharedItems containsSemiMixedTypes="0" containsString="0" containsNumber="1" containsInteger="1" minValue="511233" maxValue="1485630"/>
    </cacheField>
  </cacheFields>
  <extLst>
    <ext xmlns:x14="http://schemas.microsoft.com/office/spreadsheetml/2009/9/main" uri="{725AE2AE-9491-48be-B2B4-4EB974FC3084}">
      <x14:pivotCacheDefinition pivotCacheId="1869263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a pradhan" refreshedDate="46085.144303819441" createdVersion="8" refreshedVersion="8" minRefreshableVersion="3" recordCount="61" xr:uid="{B8BDB74B-DC45-4602-A2E5-DD37E74DFE52}">
  <cacheSource type="worksheet">
    <worksheetSource ref="A1:D1048576" sheet="Budget_Data"/>
  </cacheSource>
  <cacheFields count="4">
    <cacheField name="Month" numFmtId="0">
      <sharedItems containsString="0" containsBlank="1" containsNumber="1" containsInteger="1" minValue="1" maxValue="12"/>
    </cacheField>
    <cacheField name="Department" numFmtId="0">
      <sharedItems containsBlank="1"/>
    </cacheField>
    <cacheField name="Budget_Amount" numFmtId="0">
      <sharedItems containsString="0" containsBlank="1" containsNumber="1" containsInteger="1" minValue="511233" maxValue="1485630"/>
    </cacheField>
    <cacheField name="Month Name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jaya pradhan" refreshedDate="46085.144589004631" backgroundQuery="1" createdVersion="8" refreshedVersion="8" minRefreshableVersion="3" recordCount="0" supportSubquery="1" supportAdvancedDrill="1" xr:uid="{9E55A759-C6A3-4E4A-9F86-24C7605ABB4A}">
  <cacheSource type="external" connectionId="1"/>
  <cacheFields count="2">
    <cacheField name="[tblExpense].[Month Name].[Month Name]" caption="Month Name" numFmtId="0" hierarchy="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Amount]" caption="Sum of Amount" numFmtId="0" hierarchy="8" level="32767"/>
  </cacheFields>
  <cacheHierarchies count="9">
    <cacheHierarchy uniqueName="[tblExpense].[Date]" caption="Date" attribute="1" time="1" defaultMemberUniqueName="[tblExpense].[Date].[All]" allUniqueName="[tblExpense].[Date].[All]" dimensionUniqueName="[tblExpense]" displayFolder="" count="0" memberValueDatatype="7" unbalanced="0"/>
    <cacheHierarchy uniqueName="[tblExpense].[Department]" caption="Department" attribute="1" defaultMemberUniqueName="[tblExpense].[Department].[All]" allUniqueName="[tblExpense].[Department].[All]" dimensionUniqueName="[tblExpense]" displayFolder="" count="0" memberValueDatatype="130" unbalanced="0"/>
    <cacheHierarchy uniqueName="[tblExpense].[Expense_Type]" caption="Expense_Type" attribute="1" defaultMemberUniqueName="[tblExpense].[Expense_Type].[All]" allUniqueName="[tblExpense].[Expense_Type].[All]" dimensionUniqueName="[tblExpense]" displayFolder="" count="0" memberValueDatatype="130" unbalanced="0"/>
    <cacheHierarchy uniqueName="[tblExpense].[Amount]" caption="Amount" attribute="1" defaultMemberUniqueName="[tblExpense].[Amount].[All]" allUniqueName="[tblExpense].[Amount].[All]" dimensionUniqueName="[tblExpense]" displayFolder="" count="0" memberValueDatatype="20" unbalanced="0"/>
    <cacheHierarchy uniqueName="[tblExpense].[Month No]" caption="Month No" attribute="1" defaultMemberUniqueName="[tblExpense].[Month No].[All]" allUniqueName="[tblExpense].[Month No].[All]" dimensionUniqueName="[tblExpense]" displayFolder="" count="0" memberValueDatatype="20" unbalanced="0"/>
    <cacheHierarchy uniqueName="[tblExpense].[Month Name]" caption="Month Name" attribute="1" defaultMemberUniqueName="[tblExpense].[Month Name].[All]" allUniqueName="[tblExpense].[Month Name].[All]" dimensionUniqueName="[tblExpense]" displayFolder="" count="2" memberValueDatatype="130" unbalanced="0">
      <fieldsUsage count="2">
        <fieldUsage x="-1"/>
        <fieldUsage x="0"/>
      </fieldsUsage>
    </cacheHierarchy>
    <cacheHierarchy uniqueName="[Measures].[__XL_Count tblExpense]" caption="__XL_Count tblExpense" measure="1" displayFolder="" measureGroup="tblExpens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lExpen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blExpense" uniqueName="[tblExpense]" caption="tblExpense"/>
  </dimensions>
  <measureGroups count="1">
    <measureGroup name="tblExpense" caption="tblExpens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a pradhan" refreshedDate="46085.164063888886" createdVersion="8" refreshedVersion="8" minRefreshableVersion="3" recordCount="1500" xr:uid="{2A66BBE4-FEC7-4189-B329-8D060E878776}">
  <cacheSource type="worksheet">
    <worksheetSource name="tblSales"/>
  </cacheSource>
  <cacheFields count="9">
    <cacheField name="Date" numFmtId="14">
      <sharedItems containsSemiMixedTypes="0" containsNonDate="0" containsDate="1" containsString="0" minDate="2024-01-01T00:00:00" maxDate="2025-01-01T00:00:00"/>
    </cacheField>
    <cacheField name="Invoice_No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40"/>
    </cacheField>
    <cacheField name="Unit_Price" numFmtId="0">
      <sharedItems containsSemiMixedTypes="0" containsString="0" containsNumber="1" containsInteger="1" minValue="5009" maxValue="44931"/>
    </cacheField>
    <cacheField name="Sales_Amount" numFmtId="0">
      <sharedItems containsSemiMixedTypes="0" containsString="0" containsNumber="1" containsInteger="1" minValue="5060" maxValue="1696344"/>
    </cacheField>
    <cacheField name="Region" numFmtId="0">
      <sharedItems/>
    </cacheField>
    <cacheField name="Customer" numFmtId="0">
      <sharedItems/>
    </cacheField>
    <cacheField name="Month_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d v="2024-10-04T00:00:00"/>
    <x v="0"/>
    <x v="0"/>
    <n v="37138"/>
  </r>
  <r>
    <d v="2024-02-19T00:00:00"/>
    <x v="1"/>
    <x v="1"/>
    <n v="71893"/>
  </r>
  <r>
    <d v="2024-12-18T00:00:00"/>
    <x v="2"/>
    <x v="0"/>
    <n v="86394"/>
  </r>
  <r>
    <d v="2024-04-07T00:00:00"/>
    <x v="0"/>
    <x v="0"/>
    <n v="90125"/>
  </r>
  <r>
    <d v="2024-08-20T00:00:00"/>
    <x v="2"/>
    <x v="2"/>
    <n v="79668"/>
  </r>
  <r>
    <d v="2024-10-15T00:00:00"/>
    <x v="1"/>
    <x v="3"/>
    <n v="36908"/>
  </r>
  <r>
    <d v="2024-09-27T00:00:00"/>
    <x v="3"/>
    <x v="0"/>
    <n v="19344"/>
  </r>
  <r>
    <d v="2024-03-04T00:00:00"/>
    <x v="1"/>
    <x v="4"/>
    <n v="99349"/>
  </r>
  <r>
    <d v="2024-12-17T00:00:00"/>
    <x v="4"/>
    <x v="1"/>
    <n v="48853"/>
  </r>
  <r>
    <d v="2024-11-04T00:00:00"/>
    <x v="3"/>
    <x v="3"/>
    <n v="48147"/>
  </r>
  <r>
    <d v="2024-11-25T00:00:00"/>
    <x v="4"/>
    <x v="4"/>
    <n v="68882"/>
  </r>
  <r>
    <d v="2024-02-10T00:00:00"/>
    <x v="3"/>
    <x v="3"/>
    <n v="15636"/>
  </r>
  <r>
    <d v="2024-06-05T00:00:00"/>
    <x v="4"/>
    <x v="4"/>
    <n v="71471"/>
  </r>
  <r>
    <d v="2024-05-05T00:00:00"/>
    <x v="3"/>
    <x v="0"/>
    <n v="30762"/>
  </r>
  <r>
    <d v="2024-03-21T00:00:00"/>
    <x v="3"/>
    <x v="1"/>
    <n v="91092"/>
  </r>
  <r>
    <d v="2024-05-14T00:00:00"/>
    <x v="2"/>
    <x v="1"/>
    <n v="97328"/>
  </r>
  <r>
    <d v="2024-01-02T00:00:00"/>
    <x v="0"/>
    <x v="4"/>
    <n v="11677"/>
  </r>
  <r>
    <d v="2024-03-13T00:00:00"/>
    <x v="3"/>
    <x v="1"/>
    <n v="69103"/>
  </r>
  <r>
    <d v="2024-10-14T00:00:00"/>
    <x v="3"/>
    <x v="3"/>
    <n v="64185"/>
  </r>
  <r>
    <d v="2024-10-18T00:00:00"/>
    <x v="2"/>
    <x v="4"/>
    <n v="46318"/>
  </r>
  <r>
    <d v="2024-02-15T00:00:00"/>
    <x v="3"/>
    <x v="0"/>
    <n v="93048"/>
  </r>
  <r>
    <d v="2024-10-17T00:00:00"/>
    <x v="3"/>
    <x v="4"/>
    <n v="23190"/>
  </r>
  <r>
    <d v="2024-07-30T00:00:00"/>
    <x v="0"/>
    <x v="0"/>
    <n v="80018"/>
  </r>
  <r>
    <d v="2024-11-22T00:00:00"/>
    <x v="0"/>
    <x v="0"/>
    <n v="96749"/>
  </r>
  <r>
    <d v="2024-08-18T00:00:00"/>
    <x v="3"/>
    <x v="3"/>
    <n v="59906"/>
  </r>
  <r>
    <d v="2024-01-13T00:00:00"/>
    <x v="1"/>
    <x v="4"/>
    <n v="27881"/>
  </r>
  <r>
    <d v="2024-11-25T00:00:00"/>
    <x v="0"/>
    <x v="1"/>
    <n v="33071"/>
  </r>
  <r>
    <d v="2024-11-24T00:00:00"/>
    <x v="0"/>
    <x v="3"/>
    <n v="72562"/>
  </r>
  <r>
    <d v="2024-08-13T00:00:00"/>
    <x v="3"/>
    <x v="0"/>
    <n v="52847"/>
  </r>
  <r>
    <d v="2024-09-05T00:00:00"/>
    <x v="4"/>
    <x v="4"/>
    <n v="44850"/>
  </r>
  <r>
    <d v="2024-10-19T00:00:00"/>
    <x v="4"/>
    <x v="2"/>
    <n v="31419"/>
  </r>
  <r>
    <d v="2024-07-17T00:00:00"/>
    <x v="2"/>
    <x v="0"/>
    <n v="69479"/>
  </r>
  <r>
    <d v="2024-06-21T00:00:00"/>
    <x v="1"/>
    <x v="0"/>
    <n v="98633"/>
  </r>
  <r>
    <d v="2024-07-27T00:00:00"/>
    <x v="1"/>
    <x v="4"/>
    <n v="7148"/>
  </r>
  <r>
    <d v="2024-11-30T00:00:00"/>
    <x v="1"/>
    <x v="1"/>
    <n v="26181"/>
  </r>
  <r>
    <d v="2024-08-16T00:00:00"/>
    <x v="4"/>
    <x v="0"/>
    <n v="20041"/>
  </r>
  <r>
    <d v="2024-11-26T00:00:00"/>
    <x v="4"/>
    <x v="1"/>
    <n v="36835"/>
  </r>
  <r>
    <d v="2024-12-01T00:00:00"/>
    <x v="0"/>
    <x v="0"/>
    <n v="77119"/>
  </r>
  <r>
    <d v="2024-03-16T00:00:00"/>
    <x v="0"/>
    <x v="2"/>
    <n v="19304"/>
  </r>
  <r>
    <d v="2024-06-01T00:00:00"/>
    <x v="0"/>
    <x v="1"/>
    <n v="36802"/>
  </r>
  <r>
    <d v="2024-09-08T00:00:00"/>
    <x v="3"/>
    <x v="3"/>
    <n v="77829"/>
  </r>
  <r>
    <d v="2024-05-01T00:00:00"/>
    <x v="0"/>
    <x v="3"/>
    <n v="43629"/>
  </r>
  <r>
    <d v="2024-01-09T00:00:00"/>
    <x v="1"/>
    <x v="4"/>
    <n v="77833"/>
  </r>
  <r>
    <d v="2024-05-26T00:00:00"/>
    <x v="0"/>
    <x v="1"/>
    <n v="69293"/>
  </r>
  <r>
    <d v="2024-10-08T00:00:00"/>
    <x v="0"/>
    <x v="2"/>
    <n v="37322"/>
  </r>
  <r>
    <d v="2024-04-13T00:00:00"/>
    <x v="1"/>
    <x v="4"/>
    <n v="62522"/>
  </r>
  <r>
    <d v="2024-03-18T00:00:00"/>
    <x v="3"/>
    <x v="3"/>
    <n v="95607"/>
  </r>
  <r>
    <d v="2024-09-20T00:00:00"/>
    <x v="2"/>
    <x v="1"/>
    <n v="23974"/>
  </r>
  <r>
    <d v="2024-12-30T00:00:00"/>
    <x v="0"/>
    <x v="4"/>
    <n v="74453"/>
  </r>
  <r>
    <d v="2024-10-01T00:00:00"/>
    <x v="4"/>
    <x v="1"/>
    <n v="68877"/>
  </r>
  <r>
    <d v="2024-06-15T00:00:00"/>
    <x v="0"/>
    <x v="3"/>
    <n v="29989"/>
  </r>
  <r>
    <d v="2024-05-15T00:00:00"/>
    <x v="1"/>
    <x v="1"/>
    <n v="78550"/>
  </r>
  <r>
    <d v="2024-09-19T00:00:00"/>
    <x v="0"/>
    <x v="3"/>
    <n v="32959"/>
  </r>
  <r>
    <d v="2024-08-21T00:00:00"/>
    <x v="3"/>
    <x v="4"/>
    <n v="43263"/>
  </r>
  <r>
    <d v="2024-07-08T00:00:00"/>
    <x v="4"/>
    <x v="1"/>
    <n v="24304"/>
  </r>
  <r>
    <d v="2024-01-01T00:00:00"/>
    <x v="2"/>
    <x v="1"/>
    <n v="72965"/>
  </r>
  <r>
    <d v="2024-07-28T00:00:00"/>
    <x v="0"/>
    <x v="1"/>
    <n v="59727"/>
  </r>
  <r>
    <d v="2024-02-02T00:00:00"/>
    <x v="0"/>
    <x v="2"/>
    <n v="29297"/>
  </r>
  <r>
    <d v="2024-10-21T00:00:00"/>
    <x v="3"/>
    <x v="0"/>
    <n v="13679"/>
  </r>
  <r>
    <d v="2024-05-10T00:00:00"/>
    <x v="0"/>
    <x v="2"/>
    <n v="88051"/>
  </r>
  <r>
    <d v="2024-02-20T00:00:00"/>
    <x v="1"/>
    <x v="3"/>
    <n v="10745"/>
  </r>
  <r>
    <d v="2024-06-24T00:00:00"/>
    <x v="4"/>
    <x v="1"/>
    <n v="18129"/>
  </r>
  <r>
    <d v="2024-01-24T00:00:00"/>
    <x v="3"/>
    <x v="2"/>
    <n v="28119"/>
  </r>
  <r>
    <d v="2024-07-09T00:00:00"/>
    <x v="1"/>
    <x v="3"/>
    <n v="10484"/>
  </r>
  <r>
    <d v="2024-10-08T00:00:00"/>
    <x v="2"/>
    <x v="3"/>
    <n v="73834"/>
  </r>
  <r>
    <d v="2024-05-07T00:00:00"/>
    <x v="0"/>
    <x v="3"/>
    <n v="51259"/>
  </r>
  <r>
    <d v="2024-01-28T00:00:00"/>
    <x v="0"/>
    <x v="3"/>
    <n v="21856"/>
  </r>
  <r>
    <d v="2024-08-09T00:00:00"/>
    <x v="4"/>
    <x v="0"/>
    <n v="56501"/>
  </r>
  <r>
    <d v="2024-08-11T00:00:00"/>
    <x v="3"/>
    <x v="0"/>
    <n v="89095"/>
  </r>
  <r>
    <d v="2024-03-05T00:00:00"/>
    <x v="0"/>
    <x v="3"/>
    <n v="79217"/>
  </r>
  <r>
    <d v="2024-06-19T00:00:00"/>
    <x v="1"/>
    <x v="3"/>
    <n v="97500"/>
  </r>
  <r>
    <d v="2024-12-07T00:00:00"/>
    <x v="2"/>
    <x v="1"/>
    <n v="72467"/>
  </r>
  <r>
    <d v="2024-12-28T00:00:00"/>
    <x v="1"/>
    <x v="2"/>
    <n v="73001"/>
  </r>
  <r>
    <d v="2024-11-06T00:00:00"/>
    <x v="3"/>
    <x v="4"/>
    <n v="48836"/>
  </r>
  <r>
    <d v="2024-09-24T00:00:00"/>
    <x v="2"/>
    <x v="0"/>
    <n v="92161"/>
  </r>
  <r>
    <d v="2024-08-10T00:00:00"/>
    <x v="2"/>
    <x v="4"/>
    <n v="74704"/>
  </r>
  <r>
    <d v="2024-02-15T00:00:00"/>
    <x v="0"/>
    <x v="4"/>
    <n v="21572"/>
  </r>
  <r>
    <d v="2024-09-09T00:00:00"/>
    <x v="0"/>
    <x v="0"/>
    <n v="34828"/>
  </r>
  <r>
    <d v="2024-05-08T00:00:00"/>
    <x v="3"/>
    <x v="2"/>
    <n v="61632"/>
  </r>
  <r>
    <d v="2024-04-18T00:00:00"/>
    <x v="0"/>
    <x v="3"/>
    <n v="17959"/>
  </r>
  <r>
    <d v="2024-05-16T00:00:00"/>
    <x v="1"/>
    <x v="2"/>
    <n v="48704"/>
  </r>
  <r>
    <d v="2024-08-26T00:00:00"/>
    <x v="3"/>
    <x v="2"/>
    <n v="89042"/>
  </r>
  <r>
    <d v="2024-05-05T00:00:00"/>
    <x v="4"/>
    <x v="0"/>
    <n v="45640"/>
  </r>
  <r>
    <d v="2024-01-24T00:00:00"/>
    <x v="2"/>
    <x v="0"/>
    <n v="30713"/>
  </r>
  <r>
    <d v="2024-10-11T00:00:00"/>
    <x v="3"/>
    <x v="3"/>
    <n v="24203"/>
  </r>
  <r>
    <d v="2024-04-01T00:00:00"/>
    <x v="0"/>
    <x v="0"/>
    <n v="51571"/>
  </r>
  <r>
    <d v="2024-03-08T00:00:00"/>
    <x v="2"/>
    <x v="2"/>
    <n v="13782"/>
  </r>
  <r>
    <d v="2024-09-18T00:00:00"/>
    <x v="3"/>
    <x v="3"/>
    <n v="27433"/>
  </r>
  <r>
    <d v="2024-11-03T00:00:00"/>
    <x v="2"/>
    <x v="3"/>
    <n v="99200"/>
  </r>
  <r>
    <d v="2024-12-24T00:00:00"/>
    <x v="1"/>
    <x v="0"/>
    <n v="38625"/>
  </r>
  <r>
    <d v="2024-09-06T00:00:00"/>
    <x v="4"/>
    <x v="2"/>
    <n v="30132"/>
  </r>
  <r>
    <d v="2024-03-19T00:00:00"/>
    <x v="0"/>
    <x v="4"/>
    <n v="60164"/>
  </r>
  <r>
    <d v="2024-07-15T00:00:00"/>
    <x v="2"/>
    <x v="1"/>
    <n v="27208"/>
  </r>
  <r>
    <d v="2024-08-18T00:00:00"/>
    <x v="4"/>
    <x v="4"/>
    <n v="66965"/>
  </r>
  <r>
    <d v="2024-06-11T00:00:00"/>
    <x v="1"/>
    <x v="1"/>
    <n v="42653"/>
  </r>
  <r>
    <d v="2024-11-21T00:00:00"/>
    <x v="3"/>
    <x v="4"/>
    <n v="19112"/>
  </r>
  <r>
    <d v="2024-08-23T00:00:00"/>
    <x v="3"/>
    <x v="4"/>
    <n v="42592"/>
  </r>
  <r>
    <d v="2024-04-20T00:00:00"/>
    <x v="1"/>
    <x v="4"/>
    <n v="15372"/>
  </r>
  <r>
    <d v="2024-04-01T00:00:00"/>
    <x v="4"/>
    <x v="2"/>
    <n v="67094"/>
  </r>
  <r>
    <d v="2024-03-29T00:00:00"/>
    <x v="2"/>
    <x v="3"/>
    <n v="9452"/>
  </r>
  <r>
    <d v="2024-01-09T00:00:00"/>
    <x v="2"/>
    <x v="3"/>
    <n v="52057"/>
  </r>
  <r>
    <d v="2024-01-28T00:00:00"/>
    <x v="0"/>
    <x v="4"/>
    <n v="75237"/>
  </r>
  <r>
    <d v="2024-08-18T00:00:00"/>
    <x v="1"/>
    <x v="4"/>
    <n v="19483"/>
  </r>
  <r>
    <d v="2024-11-27T00:00:00"/>
    <x v="0"/>
    <x v="3"/>
    <n v="93854"/>
  </r>
  <r>
    <d v="2024-01-12T00:00:00"/>
    <x v="0"/>
    <x v="1"/>
    <n v="5199"/>
  </r>
  <r>
    <d v="2024-02-27T00:00:00"/>
    <x v="1"/>
    <x v="0"/>
    <n v="41619"/>
  </r>
  <r>
    <d v="2024-10-02T00:00:00"/>
    <x v="0"/>
    <x v="3"/>
    <n v="92121"/>
  </r>
  <r>
    <d v="2024-09-17T00:00:00"/>
    <x v="1"/>
    <x v="2"/>
    <n v="44768"/>
  </r>
  <r>
    <d v="2024-03-15T00:00:00"/>
    <x v="2"/>
    <x v="1"/>
    <n v="26810"/>
  </r>
  <r>
    <d v="2024-04-03T00:00:00"/>
    <x v="3"/>
    <x v="0"/>
    <n v="49986"/>
  </r>
  <r>
    <d v="2024-05-13T00:00:00"/>
    <x v="4"/>
    <x v="3"/>
    <n v="77198"/>
  </r>
  <r>
    <d v="2024-08-17T00:00:00"/>
    <x v="2"/>
    <x v="0"/>
    <n v="78128"/>
  </r>
  <r>
    <d v="2024-08-08T00:00:00"/>
    <x v="1"/>
    <x v="3"/>
    <n v="86939"/>
  </r>
  <r>
    <d v="2024-10-11T00:00:00"/>
    <x v="4"/>
    <x v="2"/>
    <n v="23693"/>
  </r>
  <r>
    <d v="2024-11-30T00:00:00"/>
    <x v="2"/>
    <x v="2"/>
    <n v="82160"/>
  </r>
  <r>
    <d v="2024-02-29T00:00:00"/>
    <x v="2"/>
    <x v="2"/>
    <n v="94416"/>
  </r>
  <r>
    <d v="2024-05-06T00:00:00"/>
    <x v="1"/>
    <x v="1"/>
    <n v="52490"/>
  </r>
  <r>
    <d v="2024-05-22T00:00:00"/>
    <x v="4"/>
    <x v="0"/>
    <n v="45196"/>
  </r>
  <r>
    <d v="2024-12-12T00:00:00"/>
    <x v="2"/>
    <x v="1"/>
    <n v="22159"/>
  </r>
  <r>
    <d v="2024-11-19T00:00:00"/>
    <x v="1"/>
    <x v="3"/>
    <n v="54113"/>
  </r>
  <r>
    <d v="2024-05-01T00:00:00"/>
    <x v="4"/>
    <x v="2"/>
    <n v="47186"/>
  </r>
  <r>
    <d v="2024-11-28T00:00:00"/>
    <x v="1"/>
    <x v="3"/>
    <n v="25394"/>
  </r>
  <r>
    <d v="2024-10-30T00:00:00"/>
    <x v="1"/>
    <x v="1"/>
    <n v="21701"/>
  </r>
  <r>
    <d v="2024-08-13T00:00:00"/>
    <x v="2"/>
    <x v="2"/>
    <n v="8195"/>
  </r>
  <r>
    <d v="2024-04-12T00:00:00"/>
    <x v="0"/>
    <x v="1"/>
    <n v="28501"/>
  </r>
  <r>
    <d v="2024-05-31T00:00:00"/>
    <x v="0"/>
    <x v="1"/>
    <n v="96988"/>
  </r>
  <r>
    <d v="2024-08-03T00:00:00"/>
    <x v="4"/>
    <x v="0"/>
    <n v="47638"/>
  </r>
  <r>
    <d v="2024-12-31T00:00:00"/>
    <x v="2"/>
    <x v="1"/>
    <n v="19712"/>
  </r>
  <r>
    <d v="2024-12-03T00:00:00"/>
    <x v="4"/>
    <x v="1"/>
    <n v="8273"/>
  </r>
  <r>
    <d v="2024-08-09T00:00:00"/>
    <x v="0"/>
    <x v="0"/>
    <n v="61680"/>
  </r>
  <r>
    <d v="2024-01-28T00:00:00"/>
    <x v="3"/>
    <x v="2"/>
    <n v="39584"/>
  </r>
  <r>
    <d v="2024-12-05T00:00:00"/>
    <x v="4"/>
    <x v="1"/>
    <n v="97312"/>
  </r>
  <r>
    <d v="2024-02-01T00:00:00"/>
    <x v="2"/>
    <x v="2"/>
    <n v="7524"/>
  </r>
  <r>
    <d v="2024-09-17T00:00:00"/>
    <x v="4"/>
    <x v="2"/>
    <n v="41623"/>
  </r>
  <r>
    <d v="2024-02-04T00:00:00"/>
    <x v="2"/>
    <x v="4"/>
    <n v="74026"/>
  </r>
  <r>
    <d v="2024-11-14T00:00:00"/>
    <x v="4"/>
    <x v="2"/>
    <n v="25367"/>
  </r>
  <r>
    <d v="2024-10-10T00:00:00"/>
    <x v="0"/>
    <x v="3"/>
    <n v="50150"/>
  </r>
  <r>
    <d v="2024-09-08T00:00:00"/>
    <x v="1"/>
    <x v="0"/>
    <n v="77393"/>
  </r>
  <r>
    <d v="2024-01-03T00:00:00"/>
    <x v="1"/>
    <x v="0"/>
    <n v="11373"/>
  </r>
  <r>
    <d v="2024-10-18T00:00:00"/>
    <x v="4"/>
    <x v="4"/>
    <n v="11795"/>
  </r>
  <r>
    <d v="2024-09-25T00:00:00"/>
    <x v="3"/>
    <x v="3"/>
    <n v="34560"/>
  </r>
  <r>
    <d v="2024-03-18T00:00:00"/>
    <x v="2"/>
    <x v="1"/>
    <n v="53920"/>
  </r>
  <r>
    <d v="2024-05-19T00:00:00"/>
    <x v="1"/>
    <x v="0"/>
    <n v="55802"/>
  </r>
  <r>
    <d v="2024-06-07T00:00:00"/>
    <x v="3"/>
    <x v="4"/>
    <n v="54932"/>
  </r>
  <r>
    <d v="2024-08-20T00:00:00"/>
    <x v="2"/>
    <x v="3"/>
    <n v="36492"/>
  </r>
  <r>
    <d v="2024-09-28T00:00:00"/>
    <x v="2"/>
    <x v="3"/>
    <n v="28922"/>
  </r>
  <r>
    <d v="2024-09-07T00:00:00"/>
    <x v="3"/>
    <x v="1"/>
    <n v="57812"/>
  </r>
  <r>
    <d v="2024-08-06T00:00:00"/>
    <x v="0"/>
    <x v="3"/>
    <n v="97352"/>
  </r>
  <r>
    <d v="2024-04-01T00:00:00"/>
    <x v="1"/>
    <x v="2"/>
    <n v="32306"/>
  </r>
  <r>
    <d v="2024-07-28T00:00:00"/>
    <x v="1"/>
    <x v="0"/>
    <n v="17562"/>
  </r>
  <r>
    <d v="2024-11-24T00:00:00"/>
    <x v="2"/>
    <x v="4"/>
    <n v="84057"/>
  </r>
  <r>
    <d v="2024-11-23T00:00:00"/>
    <x v="0"/>
    <x v="0"/>
    <n v="21160"/>
  </r>
  <r>
    <d v="2024-04-18T00:00:00"/>
    <x v="3"/>
    <x v="4"/>
    <n v="33821"/>
  </r>
  <r>
    <d v="2024-06-10T00:00:00"/>
    <x v="0"/>
    <x v="2"/>
    <n v="75314"/>
  </r>
  <r>
    <d v="2024-07-21T00:00:00"/>
    <x v="0"/>
    <x v="2"/>
    <n v="15374"/>
  </r>
  <r>
    <d v="2024-01-17T00:00:00"/>
    <x v="1"/>
    <x v="1"/>
    <n v="83126"/>
  </r>
  <r>
    <d v="2024-07-02T00:00:00"/>
    <x v="3"/>
    <x v="4"/>
    <n v="70260"/>
  </r>
  <r>
    <d v="2024-02-17T00:00:00"/>
    <x v="3"/>
    <x v="2"/>
    <n v="39370"/>
  </r>
  <r>
    <d v="2024-07-21T00:00:00"/>
    <x v="2"/>
    <x v="0"/>
    <n v="71135"/>
  </r>
  <r>
    <d v="2024-12-16T00:00:00"/>
    <x v="1"/>
    <x v="1"/>
    <n v="36843"/>
  </r>
  <r>
    <d v="2024-10-01T00:00:00"/>
    <x v="3"/>
    <x v="0"/>
    <n v="14633"/>
  </r>
  <r>
    <d v="2024-01-15T00:00:00"/>
    <x v="0"/>
    <x v="1"/>
    <n v="82664"/>
  </r>
  <r>
    <d v="2024-01-20T00:00:00"/>
    <x v="4"/>
    <x v="0"/>
    <n v="59322"/>
  </r>
  <r>
    <d v="2024-03-24T00:00:00"/>
    <x v="3"/>
    <x v="1"/>
    <n v="10288"/>
  </r>
  <r>
    <d v="2024-04-25T00:00:00"/>
    <x v="0"/>
    <x v="0"/>
    <n v="58892"/>
  </r>
  <r>
    <d v="2024-02-01T00:00:00"/>
    <x v="0"/>
    <x v="2"/>
    <n v="72663"/>
  </r>
  <r>
    <d v="2024-07-05T00:00:00"/>
    <x v="3"/>
    <x v="0"/>
    <n v="34818"/>
  </r>
  <r>
    <d v="2024-08-23T00:00:00"/>
    <x v="3"/>
    <x v="2"/>
    <n v="79085"/>
  </r>
  <r>
    <d v="2024-01-31T00:00:00"/>
    <x v="3"/>
    <x v="4"/>
    <n v="44242"/>
  </r>
  <r>
    <d v="2024-12-29T00:00:00"/>
    <x v="1"/>
    <x v="1"/>
    <n v="43608"/>
  </r>
  <r>
    <d v="2024-04-08T00:00:00"/>
    <x v="0"/>
    <x v="4"/>
    <n v="18479"/>
  </r>
  <r>
    <d v="2024-04-27T00:00:00"/>
    <x v="1"/>
    <x v="3"/>
    <n v="35698"/>
  </r>
  <r>
    <d v="2024-06-28T00:00:00"/>
    <x v="0"/>
    <x v="0"/>
    <n v="10082"/>
  </r>
  <r>
    <d v="2024-06-08T00:00:00"/>
    <x v="2"/>
    <x v="0"/>
    <n v="29773"/>
  </r>
  <r>
    <d v="2024-02-01T00:00:00"/>
    <x v="4"/>
    <x v="4"/>
    <n v="29877"/>
  </r>
  <r>
    <d v="2024-06-17T00:00:00"/>
    <x v="1"/>
    <x v="0"/>
    <n v="75647"/>
  </r>
  <r>
    <d v="2024-06-12T00:00:00"/>
    <x v="0"/>
    <x v="1"/>
    <n v="60443"/>
  </r>
  <r>
    <d v="2024-04-24T00:00:00"/>
    <x v="2"/>
    <x v="0"/>
    <n v="78897"/>
  </r>
  <r>
    <d v="2024-04-08T00:00:00"/>
    <x v="2"/>
    <x v="1"/>
    <n v="5987"/>
  </r>
  <r>
    <d v="2024-03-19T00:00:00"/>
    <x v="3"/>
    <x v="2"/>
    <n v="27516"/>
  </r>
  <r>
    <d v="2024-10-01T00:00:00"/>
    <x v="2"/>
    <x v="4"/>
    <n v="5111"/>
  </r>
  <r>
    <d v="2024-02-26T00:00:00"/>
    <x v="3"/>
    <x v="4"/>
    <n v="47623"/>
  </r>
  <r>
    <d v="2024-12-10T00:00:00"/>
    <x v="2"/>
    <x v="0"/>
    <n v="66245"/>
  </r>
  <r>
    <d v="2024-05-19T00:00:00"/>
    <x v="1"/>
    <x v="1"/>
    <n v="82278"/>
  </r>
  <r>
    <d v="2024-04-10T00:00:00"/>
    <x v="0"/>
    <x v="2"/>
    <n v="32261"/>
  </r>
  <r>
    <d v="2024-02-07T00:00:00"/>
    <x v="0"/>
    <x v="1"/>
    <n v="14816"/>
  </r>
  <r>
    <d v="2024-04-01T00:00:00"/>
    <x v="0"/>
    <x v="1"/>
    <n v="11974"/>
  </r>
  <r>
    <d v="2024-01-11T00:00:00"/>
    <x v="0"/>
    <x v="3"/>
    <n v="48104"/>
  </r>
  <r>
    <d v="2024-08-07T00:00:00"/>
    <x v="0"/>
    <x v="4"/>
    <n v="34593"/>
  </r>
  <r>
    <d v="2024-04-25T00:00:00"/>
    <x v="4"/>
    <x v="0"/>
    <n v="39522"/>
  </r>
  <r>
    <d v="2024-05-08T00:00:00"/>
    <x v="3"/>
    <x v="2"/>
    <n v="6958"/>
  </r>
  <r>
    <d v="2024-09-02T00:00:00"/>
    <x v="3"/>
    <x v="2"/>
    <n v="36371"/>
  </r>
  <r>
    <d v="2024-05-10T00:00:00"/>
    <x v="1"/>
    <x v="4"/>
    <n v="13727"/>
  </r>
  <r>
    <d v="2024-04-18T00:00:00"/>
    <x v="1"/>
    <x v="0"/>
    <n v="37471"/>
  </r>
  <r>
    <d v="2024-09-29T00:00:00"/>
    <x v="1"/>
    <x v="4"/>
    <n v="61877"/>
  </r>
  <r>
    <d v="2024-11-12T00:00:00"/>
    <x v="0"/>
    <x v="1"/>
    <n v="21077"/>
  </r>
  <r>
    <d v="2024-09-09T00:00:00"/>
    <x v="3"/>
    <x v="0"/>
    <n v="80117"/>
  </r>
  <r>
    <d v="2024-02-22T00:00:00"/>
    <x v="2"/>
    <x v="0"/>
    <n v="28196"/>
  </r>
  <r>
    <d v="2024-01-24T00:00:00"/>
    <x v="1"/>
    <x v="3"/>
    <n v="41241"/>
  </r>
  <r>
    <d v="2024-06-07T00:00:00"/>
    <x v="4"/>
    <x v="4"/>
    <n v="82625"/>
  </r>
  <r>
    <d v="2024-02-02T00:00:00"/>
    <x v="3"/>
    <x v="3"/>
    <n v="48582"/>
  </r>
  <r>
    <d v="2024-09-22T00:00:00"/>
    <x v="4"/>
    <x v="3"/>
    <n v="12354"/>
  </r>
  <r>
    <d v="2024-08-13T00:00:00"/>
    <x v="4"/>
    <x v="3"/>
    <n v="43284"/>
  </r>
  <r>
    <d v="2024-05-31T00:00:00"/>
    <x v="2"/>
    <x v="0"/>
    <n v="44350"/>
  </r>
  <r>
    <d v="2024-08-29T00:00:00"/>
    <x v="1"/>
    <x v="4"/>
    <n v="93820"/>
  </r>
  <r>
    <d v="2024-09-22T00:00:00"/>
    <x v="3"/>
    <x v="1"/>
    <n v="30508"/>
  </r>
  <r>
    <d v="2024-06-23T00:00:00"/>
    <x v="1"/>
    <x v="2"/>
    <n v="11225"/>
  </r>
  <r>
    <d v="2024-05-08T00:00:00"/>
    <x v="1"/>
    <x v="4"/>
    <n v="96355"/>
  </r>
  <r>
    <d v="2024-11-22T00:00:00"/>
    <x v="0"/>
    <x v="3"/>
    <n v="6111"/>
  </r>
  <r>
    <d v="2024-06-09T00:00:00"/>
    <x v="1"/>
    <x v="3"/>
    <n v="98418"/>
  </r>
  <r>
    <d v="2024-12-08T00:00:00"/>
    <x v="1"/>
    <x v="0"/>
    <n v="28100"/>
  </r>
  <r>
    <d v="2024-08-08T00:00:00"/>
    <x v="1"/>
    <x v="1"/>
    <n v="59352"/>
  </r>
  <r>
    <d v="2024-12-07T00:00:00"/>
    <x v="4"/>
    <x v="2"/>
    <n v="94260"/>
  </r>
  <r>
    <d v="2024-10-18T00:00:00"/>
    <x v="2"/>
    <x v="4"/>
    <n v="62591"/>
  </r>
  <r>
    <d v="2024-10-09T00:00:00"/>
    <x v="2"/>
    <x v="3"/>
    <n v="70183"/>
  </r>
  <r>
    <d v="2024-11-14T00:00:00"/>
    <x v="3"/>
    <x v="2"/>
    <n v="92908"/>
  </r>
  <r>
    <d v="2024-05-08T00:00:00"/>
    <x v="1"/>
    <x v="4"/>
    <n v="81267"/>
  </r>
  <r>
    <d v="2024-06-12T00:00:00"/>
    <x v="4"/>
    <x v="2"/>
    <n v="31310"/>
  </r>
  <r>
    <d v="2024-05-05T00:00:00"/>
    <x v="1"/>
    <x v="0"/>
    <n v="40537"/>
  </r>
  <r>
    <d v="2024-05-07T00:00:00"/>
    <x v="3"/>
    <x v="4"/>
    <n v="77496"/>
  </r>
  <r>
    <d v="2024-01-27T00:00:00"/>
    <x v="0"/>
    <x v="2"/>
    <n v="58145"/>
  </r>
  <r>
    <d v="2024-06-20T00:00:00"/>
    <x v="0"/>
    <x v="2"/>
    <n v="47572"/>
  </r>
  <r>
    <d v="2024-05-25T00:00:00"/>
    <x v="0"/>
    <x v="3"/>
    <n v="96299"/>
  </r>
  <r>
    <d v="2024-07-26T00:00:00"/>
    <x v="3"/>
    <x v="2"/>
    <n v="46683"/>
  </r>
  <r>
    <d v="2024-06-12T00:00:00"/>
    <x v="3"/>
    <x v="0"/>
    <n v="74616"/>
  </r>
  <r>
    <d v="2024-12-29T00:00:00"/>
    <x v="1"/>
    <x v="0"/>
    <n v="19429"/>
  </r>
  <r>
    <d v="2024-12-26T00:00:00"/>
    <x v="3"/>
    <x v="2"/>
    <n v="82343"/>
  </r>
  <r>
    <d v="2024-06-23T00:00:00"/>
    <x v="2"/>
    <x v="1"/>
    <n v="85481"/>
  </r>
  <r>
    <d v="2024-11-01T00:00:00"/>
    <x v="1"/>
    <x v="4"/>
    <n v="53478"/>
  </r>
  <r>
    <d v="2024-03-15T00:00:00"/>
    <x v="1"/>
    <x v="2"/>
    <n v="6175"/>
  </r>
  <r>
    <d v="2024-01-29T00:00:00"/>
    <x v="4"/>
    <x v="0"/>
    <n v="13373"/>
  </r>
  <r>
    <d v="2024-12-06T00:00:00"/>
    <x v="4"/>
    <x v="4"/>
    <n v="53910"/>
  </r>
  <r>
    <d v="2024-08-29T00:00:00"/>
    <x v="0"/>
    <x v="4"/>
    <n v="30429"/>
  </r>
  <r>
    <d v="2024-01-13T00:00:00"/>
    <x v="1"/>
    <x v="1"/>
    <n v="12766"/>
  </r>
  <r>
    <d v="2024-06-11T00:00:00"/>
    <x v="0"/>
    <x v="1"/>
    <n v="28355"/>
  </r>
  <r>
    <d v="2024-04-20T00:00:00"/>
    <x v="0"/>
    <x v="4"/>
    <n v="93071"/>
  </r>
  <r>
    <d v="2024-10-31T00:00:00"/>
    <x v="0"/>
    <x v="1"/>
    <n v="12275"/>
  </r>
  <r>
    <d v="2024-09-11T00:00:00"/>
    <x v="4"/>
    <x v="1"/>
    <n v="9374"/>
  </r>
  <r>
    <d v="2024-09-22T00:00:00"/>
    <x v="2"/>
    <x v="3"/>
    <n v="89685"/>
  </r>
  <r>
    <d v="2024-07-28T00:00:00"/>
    <x v="2"/>
    <x v="0"/>
    <n v="85446"/>
  </r>
  <r>
    <d v="2024-09-11T00:00:00"/>
    <x v="2"/>
    <x v="4"/>
    <n v="40860"/>
  </r>
  <r>
    <d v="2024-10-29T00:00:00"/>
    <x v="1"/>
    <x v="2"/>
    <n v="22278"/>
  </r>
  <r>
    <d v="2024-09-17T00:00:00"/>
    <x v="4"/>
    <x v="0"/>
    <n v="31036"/>
  </r>
  <r>
    <d v="2024-07-11T00:00:00"/>
    <x v="0"/>
    <x v="1"/>
    <n v="55396"/>
  </r>
  <r>
    <d v="2024-04-25T00:00:00"/>
    <x v="3"/>
    <x v="4"/>
    <n v="24475"/>
  </r>
  <r>
    <d v="2024-07-08T00:00:00"/>
    <x v="1"/>
    <x v="0"/>
    <n v="24414"/>
  </r>
  <r>
    <d v="2024-03-26T00:00:00"/>
    <x v="3"/>
    <x v="2"/>
    <n v="34813"/>
  </r>
  <r>
    <d v="2024-02-25T00:00:00"/>
    <x v="4"/>
    <x v="4"/>
    <n v="73320"/>
  </r>
  <r>
    <d v="2024-10-06T00:00:00"/>
    <x v="2"/>
    <x v="1"/>
    <n v="31622"/>
  </r>
  <r>
    <d v="2024-01-23T00:00:00"/>
    <x v="3"/>
    <x v="3"/>
    <n v="6435"/>
  </r>
  <r>
    <d v="2024-07-13T00:00:00"/>
    <x v="1"/>
    <x v="3"/>
    <n v="39456"/>
  </r>
  <r>
    <d v="2024-01-06T00:00:00"/>
    <x v="0"/>
    <x v="1"/>
    <n v="40369"/>
  </r>
  <r>
    <d v="2024-06-12T00:00:00"/>
    <x v="3"/>
    <x v="3"/>
    <n v="82703"/>
  </r>
  <r>
    <d v="2024-09-03T00:00:00"/>
    <x v="2"/>
    <x v="0"/>
    <n v="16996"/>
  </r>
  <r>
    <d v="2024-03-20T00:00:00"/>
    <x v="3"/>
    <x v="4"/>
    <n v="30458"/>
  </r>
  <r>
    <d v="2024-06-13T00:00:00"/>
    <x v="3"/>
    <x v="2"/>
    <n v="79098"/>
  </r>
  <r>
    <d v="2024-08-17T00:00:00"/>
    <x v="3"/>
    <x v="4"/>
    <n v="71938"/>
  </r>
  <r>
    <d v="2024-12-14T00:00:00"/>
    <x v="4"/>
    <x v="1"/>
    <n v="64851"/>
  </r>
  <r>
    <d v="2024-10-16T00:00:00"/>
    <x v="1"/>
    <x v="2"/>
    <n v="20607"/>
  </r>
  <r>
    <d v="2024-11-02T00:00:00"/>
    <x v="4"/>
    <x v="2"/>
    <n v="43768"/>
  </r>
  <r>
    <d v="2024-04-09T00:00:00"/>
    <x v="3"/>
    <x v="2"/>
    <n v="80414"/>
  </r>
  <r>
    <d v="2024-07-25T00:00:00"/>
    <x v="2"/>
    <x v="0"/>
    <n v="6866"/>
  </r>
  <r>
    <d v="2024-11-19T00:00:00"/>
    <x v="2"/>
    <x v="1"/>
    <n v="14972"/>
  </r>
  <r>
    <d v="2024-04-06T00:00:00"/>
    <x v="2"/>
    <x v="3"/>
    <n v="18745"/>
  </r>
  <r>
    <d v="2024-03-18T00:00:00"/>
    <x v="3"/>
    <x v="2"/>
    <n v="95737"/>
  </r>
  <r>
    <d v="2024-09-25T00:00:00"/>
    <x v="3"/>
    <x v="3"/>
    <n v="35050"/>
  </r>
  <r>
    <d v="2024-12-28T00:00:00"/>
    <x v="3"/>
    <x v="2"/>
    <n v="36735"/>
  </r>
  <r>
    <d v="2024-09-12T00:00:00"/>
    <x v="3"/>
    <x v="4"/>
    <n v="30200"/>
  </r>
  <r>
    <d v="2024-05-26T00:00:00"/>
    <x v="0"/>
    <x v="3"/>
    <n v="74185"/>
  </r>
  <r>
    <d v="2024-07-06T00:00:00"/>
    <x v="3"/>
    <x v="3"/>
    <n v="31555"/>
  </r>
  <r>
    <d v="2024-03-25T00:00:00"/>
    <x v="1"/>
    <x v="2"/>
    <n v="18250"/>
  </r>
  <r>
    <d v="2024-12-25T00:00:00"/>
    <x v="1"/>
    <x v="1"/>
    <n v="18581"/>
  </r>
  <r>
    <d v="2024-10-21T00:00:00"/>
    <x v="3"/>
    <x v="2"/>
    <n v="59331"/>
  </r>
  <r>
    <d v="2024-01-11T00:00:00"/>
    <x v="4"/>
    <x v="0"/>
    <n v="22208"/>
  </r>
  <r>
    <d v="2024-03-09T00:00:00"/>
    <x v="1"/>
    <x v="0"/>
    <n v="25692"/>
  </r>
  <r>
    <d v="2024-10-27T00:00:00"/>
    <x v="2"/>
    <x v="4"/>
    <n v="77740"/>
  </r>
  <r>
    <d v="2024-02-04T00:00:00"/>
    <x v="1"/>
    <x v="4"/>
    <n v="48698"/>
  </r>
  <r>
    <d v="2024-11-26T00:00:00"/>
    <x v="4"/>
    <x v="4"/>
    <n v="52230"/>
  </r>
  <r>
    <d v="2024-09-22T00:00:00"/>
    <x v="1"/>
    <x v="1"/>
    <n v="60755"/>
  </r>
  <r>
    <d v="2024-06-08T00:00:00"/>
    <x v="0"/>
    <x v="3"/>
    <n v="99691"/>
  </r>
  <r>
    <d v="2024-11-13T00:00:00"/>
    <x v="2"/>
    <x v="0"/>
    <n v="30998"/>
  </r>
  <r>
    <d v="2024-09-16T00:00:00"/>
    <x v="3"/>
    <x v="0"/>
    <n v="74662"/>
  </r>
  <r>
    <d v="2024-03-17T00:00:00"/>
    <x v="0"/>
    <x v="0"/>
    <n v="69622"/>
  </r>
  <r>
    <d v="2024-11-04T00:00:00"/>
    <x v="4"/>
    <x v="0"/>
    <n v="36089"/>
  </r>
  <r>
    <d v="2024-01-24T00:00:00"/>
    <x v="4"/>
    <x v="4"/>
    <n v="64750"/>
  </r>
  <r>
    <d v="2024-04-15T00:00:00"/>
    <x v="1"/>
    <x v="2"/>
    <n v="30013"/>
  </r>
  <r>
    <d v="2024-12-24T00:00:00"/>
    <x v="1"/>
    <x v="0"/>
    <n v="90128"/>
  </r>
  <r>
    <d v="2024-12-03T00:00:00"/>
    <x v="1"/>
    <x v="3"/>
    <n v="87012"/>
  </r>
  <r>
    <d v="2024-06-07T00:00:00"/>
    <x v="4"/>
    <x v="1"/>
    <n v="29960"/>
  </r>
  <r>
    <d v="2024-08-05T00:00:00"/>
    <x v="0"/>
    <x v="0"/>
    <n v="48983"/>
  </r>
  <r>
    <d v="2024-10-09T00:00:00"/>
    <x v="0"/>
    <x v="2"/>
    <n v="8612"/>
  </r>
  <r>
    <d v="2024-12-03T00:00:00"/>
    <x v="2"/>
    <x v="4"/>
    <n v="10015"/>
  </r>
  <r>
    <d v="2024-03-15T00:00:00"/>
    <x v="4"/>
    <x v="1"/>
    <n v="27787"/>
  </r>
  <r>
    <d v="2024-06-27T00:00:00"/>
    <x v="0"/>
    <x v="3"/>
    <n v="95610"/>
  </r>
  <r>
    <d v="2024-02-22T00:00:00"/>
    <x v="1"/>
    <x v="2"/>
    <n v="94666"/>
  </r>
  <r>
    <d v="2024-08-24T00:00:00"/>
    <x v="1"/>
    <x v="2"/>
    <n v="67032"/>
  </r>
  <r>
    <d v="2024-11-12T00:00:00"/>
    <x v="4"/>
    <x v="1"/>
    <n v="86275"/>
  </r>
  <r>
    <d v="2024-01-21T00:00:00"/>
    <x v="0"/>
    <x v="1"/>
    <n v="94094"/>
  </r>
  <r>
    <d v="2024-10-02T00:00:00"/>
    <x v="3"/>
    <x v="1"/>
    <n v="36036"/>
  </r>
  <r>
    <d v="2024-02-02T00:00:00"/>
    <x v="1"/>
    <x v="2"/>
    <n v="83078"/>
  </r>
  <r>
    <d v="2024-05-06T00:00:00"/>
    <x v="2"/>
    <x v="1"/>
    <n v="80843"/>
  </r>
  <r>
    <d v="2024-09-19T00:00:00"/>
    <x v="0"/>
    <x v="3"/>
    <n v="91372"/>
  </r>
  <r>
    <d v="2024-09-17T00:00:00"/>
    <x v="1"/>
    <x v="2"/>
    <n v="34253"/>
  </r>
  <r>
    <d v="2024-05-09T00:00:00"/>
    <x v="2"/>
    <x v="4"/>
    <n v="75960"/>
  </r>
  <r>
    <d v="2024-05-14T00:00:00"/>
    <x v="0"/>
    <x v="1"/>
    <n v="67983"/>
  </r>
  <r>
    <d v="2024-02-01T00:00:00"/>
    <x v="4"/>
    <x v="3"/>
    <n v="44234"/>
  </r>
  <r>
    <d v="2024-12-26T00:00:00"/>
    <x v="1"/>
    <x v="3"/>
    <n v="78856"/>
  </r>
  <r>
    <d v="2024-11-07T00:00:00"/>
    <x v="4"/>
    <x v="2"/>
    <n v="33254"/>
  </r>
  <r>
    <d v="2024-12-07T00:00:00"/>
    <x v="1"/>
    <x v="2"/>
    <n v="87935"/>
  </r>
  <r>
    <d v="2024-02-17T00:00:00"/>
    <x v="1"/>
    <x v="1"/>
    <n v="90939"/>
  </r>
  <r>
    <d v="2024-10-21T00:00:00"/>
    <x v="3"/>
    <x v="2"/>
    <n v="19714"/>
  </r>
  <r>
    <d v="2024-05-18T00:00:00"/>
    <x v="2"/>
    <x v="0"/>
    <n v="20189"/>
  </r>
  <r>
    <d v="2024-09-23T00:00:00"/>
    <x v="3"/>
    <x v="3"/>
    <n v="7401"/>
  </r>
  <r>
    <d v="2024-11-05T00:00:00"/>
    <x v="2"/>
    <x v="3"/>
    <n v="79363"/>
  </r>
  <r>
    <d v="2024-05-07T00:00:00"/>
    <x v="4"/>
    <x v="3"/>
    <n v="13223"/>
  </r>
  <r>
    <d v="2024-01-16T00:00:00"/>
    <x v="2"/>
    <x v="4"/>
    <n v="5552"/>
  </r>
  <r>
    <d v="2024-09-10T00:00:00"/>
    <x v="4"/>
    <x v="4"/>
    <n v="73255"/>
  </r>
  <r>
    <d v="2024-07-06T00:00:00"/>
    <x v="1"/>
    <x v="2"/>
    <n v="85384"/>
  </r>
  <r>
    <d v="2024-10-09T00:00:00"/>
    <x v="1"/>
    <x v="1"/>
    <n v="36519"/>
  </r>
  <r>
    <d v="2024-05-04T00:00:00"/>
    <x v="2"/>
    <x v="2"/>
    <n v="61656"/>
  </r>
  <r>
    <d v="2024-11-25T00:00:00"/>
    <x v="3"/>
    <x v="4"/>
    <n v="14872"/>
  </r>
  <r>
    <d v="2024-02-01T00:00:00"/>
    <x v="3"/>
    <x v="3"/>
    <n v="15481"/>
  </r>
  <r>
    <d v="2024-10-28T00:00:00"/>
    <x v="1"/>
    <x v="4"/>
    <n v="73549"/>
  </r>
  <r>
    <d v="2024-08-18T00:00:00"/>
    <x v="0"/>
    <x v="4"/>
    <n v="13352"/>
  </r>
  <r>
    <d v="2024-06-30T00:00:00"/>
    <x v="1"/>
    <x v="0"/>
    <n v="98867"/>
  </r>
  <r>
    <d v="2024-07-24T00:00:00"/>
    <x v="4"/>
    <x v="3"/>
    <n v="21976"/>
  </r>
  <r>
    <d v="2024-01-11T00:00:00"/>
    <x v="3"/>
    <x v="2"/>
    <n v="74081"/>
  </r>
  <r>
    <d v="2024-01-06T00:00:00"/>
    <x v="2"/>
    <x v="3"/>
    <n v="39897"/>
  </r>
  <r>
    <d v="2024-09-14T00:00:00"/>
    <x v="3"/>
    <x v="2"/>
    <n v="23016"/>
  </r>
  <r>
    <d v="2024-06-11T00:00:00"/>
    <x v="0"/>
    <x v="0"/>
    <n v="31800"/>
  </r>
  <r>
    <d v="2024-10-28T00:00:00"/>
    <x v="2"/>
    <x v="4"/>
    <n v="73298"/>
  </r>
  <r>
    <d v="2024-11-21T00:00:00"/>
    <x v="0"/>
    <x v="4"/>
    <n v="59027"/>
  </r>
  <r>
    <d v="2024-07-11T00:00:00"/>
    <x v="2"/>
    <x v="3"/>
    <n v="49551"/>
  </r>
  <r>
    <d v="2024-06-14T00:00:00"/>
    <x v="4"/>
    <x v="0"/>
    <n v="85282"/>
  </r>
  <r>
    <d v="2024-11-19T00:00:00"/>
    <x v="0"/>
    <x v="3"/>
    <n v="98303"/>
  </r>
  <r>
    <d v="2024-07-22T00:00:00"/>
    <x v="1"/>
    <x v="0"/>
    <n v="32235"/>
  </r>
  <r>
    <d v="2024-07-23T00:00:00"/>
    <x v="0"/>
    <x v="3"/>
    <n v="62642"/>
  </r>
  <r>
    <d v="2024-11-16T00:00:00"/>
    <x v="2"/>
    <x v="2"/>
    <n v="51041"/>
  </r>
  <r>
    <d v="2024-09-17T00:00:00"/>
    <x v="3"/>
    <x v="2"/>
    <n v="76885"/>
  </r>
  <r>
    <d v="2024-11-18T00:00:00"/>
    <x v="3"/>
    <x v="3"/>
    <n v="41823"/>
  </r>
  <r>
    <d v="2024-08-24T00:00:00"/>
    <x v="3"/>
    <x v="1"/>
    <n v="51917"/>
  </r>
  <r>
    <d v="2024-05-05T00:00:00"/>
    <x v="4"/>
    <x v="1"/>
    <n v="8624"/>
  </r>
  <r>
    <d v="2024-02-03T00:00:00"/>
    <x v="4"/>
    <x v="3"/>
    <n v="67881"/>
  </r>
  <r>
    <d v="2024-02-05T00:00:00"/>
    <x v="3"/>
    <x v="1"/>
    <n v="47823"/>
  </r>
  <r>
    <d v="2024-10-22T00:00:00"/>
    <x v="3"/>
    <x v="2"/>
    <n v="68765"/>
  </r>
  <r>
    <d v="2024-11-11T00:00:00"/>
    <x v="0"/>
    <x v="2"/>
    <n v="99578"/>
  </r>
  <r>
    <d v="2024-05-19T00:00:00"/>
    <x v="0"/>
    <x v="2"/>
    <n v="26708"/>
  </r>
  <r>
    <d v="2024-03-03T00:00:00"/>
    <x v="0"/>
    <x v="3"/>
    <n v="19460"/>
  </r>
  <r>
    <d v="2024-09-12T00:00:00"/>
    <x v="1"/>
    <x v="0"/>
    <n v="67067"/>
  </r>
  <r>
    <d v="2024-01-21T00:00:00"/>
    <x v="3"/>
    <x v="4"/>
    <n v="23393"/>
  </r>
  <r>
    <d v="2024-11-27T00:00:00"/>
    <x v="2"/>
    <x v="0"/>
    <n v="50308"/>
  </r>
  <r>
    <d v="2024-03-18T00:00:00"/>
    <x v="3"/>
    <x v="3"/>
    <n v="62957"/>
  </r>
  <r>
    <d v="2024-06-11T00:00:00"/>
    <x v="3"/>
    <x v="1"/>
    <n v="28643"/>
  </r>
  <r>
    <d v="2024-01-22T00:00:00"/>
    <x v="1"/>
    <x v="1"/>
    <n v="69098"/>
  </r>
  <r>
    <d v="2024-04-24T00:00:00"/>
    <x v="1"/>
    <x v="3"/>
    <n v="98669"/>
  </r>
  <r>
    <d v="2024-08-04T00:00:00"/>
    <x v="4"/>
    <x v="1"/>
    <n v="59418"/>
  </r>
  <r>
    <d v="2024-06-16T00:00:00"/>
    <x v="0"/>
    <x v="1"/>
    <n v="25796"/>
  </r>
  <r>
    <d v="2024-06-26T00:00:00"/>
    <x v="2"/>
    <x v="4"/>
    <n v="15581"/>
  </r>
  <r>
    <d v="2024-12-30T00:00:00"/>
    <x v="2"/>
    <x v="1"/>
    <n v="57084"/>
  </r>
  <r>
    <d v="2024-07-24T00:00:00"/>
    <x v="0"/>
    <x v="2"/>
    <n v="91971"/>
  </r>
  <r>
    <d v="2024-04-14T00:00:00"/>
    <x v="1"/>
    <x v="4"/>
    <n v="54196"/>
  </r>
  <r>
    <d v="2024-09-25T00:00:00"/>
    <x v="1"/>
    <x v="2"/>
    <n v="67498"/>
  </r>
  <r>
    <d v="2024-12-26T00:00:00"/>
    <x v="0"/>
    <x v="4"/>
    <n v="32635"/>
  </r>
  <r>
    <d v="2024-01-20T00:00:00"/>
    <x v="4"/>
    <x v="0"/>
    <n v="89156"/>
  </r>
  <r>
    <d v="2024-08-03T00:00:00"/>
    <x v="3"/>
    <x v="0"/>
    <n v="71718"/>
  </r>
  <r>
    <d v="2024-08-21T00:00:00"/>
    <x v="0"/>
    <x v="2"/>
    <n v="91132"/>
  </r>
  <r>
    <d v="2024-08-14T00:00:00"/>
    <x v="1"/>
    <x v="3"/>
    <n v="50025"/>
  </r>
  <r>
    <d v="2024-07-24T00:00:00"/>
    <x v="2"/>
    <x v="0"/>
    <n v="95368"/>
  </r>
  <r>
    <d v="2024-06-11T00:00:00"/>
    <x v="3"/>
    <x v="3"/>
    <n v="57694"/>
  </r>
  <r>
    <d v="2024-03-24T00:00:00"/>
    <x v="1"/>
    <x v="2"/>
    <n v="59546"/>
  </r>
  <r>
    <d v="2024-03-06T00:00:00"/>
    <x v="2"/>
    <x v="0"/>
    <n v="90433"/>
  </r>
  <r>
    <d v="2024-10-22T00:00:00"/>
    <x v="0"/>
    <x v="1"/>
    <n v="27992"/>
  </r>
  <r>
    <d v="2024-11-29T00:00:00"/>
    <x v="0"/>
    <x v="0"/>
    <n v="59853"/>
  </r>
  <r>
    <d v="2024-09-12T00:00:00"/>
    <x v="3"/>
    <x v="1"/>
    <n v="97019"/>
  </r>
  <r>
    <d v="2024-06-11T00:00:00"/>
    <x v="1"/>
    <x v="4"/>
    <n v="54143"/>
  </r>
  <r>
    <d v="2024-02-05T00:00:00"/>
    <x v="4"/>
    <x v="4"/>
    <n v="75959"/>
  </r>
  <r>
    <d v="2024-02-01T00:00:00"/>
    <x v="4"/>
    <x v="2"/>
    <n v="14311"/>
  </r>
  <r>
    <d v="2024-05-21T00:00:00"/>
    <x v="4"/>
    <x v="4"/>
    <n v="50117"/>
  </r>
  <r>
    <d v="2024-06-12T00:00:00"/>
    <x v="3"/>
    <x v="1"/>
    <n v="5813"/>
  </r>
  <r>
    <d v="2024-04-14T00:00:00"/>
    <x v="2"/>
    <x v="3"/>
    <n v="97909"/>
  </r>
  <r>
    <d v="2024-07-19T00:00:00"/>
    <x v="2"/>
    <x v="4"/>
    <n v="7660"/>
  </r>
  <r>
    <d v="2024-10-30T00:00:00"/>
    <x v="0"/>
    <x v="2"/>
    <n v="23666"/>
  </r>
  <r>
    <d v="2024-09-09T00:00:00"/>
    <x v="2"/>
    <x v="3"/>
    <n v="35217"/>
  </r>
  <r>
    <d v="2024-11-02T00:00:00"/>
    <x v="4"/>
    <x v="0"/>
    <n v="42197"/>
  </r>
  <r>
    <d v="2024-06-25T00:00:00"/>
    <x v="2"/>
    <x v="4"/>
    <n v="30922"/>
  </r>
  <r>
    <d v="2024-01-24T00:00:00"/>
    <x v="2"/>
    <x v="1"/>
    <n v="56846"/>
  </r>
  <r>
    <d v="2024-03-21T00:00:00"/>
    <x v="1"/>
    <x v="0"/>
    <n v="30181"/>
  </r>
  <r>
    <d v="2024-04-17T00:00:00"/>
    <x v="1"/>
    <x v="1"/>
    <n v="49410"/>
  </r>
  <r>
    <d v="2024-08-10T00:00:00"/>
    <x v="1"/>
    <x v="1"/>
    <n v="40199"/>
  </r>
  <r>
    <d v="2024-05-24T00:00:00"/>
    <x v="1"/>
    <x v="4"/>
    <n v="18485"/>
  </r>
  <r>
    <d v="2024-07-08T00:00:00"/>
    <x v="0"/>
    <x v="4"/>
    <n v="29975"/>
  </r>
  <r>
    <d v="2024-05-28T00:00:00"/>
    <x v="4"/>
    <x v="4"/>
    <n v="34432"/>
  </r>
  <r>
    <d v="2024-01-17T00:00:00"/>
    <x v="3"/>
    <x v="0"/>
    <n v="71670"/>
  </r>
  <r>
    <d v="2024-03-23T00:00:00"/>
    <x v="2"/>
    <x v="3"/>
    <n v="95574"/>
  </r>
  <r>
    <d v="2024-07-17T00:00:00"/>
    <x v="2"/>
    <x v="2"/>
    <n v="98295"/>
  </r>
  <r>
    <d v="2024-05-31T00:00:00"/>
    <x v="3"/>
    <x v="2"/>
    <n v="20113"/>
  </r>
  <r>
    <d v="2024-12-07T00:00:00"/>
    <x v="3"/>
    <x v="2"/>
    <n v="11701"/>
  </r>
  <r>
    <d v="2024-02-26T00:00:00"/>
    <x v="0"/>
    <x v="0"/>
    <n v="6952"/>
  </r>
  <r>
    <d v="2024-03-31T00:00:00"/>
    <x v="1"/>
    <x v="0"/>
    <n v="40317"/>
  </r>
  <r>
    <d v="2024-07-11T00:00:00"/>
    <x v="4"/>
    <x v="4"/>
    <n v="14597"/>
  </r>
  <r>
    <d v="2024-07-29T00:00:00"/>
    <x v="4"/>
    <x v="1"/>
    <n v="78213"/>
  </r>
  <r>
    <d v="2024-11-27T00:00:00"/>
    <x v="2"/>
    <x v="4"/>
    <n v="95446"/>
  </r>
  <r>
    <d v="2024-06-23T00:00:00"/>
    <x v="3"/>
    <x v="4"/>
    <n v="37049"/>
  </r>
  <r>
    <d v="2024-03-13T00:00:00"/>
    <x v="2"/>
    <x v="0"/>
    <n v="7347"/>
  </r>
  <r>
    <d v="2024-02-29T00:00:00"/>
    <x v="1"/>
    <x v="4"/>
    <n v="60280"/>
  </r>
  <r>
    <d v="2024-05-13T00:00:00"/>
    <x v="0"/>
    <x v="2"/>
    <n v="20250"/>
  </r>
  <r>
    <d v="2024-12-14T00:00:00"/>
    <x v="3"/>
    <x v="0"/>
    <n v="74022"/>
  </r>
  <r>
    <d v="2024-10-05T00:00:00"/>
    <x v="3"/>
    <x v="3"/>
    <n v="58330"/>
  </r>
  <r>
    <d v="2024-05-04T00:00:00"/>
    <x v="3"/>
    <x v="4"/>
    <n v="56937"/>
  </r>
  <r>
    <d v="2024-04-07T00:00:00"/>
    <x v="3"/>
    <x v="0"/>
    <n v="62390"/>
  </r>
  <r>
    <d v="2024-09-14T00:00:00"/>
    <x v="2"/>
    <x v="1"/>
    <n v="12116"/>
  </r>
  <r>
    <d v="2024-06-02T00:00:00"/>
    <x v="2"/>
    <x v="0"/>
    <n v="93656"/>
  </r>
  <r>
    <d v="2024-12-25T00:00:00"/>
    <x v="2"/>
    <x v="3"/>
    <n v="11602"/>
  </r>
  <r>
    <d v="2024-06-26T00:00:00"/>
    <x v="4"/>
    <x v="2"/>
    <n v="11071"/>
  </r>
  <r>
    <d v="2024-03-04T00:00:00"/>
    <x v="2"/>
    <x v="4"/>
    <n v="50339"/>
  </r>
  <r>
    <d v="2024-05-07T00:00:00"/>
    <x v="0"/>
    <x v="4"/>
    <n v="89505"/>
  </r>
  <r>
    <d v="2024-05-06T00:00:00"/>
    <x v="1"/>
    <x v="2"/>
    <n v="95064"/>
  </r>
  <r>
    <d v="2024-08-12T00:00:00"/>
    <x v="0"/>
    <x v="1"/>
    <n v="29535"/>
  </r>
  <r>
    <d v="2024-03-27T00:00:00"/>
    <x v="1"/>
    <x v="0"/>
    <n v="35455"/>
  </r>
  <r>
    <d v="2024-01-05T00:00:00"/>
    <x v="2"/>
    <x v="0"/>
    <n v="64645"/>
  </r>
  <r>
    <d v="2024-01-29T00:00:00"/>
    <x v="1"/>
    <x v="0"/>
    <n v="20472"/>
  </r>
  <r>
    <d v="2024-12-26T00:00:00"/>
    <x v="1"/>
    <x v="1"/>
    <n v="89408"/>
  </r>
  <r>
    <d v="2024-12-19T00:00:00"/>
    <x v="0"/>
    <x v="2"/>
    <n v="33605"/>
  </r>
  <r>
    <d v="2024-07-13T00:00:00"/>
    <x v="0"/>
    <x v="1"/>
    <n v="12979"/>
  </r>
  <r>
    <d v="2024-05-06T00:00:00"/>
    <x v="3"/>
    <x v="3"/>
    <n v="47970"/>
  </r>
  <r>
    <d v="2024-11-21T00:00:00"/>
    <x v="1"/>
    <x v="4"/>
    <n v="8796"/>
  </r>
  <r>
    <d v="2024-09-16T00:00:00"/>
    <x v="2"/>
    <x v="4"/>
    <n v="67488"/>
  </r>
  <r>
    <d v="2024-06-15T00:00:00"/>
    <x v="0"/>
    <x v="1"/>
    <n v="42373"/>
  </r>
  <r>
    <d v="2024-09-29T00:00:00"/>
    <x v="0"/>
    <x v="2"/>
    <n v="43804"/>
  </r>
  <r>
    <d v="2024-06-18T00:00:00"/>
    <x v="2"/>
    <x v="3"/>
    <n v="93355"/>
  </r>
  <r>
    <d v="2024-10-27T00:00:00"/>
    <x v="3"/>
    <x v="1"/>
    <n v="56087"/>
  </r>
  <r>
    <d v="2024-04-24T00:00:00"/>
    <x v="0"/>
    <x v="3"/>
    <n v="71530"/>
  </r>
  <r>
    <d v="2024-11-03T00:00:00"/>
    <x v="1"/>
    <x v="2"/>
    <n v="27600"/>
  </r>
  <r>
    <d v="2024-02-12T00:00:00"/>
    <x v="3"/>
    <x v="2"/>
    <n v="10491"/>
  </r>
  <r>
    <d v="2024-08-09T00:00:00"/>
    <x v="2"/>
    <x v="1"/>
    <n v="36043"/>
  </r>
  <r>
    <d v="2024-11-16T00:00:00"/>
    <x v="4"/>
    <x v="3"/>
    <n v="16512"/>
  </r>
  <r>
    <d v="2024-02-25T00:00:00"/>
    <x v="3"/>
    <x v="0"/>
    <n v="41721"/>
  </r>
  <r>
    <d v="2024-11-27T00:00:00"/>
    <x v="2"/>
    <x v="0"/>
    <n v="98526"/>
  </r>
  <r>
    <d v="2024-09-18T00:00:00"/>
    <x v="2"/>
    <x v="4"/>
    <n v="33845"/>
  </r>
  <r>
    <d v="2024-11-02T00:00:00"/>
    <x v="0"/>
    <x v="0"/>
    <n v="46693"/>
  </r>
  <r>
    <d v="2024-03-24T00:00:00"/>
    <x v="0"/>
    <x v="4"/>
    <n v="33935"/>
  </r>
  <r>
    <d v="2024-05-31T00:00:00"/>
    <x v="0"/>
    <x v="0"/>
    <n v="71753"/>
  </r>
  <r>
    <d v="2024-11-27T00:00:00"/>
    <x v="2"/>
    <x v="4"/>
    <n v="51431"/>
  </r>
  <r>
    <d v="2024-09-13T00:00:00"/>
    <x v="1"/>
    <x v="4"/>
    <n v="32668"/>
  </r>
  <r>
    <d v="2024-06-23T00:00:00"/>
    <x v="2"/>
    <x v="1"/>
    <n v="68631"/>
  </r>
  <r>
    <d v="2024-12-21T00:00:00"/>
    <x v="0"/>
    <x v="1"/>
    <n v="23104"/>
  </r>
  <r>
    <d v="2024-09-22T00:00:00"/>
    <x v="3"/>
    <x v="0"/>
    <n v="29853"/>
  </r>
  <r>
    <d v="2024-09-02T00:00:00"/>
    <x v="4"/>
    <x v="2"/>
    <n v="35524"/>
  </r>
  <r>
    <d v="2024-04-06T00:00:00"/>
    <x v="1"/>
    <x v="2"/>
    <n v="38544"/>
  </r>
  <r>
    <d v="2024-07-16T00:00:00"/>
    <x v="1"/>
    <x v="1"/>
    <n v="68000"/>
  </r>
  <r>
    <d v="2024-02-20T00:00:00"/>
    <x v="4"/>
    <x v="0"/>
    <n v="62140"/>
  </r>
  <r>
    <d v="2024-10-10T00:00:00"/>
    <x v="2"/>
    <x v="4"/>
    <n v="83206"/>
  </r>
  <r>
    <d v="2024-05-01T00:00:00"/>
    <x v="0"/>
    <x v="4"/>
    <n v="44928"/>
  </r>
  <r>
    <d v="2024-10-23T00:00:00"/>
    <x v="3"/>
    <x v="0"/>
    <n v="53646"/>
  </r>
  <r>
    <d v="2024-04-19T00:00:00"/>
    <x v="4"/>
    <x v="0"/>
    <n v="61397"/>
  </r>
  <r>
    <d v="2024-03-15T00:00:00"/>
    <x v="2"/>
    <x v="4"/>
    <n v="68864"/>
  </r>
  <r>
    <d v="2024-04-19T00:00:00"/>
    <x v="0"/>
    <x v="2"/>
    <n v="58846"/>
  </r>
  <r>
    <d v="2024-02-08T00:00:00"/>
    <x v="2"/>
    <x v="1"/>
    <n v="15360"/>
  </r>
  <r>
    <d v="2024-06-23T00:00:00"/>
    <x v="3"/>
    <x v="3"/>
    <n v="16639"/>
  </r>
  <r>
    <d v="2024-10-20T00:00:00"/>
    <x v="3"/>
    <x v="1"/>
    <n v="82497"/>
  </r>
  <r>
    <d v="2024-03-04T00:00:00"/>
    <x v="2"/>
    <x v="0"/>
    <n v="96914"/>
  </r>
  <r>
    <d v="2024-06-04T00:00:00"/>
    <x v="1"/>
    <x v="4"/>
    <n v="58360"/>
  </r>
  <r>
    <d v="2024-11-01T00:00:00"/>
    <x v="3"/>
    <x v="3"/>
    <n v="23482"/>
  </r>
  <r>
    <d v="2024-05-01T00:00:00"/>
    <x v="4"/>
    <x v="3"/>
    <n v="89802"/>
  </r>
  <r>
    <d v="2024-10-12T00:00:00"/>
    <x v="3"/>
    <x v="2"/>
    <n v="70640"/>
  </r>
  <r>
    <d v="2024-07-21T00:00:00"/>
    <x v="0"/>
    <x v="0"/>
    <n v="61356"/>
  </r>
  <r>
    <d v="2024-02-06T00:00:00"/>
    <x v="3"/>
    <x v="3"/>
    <n v="29448"/>
  </r>
  <r>
    <d v="2024-08-30T00:00:00"/>
    <x v="2"/>
    <x v="0"/>
    <n v="69385"/>
  </r>
  <r>
    <d v="2024-04-22T00:00:00"/>
    <x v="4"/>
    <x v="4"/>
    <n v="49781"/>
  </r>
  <r>
    <d v="2024-09-29T00:00:00"/>
    <x v="1"/>
    <x v="3"/>
    <n v="87058"/>
  </r>
  <r>
    <d v="2024-08-09T00:00:00"/>
    <x v="2"/>
    <x v="0"/>
    <n v="62398"/>
  </r>
  <r>
    <d v="2024-06-09T00:00:00"/>
    <x v="0"/>
    <x v="4"/>
    <n v="51279"/>
  </r>
  <r>
    <d v="2024-11-14T00:00:00"/>
    <x v="4"/>
    <x v="0"/>
    <n v="75128"/>
  </r>
  <r>
    <d v="2024-07-02T00:00:00"/>
    <x v="0"/>
    <x v="4"/>
    <n v="64158"/>
  </r>
  <r>
    <d v="2024-11-13T00:00:00"/>
    <x v="0"/>
    <x v="3"/>
    <n v="8573"/>
  </r>
  <r>
    <d v="2024-08-31T00:00:00"/>
    <x v="3"/>
    <x v="2"/>
    <n v="7588"/>
  </r>
  <r>
    <d v="2024-07-15T00:00:00"/>
    <x v="0"/>
    <x v="2"/>
    <n v="28282"/>
  </r>
  <r>
    <d v="2024-05-27T00:00:00"/>
    <x v="2"/>
    <x v="4"/>
    <n v="71356"/>
  </r>
  <r>
    <d v="2024-01-28T00:00:00"/>
    <x v="3"/>
    <x v="2"/>
    <n v="24389"/>
  </r>
  <r>
    <d v="2024-11-23T00:00:00"/>
    <x v="0"/>
    <x v="3"/>
    <n v="17373"/>
  </r>
  <r>
    <d v="2024-12-01T00:00:00"/>
    <x v="4"/>
    <x v="4"/>
    <n v="32651"/>
  </r>
  <r>
    <d v="2024-12-16T00:00:00"/>
    <x v="0"/>
    <x v="0"/>
    <n v="83288"/>
  </r>
  <r>
    <d v="2024-05-23T00:00:00"/>
    <x v="0"/>
    <x v="1"/>
    <n v="60481"/>
  </r>
  <r>
    <d v="2024-02-25T00:00:00"/>
    <x v="4"/>
    <x v="4"/>
    <n v="82714"/>
  </r>
  <r>
    <d v="2024-04-21T00:00:00"/>
    <x v="1"/>
    <x v="2"/>
    <n v="78413"/>
  </r>
  <r>
    <d v="2024-02-19T00:00:00"/>
    <x v="0"/>
    <x v="3"/>
    <n v="85699"/>
  </r>
  <r>
    <d v="2024-07-25T00:00:00"/>
    <x v="2"/>
    <x v="4"/>
    <n v="26694"/>
  </r>
  <r>
    <d v="2024-04-17T00:00:00"/>
    <x v="4"/>
    <x v="4"/>
    <n v="5126"/>
  </r>
  <r>
    <d v="2024-05-20T00:00:00"/>
    <x v="1"/>
    <x v="2"/>
    <n v="84843"/>
  </r>
  <r>
    <d v="2024-11-24T00:00:00"/>
    <x v="2"/>
    <x v="0"/>
    <n v="82524"/>
  </r>
  <r>
    <d v="2024-02-24T00:00:00"/>
    <x v="3"/>
    <x v="1"/>
    <n v="61698"/>
  </r>
  <r>
    <d v="2024-10-25T00:00:00"/>
    <x v="1"/>
    <x v="4"/>
    <n v="71064"/>
  </r>
  <r>
    <d v="2024-09-26T00:00:00"/>
    <x v="4"/>
    <x v="1"/>
    <n v="42583"/>
  </r>
  <r>
    <d v="2024-09-29T00:00:00"/>
    <x v="2"/>
    <x v="3"/>
    <n v="27271"/>
  </r>
  <r>
    <d v="2024-03-21T00:00:00"/>
    <x v="3"/>
    <x v="0"/>
    <n v="43486"/>
  </r>
  <r>
    <d v="2024-04-23T00:00:00"/>
    <x v="2"/>
    <x v="0"/>
    <n v="48140"/>
  </r>
  <r>
    <d v="2024-05-16T00:00:00"/>
    <x v="1"/>
    <x v="0"/>
    <n v="95985"/>
  </r>
  <r>
    <d v="2024-05-08T00:00:00"/>
    <x v="4"/>
    <x v="1"/>
    <n v="10336"/>
  </r>
  <r>
    <d v="2024-08-13T00:00:00"/>
    <x v="3"/>
    <x v="1"/>
    <n v="14410"/>
  </r>
  <r>
    <d v="2024-01-19T00:00:00"/>
    <x v="1"/>
    <x v="3"/>
    <n v="11677"/>
  </r>
  <r>
    <d v="2024-11-07T00:00:00"/>
    <x v="0"/>
    <x v="4"/>
    <n v="16787"/>
  </r>
  <r>
    <d v="2024-11-22T00:00:00"/>
    <x v="0"/>
    <x v="3"/>
    <n v="99139"/>
  </r>
  <r>
    <d v="2024-08-17T00:00:00"/>
    <x v="1"/>
    <x v="2"/>
    <n v="9766"/>
  </r>
  <r>
    <d v="2024-09-17T00:00:00"/>
    <x v="4"/>
    <x v="2"/>
    <n v="40915"/>
  </r>
  <r>
    <d v="2024-05-15T00:00:00"/>
    <x v="0"/>
    <x v="2"/>
    <n v="46356"/>
  </r>
  <r>
    <d v="2024-11-18T00:00:00"/>
    <x v="4"/>
    <x v="2"/>
    <n v="46384"/>
  </r>
  <r>
    <d v="2024-06-21T00:00:00"/>
    <x v="4"/>
    <x v="4"/>
    <n v="72968"/>
  </r>
  <r>
    <d v="2024-08-12T00:00:00"/>
    <x v="3"/>
    <x v="2"/>
    <n v="29916"/>
  </r>
  <r>
    <d v="2024-05-11T00:00:00"/>
    <x v="0"/>
    <x v="2"/>
    <n v="56903"/>
  </r>
  <r>
    <d v="2024-10-01T00:00:00"/>
    <x v="3"/>
    <x v="4"/>
    <n v="86596"/>
  </r>
  <r>
    <d v="2024-08-15T00:00:00"/>
    <x v="4"/>
    <x v="4"/>
    <n v="33851"/>
  </r>
  <r>
    <d v="2024-08-03T00:00:00"/>
    <x v="3"/>
    <x v="0"/>
    <n v="85402"/>
  </r>
  <r>
    <d v="2024-05-26T00:00:00"/>
    <x v="3"/>
    <x v="3"/>
    <n v="94360"/>
  </r>
  <r>
    <d v="2024-06-13T00:00:00"/>
    <x v="0"/>
    <x v="1"/>
    <n v="87744"/>
  </r>
  <r>
    <d v="2024-11-03T00:00:00"/>
    <x v="1"/>
    <x v="1"/>
    <n v="68988"/>
  </r>
  <r>
    <d v="2024-06-18T00:00:00"/>
    <x v="3"/>
    <x v="3"/>
    <n v="49065"/>
  </r>
  <r>
    <d v="2024-09-21T00:00:00"/>
    <x v="1"/>
    <x v="2"/>
    <n v="23213"/>
  </r>
  <r>
    <d v="2024-06-07T00:00:00"/>
    <x v="3"/>
    <x v="3"/>
    <n v="78056"/>
  </r>
  <r>
    <d v="2024-08-06T00:00:00"/>
    <x v="1"/>
    <x v="3"/>
    <n v="33526"/>
  </r>
  <r>
    <d v="2024-03-16T00:00:00"/>
    <x v="3"/>
    <x v="0"/>
    <n v="28344"/>
  </r>
  <r>
    <d v="2024-06-13T00:00:00"/>
    <x v="4"/>
    <x v="0"/>
    <n v="85801"/>
  </r>
  <r>
    <d v="2024-02-26T00:00:00"/>
    <x v="4"/>
    <x v="1"/>
    <n v="12251"/>
  </r>
  <r>
    <d v="2024-07-05T00:00:00"/>
    <x v="0"/>
    <x v="0"/>
    <n v="9856"/>
  </r>
  <r>
    <d v="2024-05-05T00:00:00"/>
    <x v="4"/>
    <x v="0"/>
    <n v="51223"/>
  </r>
  <r>
    <d v="2024-11-02T00:00:00"/>
    <x v="2"/>
    <x v="3"/>
    <n v="93330"/>
  </r>
  <r>
    <d v="2024-01-17T00:00:00"/>
    <x v="0"/>
    <x v="3"/>
    <n v="78392"/>
  </r>
  <r>
    <d v="2024-09-15T00:00:00"/>
    <x v="1"/>
    <x v="3"/>
    <n v="58547"/>
  </r>
  <r>
    <d v="2024-10-11T00:00:00"/>
    <x v="2"/>
    <x v="3"/>
    <n v="29800"/>
  </r>
  <r>
    <d v="2024-05-26T00:00:00"/>
    <x v="0"/>
    <x v="3"/>
    <n v="80427"/>
  </r>
  <r>
    <d v="2024-12-13T00:00:00"/>
    <x v="1"/>
    <x v="1"/>
    <n v="54251"/>
  </r>
  <r>
    <d v="2024-10-30T00:00:00"/>
    <x v="1"/>
    <x v="4"/>
    <n v="16349"/>
  </r>
  <r>
    <d v="2024-10-14T00:00:00"/>
    <x v="2"/>
    <x v="2"/>
    <n v="97817"/>
  </r>
  <r>
    <d v="2024-03-18T00:00:00"/>
    <x v="1"/>
    <x v="3"/>
    <n v="84991"/>
  </r>
  <r>
    <d v="2024-10-14T00:00:00"/>
    <x v="1"/>
    <x v="4"/>
    <n v="75917"/>
  </r>
  <r>
    <d v="2024-12-05T00:00:00"/>
    <x v="3"/>
    <x v="1"/>
    <n v="37691"/>
  </r>
  <r>
    <d v="2024-04-04T00:00:00"/>
    <x v="2"/>
    <x v="3"/>
    <n v="24902"/>
  </r>
  <r>
    <d v="2024-07-23T00:00:00"/>
    <x v="3"/>
    <x v="2"/>
    <n v="96075"/>
  </r>
  <r>
    <d v="2024-04-26T00:00:00"/>
    <x v="3"/>
    <x v="0"/>
    <n v="98241"/>
  </r>
  <r>
    <d v="2024-08-21T00:00:00"/>
    <x v="1"/>
    <x v="4"/>
    <n v="91823"/>
  </r>
  <r>
    <d v="2024-05-23T00:00:00"/>
    <x v="2"/>
    <x v="4"/>
    <n v="11331"/>
  </r>
  <r>
    <d v="2024-09-14T00:00:00"/>
    <x v="2"/>
    <x v="4"/>
    <n v="31689"/>
  </r>
  <r>
    <d v="2024-08-27T00:00:00"/>
    <x v="2"/>
    <x v="4"/>
    <n v="20556"/>
  </r>
  <r>
    <d v="2024-07-26T00:00:00"/>
    <x v="4"/>
    <x v="0"/>
    <n v="21238"/>
  </r>
  <r>
    <d v="2024-09-12T00:00:00"/>
    <x v="4"/>
    <x v="2"/>
    <n v="16194"/>
  </r>
  <r>
    <d v="2024-05-18T00:00:00"/>
    <x v="1"/>
    <x v="2"/>
    <n v="78973"/>
  </r>
  <r>
    <d v="2024-12-19T00:00:00"/>
    <x v="0"/>
    <x v="0"/>
    <n v="26813"/>
  </r>
  <r>
    <d v="2024-05-15T00:00:00"/>
    <x v="0"/>
    <x v="1"/>
    <n v="96362"/>
  </r>
  <r>
    <d v="2024-12-11T00:00:00"/>
    <x v="2"/>
    <x v="4"/>
    <n v="54192"/>
  </r>
  <r>
    <d v="2024-02-08T00:00:00"/>
    <x v="1"/>
    <x v="4"/>
    <n v="68953"/>
  </r>
  <r>
    <d v="2024-09-10T00:00:00"/>
    <x v="2"/>
    <x v="4"/>
    <n v="68730"/>
  </r>
  <r>
    <d v="2024-07-13T00:00:00"/>
    <x v="1"/>
    <x v="4"/>
    <n v="62075"/>
  </r>
  <r>
    <d v="2024-04-08T00:00:00"/>
    <x v="3"/>
    <x v="3"/>
    <n v="65813"/>
  </r>
  <r>
    <d v="2024-12-16T00:00:00"/>
    <x v="4"/>
    <x v="2"/>
    <n v="26477"/>
  </r>
  <r>
    <d v="2024-02-22T00:00:00"/>
    <x v="0"/>
    <x v="1"/>
    <n v="69897"/>
  </r>
  <r>
    <d v="2024-06-27T00:00:00"/>
    <x v="4"/>
    <x v="3"/>
    <n v="15468"/>
  </r>
  <r>
    <d v="2024-09-15T00:00:00"/>
    <x v="3"/>
    <x v="4"/>
    <n v="21811"/>
  </r>
  <r>
    <d v="2024-12-22T00:00:00"/>
    <x v="1"/>
    <x v="4"/>
    <n v="96277"/>
  </r>
  <r>
    <d v="2024-08-07T00:00:00"/>
    <x v="2"/>
    <x v="1"/>
    <n v="52222"/>
  </r>
  <r>
    <d v="2024-06-03T00:00:00"/>
    <x v="1"/>
    <x v="2"/>
    <n v="25955"/>
  </r>
  <r>
    <d v="2024-06-22T00:00:00"/>
    <x v="4"/>
    <x v="0"/>
    <n v="86527"/>
  </r>
  <r>
    <d v="2024-07-04T00:00:00"/>
    <x v="2"/>
    <x v="1"/>
    <n v="9682"/>
  </r>
  <r>
    <d v="2024-12-01T00:00:00"/>
    <x v="4"/>
    <x v="3"/>
    <n v="30267"/>
  </r>
  <r>
    <d v="2024-12-06T00:00:00"/>
    <x v="4"/>
    <x v="1"/>
    <n v="81665"/>
  </r>
  <r>
    <d v="2024-04-13T00:00:00"/>
    <x v="1"/>
    <x v="1"/>
    <n v="72976"/>
  </r>
  <r>
    <d v="2024-01-12T00:00:00"/>
    <x v="3"/>
    <x v="4"/>
    <n v="85211"/>
  </r>
  <r>
    <d v="2024-10-03T00:00:00"/>
    <x v="3"/>
    <x v="1"/>
    <n v="20504"/>
  </r>
  <r>
    <d v="2024-03-27T00:00:00"/>
    <x v="2"/>
    <x v="3"/>
    <n v="35054"/>
  </r>
  <r>
    <d v="2024-06-03T00:00:00"/>
    <x v="1"/>
    <x v="2"/>
    <n v="84337"/>
  </r>
  <r>
    <d v="2024-09-27T00:00:00"/>
    <x v="0"/>
    <x v="4"/>
    <n v="88779"/>
  </r>
  <r>
    <d v="2024-06-16T00:00:00"/>
    <x v="1"/>
    <x v="1"/>
    <n v="92749"/>
  </r>
  <r>
    <d v="2024-01-11T00:00:00"/>
    <x v="4"/>
    <x v="3"/>
    <n v="15160"/>
  </r>
  <r>
    <d v="2024-04-07T00:00:00"/>
    <x v="3"/>
    <x v="3"/>
    <n v="38000"/>
  </r>
  <r>
    <d v="2024-04-18T00:00:00"/>
    <x v="3"/>
    <x v="0"/>
    <n v="67853"/>
  </r>
  <r>
    <d v="2024-08-19T00:00:00"/>
    <x v="3"/>
    <x v="4"/>
    <n v="47071"/>
  </r>
  <r>
    <d v="2024-02-10T00:00:00"/>
    <x v="1"/>
    <x v="3"/>
    <n v="38166"/>
  </r>
  <r>
    <d v="2024-08-08T00:00:00"/>
    <x v="0"/>
    <x v="3"/>
    <n v="26566"/>
  </r>
  <r>
    <d v="2024-08-06T00:00:00"/>
    <x v="0"/>
    <x v="3"/>
    <n v="32585"/>
  </r>
  <r>
    <d v="2024-07-03T00:00:00"/>
    <x v="3"/>
    <x v="2"/>
    <n v="19156"/>
  </r>
  <r>
    <d v="2024-12-22T00:00:00"/>
    <x v="3"/>
    <x v="0"/>
    <n v="33982"/>
  </r>
  <r>
    <d v="2024-01-03T00:00:00"/>
    <x v="0"/>
    <x v="4"/>
    <n v="61950"/>
  </r>
  <r>
    <d v="2024-09-09T00:00:00"/>
    <x v="1"/>
    <x v="3"/>
    <n v="44379"/>
  </r>
  <r>
    <d v="2024-10-19T00:00:00"/>
    <x v="3"/>
    <x v="2"/>
    <n v="35869"/>
  </r>
  <r>
    <d v="2024-07-16T00:00:00"/>
    <x v="3"/>
    <x v="3"/>
    <n v="55293"/>
  </r>
  <r>
    <d v="2024-03-30T00:00:00"/>
    <x v="3"/>
    <x v="0"/>
    <n v="52599"/>
  </r>
  <r>
    <d v="2024-04-19T00:00:00"/>
    <x v="4"/>
    <x v="0"/>
    <n v="83472"/>
  </r>
  <r>
    <d v="2024-11-20T00:00:00"/>
    <x v="2"/>
    <x v="2"/>
    <n v="61124"/>
  </r>
  <r>
    <d v="2024-12-12T00:00:00"/>
    <x v="1"/>
    <x v="0"/>
    <n v="54803"/>
  </r>
  <r>
    <d v="2024-11-08T00:00:00"/>
    <x v="3"/>
    <x v="2"/>
    <n v="63930"/>
  </r>
  <r>
    <d v="2024-10-24T00:00:00"/>
    <x v="4"/>
    <x v="4"/>
    <n v="36122"/>
  </r>
  <r>
    <d v="2024-08-15T00:00:00"/>
    <x v="4"/>
    <x v="4"/>
    <n v="93963"/>
  </r>
  <r>
    <d v="2024-09-11T00:00:00"/>
    <x v="1"/>
    <x v="3"/>
    <n v="95551"/>
  </r>
  <r>
    <d v="2024-04-22T00:00:00"/>
    <x v="4"/>
    <x v="1"/>
    <n v="36595"/>
  </r>
  <r>
    <d v="2024-07-10T00:00:00"/>
    <x v="3"/>
    <x v="2"/>
    <n v="13170"/>
  </r>
  <r>
    <d v="2024-12-07T00:00:00"/>
    <x v="0"/>
    <x v="0"/>
    <n v="41823"/>
  </r>
  <r>
    <d v="2024-03-13T00:00:00"/>
    <x v="0"/>
    <x v="1"/>
    <n v="69759"/>
  </r>
  <r>
    <d v="2024-04-08T00:00:00"/>
    <x v="2"/>
    <x v="0"/>
    <n v="70196"/>
  </r>
  <r>
    <d v="2024-02-02T00:00:00"/>
    <x v="0"/>
    <x v="1"/>
    <n v="97440"/>
  </r>
  <r>
    <d v="2024-04-02T00:00:00"/>
    <x v="3"/>
    <x v="1"/>
    <n v="81772"/>
  </r>
  <r>
    <d v="2024-10-30T00:00:00"/>
    <x v="2"/>
    <x v="1"/>
    <n v="23918"/>
  </r>
  <r>
    <d v="2024-11-24T00:00:00"/>
    <x v="4"/>
    <x v="1"/>
    <n v="38476"/>
  </r>
  <r>
    <d v="2024-08-22T00:00:00"/>
    <x v="1"/>
    <x v="4"/>
    <n v="41591"/>
  </r>
  <r>
    <d v="2024-05-22T00:00:00"/>
    <x v="4"/>
    <x v="0"/>
    <n v="6547"/>
  </r>
  <r>
    <d v="2024-07-27T00:00:00"/>
    <x v="3"/>
    <x v="2"/>
    <n v="89908"/>
  </r>
  <r>
    <d v="2024-05-11T00:00:00"/>
    <x v="1"/>
    <x v="0"/>
    <n v="46375"/>
  </r>
  <r>
    <d v="2024-07-23T00:00:00"/>
    <x v="0"/>
    <x v="1"/>
    <n v="92502"/>
  </r>
  <r>
    <d v="2024-09-23T00:00:00"/>
    <x v="3"/>
    <x v="1"/>
    <n v="70669"/>
  </r>
  <r>
    <d v="2024-10-05T00:00:00"/>
    <x v="4"/>
    <x v="0"/>
    <n v="13588"/>
  </r>
  <r>
    <d v="2024-10-13T00:00:00"/>
    <x v="4"/>
    <x v="4"/>
    <n v="79811"/>
  </r>
  <r>
    <d v="2024-03-05T00:00:00"/>
    <x v="2"/>
    <x v="4"/>
    <n v="7673"/>
  </r>
  <r>
    <d v="2024-10-21T00:00:00"/>
    <x v="2"/>
    <x v="3"/>
    <n v="76617"/>
  </r>
  <r>
    <d v="2024-01-11T00:00:00"/>
    <x v="0"/>
    <x v="3"/>
    <n v="25773"/>
  </r>
  <r>
    <d v="2024-12-26T00:00:00"/>
    <x v="1"/>
    <x v="2"/>
    <n v="10136"/>
  </r>
  <r>
    <d v="2024-09-05T00:00:00"/>
    <x v="2"/>
    <x v="2"/>
    <n v="70276"/>
  </r>
  <r>
    <d v="2024-08-15T00:00:00"/>
    <x v="1"/>
    <x v="1"/>
    <n v="43572"/>
  </r>
  <r>
    <d v="2024-06-18T00:00:00"/>
    <x v="3"/>
    <x v="0"/>
    <n v="19263"/>
  </r>
  <r>
    <d v="2024-03-13T00:00:00"/>
    <x v="2"/>
    <x v="0"/>
    <n v="59250"/>
  </r>
  <r>
    <d v="2024-12-18T00:00:00"/>
    <x v="0"/>
    <x v="3"/>
    <n v="58645"/>
  </r>
  <r>
    <d v="2024-09-27T00:00:00"/>
    <x v="4"/>
    <x v="3"/>
    <n v="69031"/>
  </r>
  <r>
    <d v="2024-09-06T00:00:00"/>
    <x v="4"/>
    <x v="0"/>
    <n v="45594"/>
  </r>
  <r>
    <d v="2024-04-01T00:00:00"/>
    <x v="1"/>
    <x v="1"/>
    <n v="40191"/>
  </r>
  <r>
    <d v="2024-07-13T00:00:00"/>
    <x v="0"/>
    <x v="2"/>
    <n v="45818"/>
  </r>
  <r>
    <d v="2024-07-03T00:00:00"/>
    <x v="3"/>
    <x v="4"/>
    <n v="64158"/>
  </r>
  <r>
    <d v="2024-07-18T00:00:00"/>
    <x v="0"/>
    <x v="0"/>
    <n v="19453"/>
  </r>
  <r>
    <d v="2024-03-30T00:00:00"/>
    <x v="0"/>
    <x v="2"/>
    <n v="37780"/>
  </r>
  <r>
    <d v="2024-05-13T00:00:00"/>
    <x v="2"/>
    <x v="3"/>
    <n v="60799"/>
  </r>
  <r>
    <d v="2024-07-17T00:00:00"/>
    <x v="2"/>
    <x v="1"/>
    <n v="85451"/>
  </r>
  <r>
    <d v="2024-06-22T00:00:00"/>
    <x v="3"/>
    <x v="2"/>
    <n v="87028"/>
  </r>
  <r>
    <d v="2024-01-27T00:00:00"/>
    <x v="2"/>
    <x v="3"/>
    <n v="32341"/>
  </r>
  <r>
    <d v="2024-12-24T00:00:00"/>
    <x v="0"/>
    <x v="3"/>
    <n v="59379"/>
  </r>
  <r>
    <d v="2024-11-21T00:00:00"/>
    <x v="0"/>
    <x v="4"/>
    <n v="66770"/>
  </r>
  <r>
    <d v="2024-07-05T00:00:00"/>
    <x v="0"/>
    <x v="2"/>
    <n v="50074"/>
  </r>
  <r>
    <d v="2024-09-19T00:00:00"/>
    <x v="4"/>
    <x v="0"/>
    <n v="88705"/>
  </r>
  <r>
    <d v="2024-08-22T00:00:00"/>
    <x v="2"/>
    <x v="2"/>
    <n v="83828"/>
  </r>
  <r>
    <d v="2024-07-25T00:00:00"/>
    <x v="2"/>
    <x v="2"/>
    <n v="40673"/>
  </r>
  <r>
    <d v="2024-03-17T00:00:00"/>
    <x v="3"/>
    <x v="0"/>
    <n v="20870"/>
  </r>
  <r>
    <d v="2024-11-10T00:00:00"/>
    <x v="0"/>
    <x v="3"/>
    <n v="72219"/>
  </r>
  <r>
    <d v="2024-11-22T00:00:00"/>
    <x v="0"/>
    <x v="2"/>
    <n v="51373"/>
  </r>
  <r>
    <d v="2024-01-06T00:00:00"/>
    <x v="0"/>
    <x v="3"/>
    <n v="82547"/>
  </r>
  <r>
    <d v="2024-01-22T00:00:00"/>
    <x v="0"/>
    <x v="3"/>
    <n v="89916"/>
  </r>
  <r>
    <d v="2024-10-21T00:00:00"/>
    <x v="1"/>
    <x v="3"/>
    <n v="46251"/>
  </r>
  <r>
    <d v="2024-11-09T00:00:00"/>
    <x v="3"/>
    <x v="4"/>
    <n v="35285"/>
  </r>
  <r>
    <d v="2024-07-20T00:00:00"/>
    <x v="1"/>
    <x v="2"/>
    <n v="54817"/>
  </r>
  <r>
    <d v="2024-07-11T00:00:00"/>
    <x v="4"/>
    <x v="4"/>
    <n v="20302"/>
  </r>
  <r>
    <d v="2024-11-16T00:00:00"/>
    <x v="2"/>
    <x v="2"/>
    <n v="94541"/>
  </r>
  <r>
    <d v="2024-11-07T00:00:00"/>
    <x v="4"/>
    <x v="0"/>
    <n v="20163"/>
  </r>
  <r>
    <d v="2024-10-08T00:00:00"/>
    <x v="4"/>
    <x v="0"/>
    <n v="61616"/>
  </r>
  <r>
    <d v="2024-03-31T00:00:00"/>
    <x v="2"/>
    <x v="2"/>
    <n v="40316"/>
  </r>
  <r>
    <d v="2024-12-30T00:00:00"/>
    <x v="3"/>
    <x v="0"/>
    <n v="40563"/>
  </r>
  <r>
    <d v="2024-12-31T00:00:00"/>
    <x v="1"/>
    <x v="1"/>
    <n v="43365"/>
  </r>
  <r>
    <d v="2024-11-17T00:00:00"/>
    <x v="2"/>
    <x v="4"/>
    <n v="37959"/>
  </r>
  <r>
    <d v="2024-11-29T00:00:00"/>
    <x v="2"/>
    <x v="3"/>
    <n v="50910"/>
  </r>
  <r>
    <d v="2024-09-15T00:00:00"/>
    <x v="4"/>
    <x v="2"/>
    <n v="55518"/>
  </r>
  <r>
    <d v="2024-02-16T00:00:00"/>
    <x v="1"/>
    <x v="0"/>
    <n v="49021"/>
  </r>
  <r>
    <d v="2024-12-29T00:00:00"/>
    <x v="2"/>
    <x v="3"/>
    <n v="85167"/>
  </r>
  <r>
    <d v="2024-10-02T00:00:00"/>
    <x v="1"/>
    <x v="2"/>
    <n v="27523"/>
  </r>
  <r>
    <d v="2024-08-27T00:00:00"/>
    <x v="0"/>
    <x v="1"/>
    <n v="88434"/>
  </r>
  <r>
    <d v="2024-03-31T00:00:00"/>
    <x v="2"/>
    <x v="1"/>
    <n v="87684"/>
  </r>
  <r>
    <d v="2024-08-16T00:00:00"/>
    <x v="0"/>
    <x v="2"/>
    <n v="83137"/>
  </r>
  <r>
    <d v="2024-11-19T00:00:00"/>
    <x v="0"/>
    <x v="4"/>
    <n v="18374"/>
  </r>
  <r>
    <d v="2024-09-25T00:00:00"/>
    <x v="4"/>
    <x v="4"/>
    <n v="56530"/>
  </r>
  <r>
    <d v="2024-04-09T00:00:00"/>
    <x v="3"/>
    <x v="4"/>
    <n v="67090"/>
  </r>
  <r>
    <d v="2024-07-23T00:00:00"/>
    <x v="2"/>
    <x v="0"/>
    <n v="76655"/>
  </r>
  <r>
    <d v="2024-03-15T00:00:00"/>
    <x v="3"/>
    <x v="4"/>
    <n v="23969"/>
  </r>
  <r>
    <d v="2024-08-02T00:00:00"/>
    <x v="2"/>
    <x v="4"/>
    <n v="72623"/>
  </r>
  <r>
    <d v="2024-07-12T00:00:00"/>
    <x v="1"/>
    <x v="3"/>
    <n v="66475"/>
  </r>
  <r>
    <d v="2024-11-28T00:00:00"/>
    <x v="0"/>
    <x v="3"/>
    <n v="31893"/>
  </r>
  <r>
    <d v="2024-07-18T00:00:00"/>
    <x v="4"/>
    <x v="0"/>
    <n v="81476"/>
  </r>
  <r>
    <d v="2024-03-19T00:00:00"/>
    <x v="0"/>
    <x v="3"/>
    <n v="50584"/>
  </r>
  <r>
    <d v="2024-10-26T00:00:00"/>
    <x v="2"/>
    <x v="4"/>
    <n v="86256"/>
  </r>
  <r>
    <d v="2024-05-26T00:00:00"/>
    <x v="4"/>
    <x v="0"/>
    <n v="24026"/>
  </r>
  <r>
    <d v="2024-10-20T00:00:00"/>
    <x v="1"/>
    <x v="1"/>
    <n v="40931"/>
  </r>
  <r>
    <d v="2024-03-23T00:00:00"/>
    <x v="4"/>
    <x v="1"/>
    <n v="12298"/>
  </r>
  <r>
    <d v="2024-08-02T00:00:00"/>
    <x v="3"/>
    <x v="1"/>
    <n v="52433"/>
  </r>
  <r>
    <d v="2024-01-23T00:00:00"/>
    <x v="4"/>
    <x v="2"/>
    <n v="24122"/>
  </r>
  <r>
    <d v="2024-06-22T00:00:00"/>
    <x v="3"/>
    <x v="3"/>
    <n v="36331"/>
  </r>
  <r>
    <d v="2024-05-28T00:00:00"/>
    <x v="2"/>
    <x v="3"/>
    <n v="51526"/>
  </r>
  <r>
    <d v="2024-05-04T00:00:00"/>
    <x v="3"/>
    <x v="3"/>
    <n v="42182"/>
  </r>
  <r>
    <d v="2024-10-15T00:00:00"/>
    <x v="1"/>
    <x v="3"/>
    <n v="70117"/>
  </r>
  <r>
    <d v="2024-12-08T00:00:00"/>
    <x v="3"/>
    <x v="1"/>
    <n v="20888"/>
  </r>
  <r>
    <d v="2024-02-20T00:00:00"/>
    <x v="0"/>
    <x v="1"/>
    <n v="7595"/>
  </r>
  <r>
    <d v="2024-07-08T00:00:00"/>
    <x v="2"/>
    <x v="1"/>
    <n v="8084"/>
  </r>
  <r>
    <d v="2024-05-05T00:00:00"/>
    <x v="2"/>
    <x v="2"/>
    <n v="75530"/>
  </r>
  <r>
    <d v="2024-07-07T00:00:00"/>
    <x v="3"/>
    <x v="2"/>
    <n v="44798"/>
  </r>
  <r>
    <d v="2024-05-05T00:00:00"/>
    <x v="2"/>
    <x v="4"/>
    <n v="10978"/>
  </r>
  <r>
    <d v="2024-01-09T00:00:00"/>
    <x v="3"/>
    <x v="1"/>
    <n v="52883"/>
  </r>
  <r>
    <d v="2024-05-17T00:00:00"/>
    <x v="2"/>
    <x v="2"/>
    <n v="34040"/>
  </r>
  <r>
    <d v="2024-05-13T00:00:00"/>
    <x v="0"/>
    <x v="0"/>
    <n v="80864"/>
  </r>
  <r>
    <d v="2024-01-19T00:00:00"/>
    <x v="1"/>
    <x v="0"/>
    <n v="78024"/>
  </r>
  <r>
    <d v="2024-06-12T00:00:00"/>
    <x v="2"/>
    <x v="4"/>
    <n v="81355"/>
  </r>
  <r>
    <d v="2024-02-23T00:00:00"/>
    <x v="3"/>
    <x v="0"/>
    <n v="40428"/>
  </r>
  <r>
    <d v="2024-02-22T00:00:00"/>
    <x v="1"/>
    <x v="0"/>
    <n v="21293"/>
  </r>
  <r>
    <d v="2024-12-22T00:00:00"/>
    <x v="0"/>
    <x v="1"/>
    <n v="50834"/>
  </r>
  <r>
    <d v="2024-12-26T00:00:00"/>
    <x v="0"/>
    <x v="0"/>
    <n v="46462"/>
  </r>
  <r>
    <d v="2024-08-25T00:00:00"/>
    <x v="1"/>
    <x v="1"/>
    <n v="96878"/>
  </r>
  <r>
    <d v="2024-06-23T00:00:00"/>
    <x v="4"/>
    <x v="3"/>
    <n v="61975"/>
  </r>
  <r>
    <d v="2024-06-28T00:00:00"/>
    <x v="4"/>
    <x v="3"/>
    <n v="59966"/>
  </r>
  <r>
    <d v="2024-10-29T00:00:00"/>
    <x v="3"/>
    <x v="0"/>
    <n v="28435"/>
  </r>
  <r>
    <d v="2024-08-07T00:00:00"/>
    <x v="3"/>
    <x v="4"/>
    <n v="90163"/>
  </r>
  <r>
    <d v="2024-02-27T00:00:00"/>
    <x v="3"/>
    <x v="3"/>
    <n v="7504"/>
  </r>
  <r>
    <d v="2024-08-21T00:00:00"/>
    <x v="4"/>
    <x v="3"/>
    <n v="31358"/>
  </r>
  <r>
    <d v="2024-08-23T00:00:00"/>
    <x v="1"/>
    <x v="0"/>
    <n v="89146"/>
  </r>
  <r>
    <d v="2024-10-15T00:00:00"/>
    <x v="2"/>
    <x v="2"/>
    <n v="73693"/>
  </r>
  <r>
    <d v="2024-04-08T00:00:00"/>
    <x v="0"/>
    <x v="1"/>
    <n v="82770"/>
  </r>
  <r>
    <d v="2024-07-05T00:00:00"/>
    <x v="1"/>
    <x v="1"/>
    <n v="61558"/>
  </r>
  <r>
    <d v="2024-12-09T00:00:00"/>
    <x v="4"/>
    <x v="2"/>
    <n v="82740"/>
  </r>
  <r>
    <d v="2024-08-12T00:00:00"/>
    <x v="0"/>
    <x v="3"/>
    <n v="30946"/>
  </r>
  <r>
    <d v="2024-11-27T00:00:00"/>
    <x v="1"/>
    <x v="1"/>
    <n v="43144"/>
  </r>
  <r>
    <d v="2024-12-24T00:00:00"/>
    <x v="3"/>
    <x v="2"/>
    <n v="92362"/>
  </r>
  <r>
    <d v="2024-11-05T00:00:00"/>
    <x v="0"/>
    <x v="0"/>
    <n v="99495"/>
  </r>
  <r>
    <d v="2024-04-14T00:00:00"/>
    <x v="0"/>
    <x v="3"/>
    <n v="19204"/>
  </r>
  <r>
    <d v="2024-05-14T00:00:00"/>
    <x v="0"/>
    <x v="0"/>
    <n v="61166"/>
  </r>
  <r>
    <d v="2024-12-04T00:00:00"/>
    <x v="0"/>
    <x v="2"/>
    <n v="83128"/>
  </r>
  <r>
    <d v="2024-01-01T00:00:00"/>
    <x v="0"/>
    <x v="3"/>
    <n v="79650"/>
  </r>
  <r>
    <d v="2024-04-15T00:00:00"/>
    <x v="1"/>
    <x v="0"/>
    <n v="18601"/>
  </r>
  <r>
    <d v="2024-03-21T00:00:00"/>
    <x v="3"/>
    <x v="4"/>
    <n v="65696"/>
  </r>
  <r>
    <d v="2024-11-25T00:00:00"/>
    <x v="0"/>
    <x v="3"/>
    <n v="30034"/>
  </r>
  <r>
    <d v="2024-07-18T00:00:00"/>
    <x v="2"/>
    <x v="3"/>
    <n v="73972"/>
  </r>
  <r>
    <d v="2024-12-05T00:00:00"/>
    <x v="0"/>
    <x v="3"/>
    <n v="54102"/>
  </r>
  <r>
    <d v="2024-06-16T00:00:00"/>
    <x v="4"/>
    <x v="2"/>
    <n v="40998"/>
  </r>
  <r>
    <d v="2024-08-28T00:00:00"/>
    <x v="0"/>
    <x v="0"/>
    <n v="55865"/>
  </r>
  <r>
    <d v="2024-04-27T00:00:00"/>
    <x v="0"/>
    <x v="3"/>
    <n v="36118"/>
  </r>
  <r>
    <d v="2024-08-27T00:00:00"/>
    <x v="3"/>
    <x v="3"/>
    <n v="87386"/>
  </r>
  <r>
    <d v="2024-05-06T00:00:00"/>
    <x v="3"/>
    <x v="3"/>
    <n v="69962"/>
  </r>
  <r>
    <d v="2024-05-15T00:00:00"/>
    <x v="2"/>
    <x v="4"/>
    <n v="77535"/>
  </r>
  <r>
    <d v="2024-05-17T00:00:00"/>
    <x v="0"/>
    <x v="4"/>
    <n v="38787"/>
  </r>
  <r>
    <d v="2024-01-22T00:00:00"/>
    <x v="4"/>
    <x v="3"/>
    <n v="79178"/>
  </r>
  <r>
    <d v="2024-06-03T00:00:00"/>
    <x v="0"/>
    <x v="4"/>
    <n v="46718"/>
  </r>
  <r>
    <d v="2024-04-30T00:00:00"/>
    <x v="2"/>
    <x v="1"/>
    <n v="59728"/>
  </r>
  <r>
    <d v="2024-02-24T00:00:00"/>
    <x v="2"/>
    <x v="0"/>
    <n v="65720"/>
  </r>
  <r>
    <d v="2024-04-25T00:00:00"/>
    <x v="2"/>
    <x v="3"/>
    <n v="29844"/>
  </r>
  <r>
    <d v="2024-06-23T00:00:00"/>
    <x v="4"/>
    <x v="2"/>
    <n v="32196"/>
  </r>
  <r>
    <d v="2024-06-01T00:00:00"/>
    <x v="3"/>
    <x v="1"/>
    <n v="77459"/>
  </r>
  <r>
    <d v="2024-02-23T00:00:00"/>
    <x v="3"/>
    <x v="2"/>
    <n v="14440"/>
  </r>
  <r>
    <d v="2024-09-22T00:00:00"/>
    <x v="3"/>
    <x v="1"/>
    <n v="75715"/>
  </r>
  <r>
    <d v="2024-12-01T00:00:00"/>
    <x v="1"/>
    <x v="3"/>
    <n v="74427"/>
  </r>
  <r>
    <d v="2024-09-19T00:00:00"/>
    <x v="1"/>
    <x v="1"/>
    <n v="93964"/>
  </r>
  <r>
    <d v="2024-06-01T00:00:00"/>
    <x v="3"/>
    <x v="1"/>
    <n v="64029"/>
  </r>
  <r>
    <d v="2024-07-05T00:00:00"/>
    <x v="0"/>
    <x v="3"/>
    <n v="87354"/>
  </r>
  <r>
    <d v="2024-01-26T00:00:00"/>
    <x v="2"/>
    <x v="0"/>
    <n v="56617"/>
  </r>
  <r>
    <d v="2024-06-02T00:00:00"/>
    <x v="3"/>
    <x v="2"/>
    <n v="26584"/>
  </r>
  <r>
    <d v="2024-11-10T00:00:00"/>
    <x v="1"/>
    <x v="4"/>
    <n v="10227"/>
  </r>
  <r>
    <d v="2024-10-10T00:00:00"/>
    <x v="3"/>
    <x v="4"/>
    <n v="44467"/>
  </r>
  <r>
    <d v="2024-07-21T00:00:00"/>
    <x v="2"/>
    <x v="4"/>
    <n v="36312"/>
  </r>
  <r>
    <d v="2024-10-18T00:00:00"/>
    <x v="2"/>
    <x v="1"/>
    <n v="11267"/>
  </r>
  <r>
    <d v="2024-05-22T00:00:00"/>
    <x v="2"/>
    <x v="2"/>
    <n v="5944"/>
  </r>
  <r>
    <d v="2024-10-15T00:00:00"/>
    <x v="1"/>
    <x v="0"/>
    <n v="27665"/>
  </r>
  <r>
    <d v="2024-09-05T00:00:00"/>
    <x v="3"/>
    <x v="2"/>
    <n v="58881"/>
  </r>
  <r>
    <d v="2024-02-12T00:00:00"/>
    <x v="4"/>
    <x v="1"/>
    <n v="26884"/>
  </r>
  <r>
    <d v="2024-03-07T00:00:00"/>
    <x v="4"/>
    <x v="2"/>
    <n v="22206"/>
  </r>
  <r>
    <d v="2024-03-25T00:00:00"/>
    <x v="1"/>
    <x v="0"/>
    <n v="66615"/>
  </r>
  <r>
    <d v="2024-04-15T00:00:00"/>
    <x v="4"/>
    <x v="4"/>
    <n v="59395"/>
  </r>
  <r>
    <d v="2024-11-26T00:00:00"/>
    <x v="3"/>
    <x v="0"/>
    <n v="69566"/>
  </r>
  <r>
    <d v="2024-06-19T00:00:00"/>
    <x v="1"/>
    <x v="0"/>
    <n v="6575"/>
  </r>
  <r>
    <d v="2024-11-22T00:00:00"/>
    <x v="0"/>
    <x v="0"/>
    <n v="27768"/>
  </r>
  <r>
    <d v="2024-04-02T00:00:00"/>
    <x v="3"/>
    <x v="3"/>
    <n v="34794"/>
  </r>
  <r>
    <d v="2024-12-11T00:00:00"/>
    <x v="0"/>
    <x v="2"/>
    <n v="13022"/>
  </r>
  <r>
    <d v="2024-05-21T00:00:00"/>
    <x v="0"/>
    <x v="0"/>
    <n v="20026"/>
  </r>
  <r>
    <d v="2024-08-07T00:00:00"/>
    <x v="2"/>
    <x v="2"/>
    <n v="62109"/>
  </r>
  <r>
    <d v="2024-12-19T00:00:00"/>
    <x v="3"/>
    <x v="1"/>
    <n v="48204"/>
  </r>
  <r>
    <d v="2024-10-10T00:00:00"/>
    <x v="3"/>
    <x v="3"/>
    <n v="77782"/>
  </r>
  <r>
    <d v="2024-12-22T00:00:00"/>
    <x v="3"/>
    <x v="3"/>
    <n v="55324"/>
  </r>
  <r>
    <d v="2024-09-11T00:00:00"/>
    <x v="2"/>
    <x v="1"/>
    <n v="10123"/>
  </r>
  <r>
    <d v="2024-02-28T00:00:00"/>
    <x v="4"/>
    <x v="4"/>
    <n v="42105"/>
  </r>
  <r>
    <d v="2024-03-30T00:00:00"/>
    <x v="2"/>
    <x v="4"/>
    <n v="49943"/>
  </r>
  <r>
    <d v="2024-04-02T00:00:00"/>
    <x v="1"/>
    <x v="2"/>
    <n v="38494"/>
  </r>
  <r>
    <d v="2024-04-08T00:00:00"/>
    <x v="0"/>
    <x v="2"/>
    <n v="88848"/>
  </r>
  <r>
    <d v="2024-09-17T00:00:00"/>
    <x v="4"/>
    <x v="2"/>
    <n v="22236"/>
  </r>
  <r>
    <d v="2024-08-02T00:00:00"/>
    <x v="0"/>
    <x v="1"/>
    <n v="57014"/>
  </r>
  <r>
    <d v="2024-05-10T00:00:00"/>
    <x v="1"/>
    <x v="0"/>
    <n v="31529"/>
  </r>
  <r>
    <d v="2024-11-23T00:00:00"/>
    <x v="4"/>
    <x v="4"/>
    <n v="68664"/>
  </r>
  <r>
    <d v="2024-07-29T00:00:00"/>
    <x v="4"/>
    <x v="1"/>
    <n v="90775"/>
  </r>
  <r>
    <d v="2024-06-24T00:00:00"/>
    <x v="2"/>
    <x v="1"/>
    <n v="8946"/>
  </r>
  <r>
    <d v="2024-05-20T00:00:00"/>
    <x v="0"/>
    <x v="1"/>
    <n v="6768"/>
  </r>
  <r>
    <d v="2024-10-26T00:00:00"/>
    <x v="0"/>
    <x v="4"/>
    <n v="40120"/>
  </r>
  <r>
    <d v="2024-10-10T00:00:00"/>
    <x v="0"/>
    <x v="0"/>
    <n v="93571"/>
  </r>
  <r>
    <d v="2024-08-28T00:00:00"/>
    <x v="4"/>
    <x v="2"/>
    <n v="68288"/>
  </r>
  <r>
    <d v="2024-03-03T00:00:00"/>
    <x v="0"/>
    <x v="1"/>
    <n v="88593"/>
  </r>
  <r>
    <d v="2024-02-06T00:00:00"/>
    <x v="1"/>
    <x v="1"/>
    <n v="22523"/>
  </r>
  <r>
    <d v="2024-11-05T00:00:00"/>
    <x v="2"/>
    <x v="1"/>
    <n v="15093"/>
  </r>
  <r>
    <d v="2024-11-17T00:00:00"/>
    <x v="0"/>
    <x v="2"/>
    <n v="45639"/>
  </r>
  <r>
    <d v="2024-03-24T00:00:00"/>
    <x v="2"/>
    <x v="4"/>
    <n v="75446"/>
  </r>
  <r>
    <d v="2024-06-17T00:00:00"/>
    <x v="3"/>
    <x v="2"/>
    <n v="75359"/>
  </r>
  <r>
    <d v="2024-10-07T00:00:00"/>
    <x v="1"/>
    <x v="1"/>
    <n v="73055"/>
  </r>
  <r>
    <d v="2024-11-21T00:00:00"/>
    <x v="0"/>
    <x v="0"/>
    <n v="27422"/>
  </r>
  <r>
    <d v="2024-02-13T00:00:00"/>
    <x v="4"/>
    <x v="0"/>
    <n v="90073"/>
  </r>
  <r>
    <d v="2024-11-09T00:00:00"/>
    <x v="3"/>
    <x v="1"/>
    <n v="55859"/>
  </r>
  <r>
    <d v="2024-02-03T00:00:00"/>
    <x v="0"/>
    <x v="0"/>
    <n v="59807"/>
  </r>
  <r>
    <d v="2024-10-15T00:00:00"/>
    <x v="1"/>
    <x v="2"/>
    <n v="88134"/>
  </r>
  <r>
    <d v="2024-07-18T00:00:00"/>
    <x v="3"/>
    <x v="0"/>
    <n v="48739"/>
  </r>
  <r>
    <d v="2024-07-22T00:00:00"/>
    <x v="4"/>
    <x v="2"/>
    <n v="64650"/>
  </r>
  <r>
    <d v="2024-08-22T00:00:00"/>
    <x v="4"/>
    <x v="2"/>
    <n v="76557"/>
  </r>
  <r>
    <d v="2024-05-11T00:00:00"/>
    <x v="1"/>
    <x v="1"/>
    <n v="70136"/>
  </r>
  <r>
    <d v="2024-03-02T00:00:00"/>
    <x v="0"/>
    <x v="2"/>
    <n v="60016"/>
  </r>
  <r>
    <d v="2024-01-06T00:00:00"/>
    <x v="4"/>
    <x v="0"/>
    <n v="59309"/>
  </r>
  <r>
    <d v="2024-09-07T00:00:00"/>
    <x v="3"/>
    <x v="0"/>
    <n v="38259"/>
  </r>
  <r>
    <d v="2024-11-14T00:00:00"/>
    <x v="2"/>
    <x v="3"/>
    <n v="29618"/>
  </r>
  <r>
    <d v="2024-01-05T00:00:00"/>
    <x v="0"/>
    <x v="1"/>
    <n v="23832"/>
  </r>
  <r>
    <d v="2024-01-23T00:00:00"/>
    <x v="3"/>
    <x v="0"/>
    <n v="53176"/>
  </r>
  <r>
    <d v="2024-06-20T00:00:00"/>
    <x v="0"/>
    <x v="3"/>
    <n v="9958"/>
  </r>
  <r>
    <d v="2024-06-28T00:00:00"/>
    <x v="1"/>
    <x v="1"/>
    <n v="28989"/>
  </r>
  <r>
    <d v="2024-02-21T00:00:00"/>
    <x v="1"/>
    <x v="1"/>
    <n v="88748"/>
  </r>
  <r>
    <d v="2024-06-01T00:00:00"/>
    <x v="1"/>
    <x v="4"/>
    <n v="10543"/>
  </r>
  <r>
    <d v="2024-01-04T00:00:00"/>
    <x v="1"/>
    <x v="4"/>
    <n v="42197"/>
  </r>
  <r>
    <d v="2024-10-21T00:00:00"/>
    <x v="1"/>
    <x v="0"/>
    <n v="34642"/>
  </r>
  <r>
    <d v="2024-05-28T00:00:00"/>
    <x v="0"/>
    <x v="1"/>
    <n v="36242"/>
  </r>
  <r>
    <d v="2024-07-19T00:00:00"/>
    <x v="4"/>
    <x v="4"/>
    <n v="39535"/>
  </r>
  <r>
    <d v="2024-02-22T00:00:00"/>
    <x v="0"/>
    <x v="4"/>
    <n v="82008"/>
  </r>
  <r>
    <d v="2024-11-30T00:00:00"/>
    <x v="3"/>
    <x v="1"/>
    <n v="14230"/>
  </r>
  <r>
    <d v="2024-04-03T00:00:00"/>
    <x v="3"/>
    <x v="4"/>
    <n v="31188"/>
  </r>
  <r>
    <d v="2024-02-01T00:00:00"/>
    <x v="4"/>
    <x v="0"/>
    <n v="80475"/>
  </r>
  <r>
    <d v="2024-08-03T00:00:00"/>
    <x v="3"/>
    <x v="4"/>
    <n v="99703"/>
  </r>
  <r>
    <d v="2024-03-10T00:00:00"/>
    <x v="0"/>
    <x v="2"/>
    <n v="74682"/>
  </r>
  <r>
    <d v="2024-08-18T00:00:00"/>
    <x v="3"/>
    <x v="0"/>
    <n v="31567"/>
  </r>
  <r>
    <d v="2024-06-10T00:00:00"/>
    <x v="3"/>
    <x v="0"/>
    <n v="62710"/>
  </r>
  <r>
    <d v="2024-01-28T00:00:00"/>
    <x v="0"/>
    <x v="1"/>
    <n v="55183"/>
  </r>
  <r>
    <d v="2024-01-07T00:00:00"/>
    <x v="1"/>
    <x v="4"/>
    <n v="68953"/>
  </r>
  <r>
    <d v="2024-07-02T00:00:00"/>
    <x v="2"/>
    <x v="2"/>
    <n v="90269"/>
  </r>
  <r>
    <d v="2024-07-14T00:00:00"/>
    <x v="4"/>
    <x v="1"/>
    <n v="85360"/>
  </r>
  <r>
    <d v="2024-03-18T00:00:00"/>
    <x v="2"/>
    <x v="4"/>
    <n v="57087"/>
  </r>
  <r>
    <d v="2024-01-09T00:00:00"/>
    <x v="1"/>
    <x v="3"/>
    <n v="34591"/>
  </r>
  <r>
    <d v="2024-11-18T00:00:00"/>
    <x v="0"/>
    <x v="1"/>
    <n v="82820"/>
  </r>
  <r>
    <d v="2024-08-17T00:00:00"/>
    <x v="3"/>
    <x v="0"/>
    <n v="86101"/>
  </r>
  <r>
    <d v="2024-07-03T00:00:00"/>
    <x v="3"/>
    <x v="1"/>
    <n v="13978"/>
  </r>
  <r>
    <d v="2024-12-10T00:00:00"/>
    <x v="2"/>
    <x v="0"/>
    <n v="54300"/>
  </r>
  <r>
    <d v="2024-01-17T00:00:00"/>
    <x v="2"/>
    <x v="1"/>
    <n v="72287"/>
  </r>
  <r>
    <d v="2024-06-20T00:00:00"/>
    <x v="0"/>
    <x v="1"/>
    <n v="39813"/>
  </r>
  <r>
    <d v="2024-04-11T00:00:00"/>
    <x v="0"/>
    <x v="0"/>
    <n v="37305"/>
  </r>
  <r>
    <d v="2024-03-30T00:00:00"/>
    <x v="4"/>
    <x v="1"/>
    <n v="38899"/>
  </r>
  <r>
    <d v="2024-05-31T00:00:00"/>
    <x v="2"/>
    <x v="2"/>
    <n v="97931"/>
  </r>
  <r>
    <d v="2024-10-03T00:00:00"/>
    <x v="0"/>
    <x v="0"/>
    <n v="11803"/>
  </r>
  <r>
    <d v="2024-05-18T00:00:00"/>
    <x v="2"/>
    <x v="0"/>
    <n v="39484"/>
  </r>
  <r>
    <d v="2024-10-22T00:00:00"/>
    <x v="2"/>
    <x v="3"/>
    <n v="75770"/>
  </r>
  <r>
    <d v="2024-02-29T00:00:00"/>
    <x v="2"/>
    <x v="3"/>
    <n v="7639"/>
  </r>
  <r>
    <d v="2024-09-27T00:00:00"/>
    <x v="4"/>
    <x v="2"/>
    <n v="34597"/>
  </r>
  <r>
    <d v="2024-01-08T00:00:00"/>
    <x v="4"/>
    <x v="0"/>
    <n v="55243"/>
  </r>
  <r>
    <d v="2024-10-28T00:00:00"/>
    <x v="3"/>
    <x v="2"/>
    <n v="50209"/>
  </r>
  <r>
    <d v="2024-12-10T00:00:00"/>
    <x v="3"/>
    <x v="2"/>
    <n v="13983"/>
  </r>
  <r>
    <d v="2024-06-03T00:00:00"/>
    <x v="1"/>
    <x v="1"/>
    <n v="82907"/>
  </r>
  <r>
    <d v="2024-07-07T00:00:00"/>
    <x v="0"/>
    <x v="0"/>
    <n v="12740"/>
  </r>
  <r>
    <d v="2024-12-12T00:00:00"/>
    <x v="3"/>
    <x v="3"/>
    <n v="23138"/>
  </r>
  <r>
    <d v="2024-10-23T00:00:00"/>
    <x v="4"/>
    <x v="3"/>
    <n v="20234"/>
  </r>
  <r>
    <d v="2024-05-21T00:00:00"/>
    <x v="1"/>
    <x v="0"/>
    <n v="77198"/>
  </r>
  <r>
    <d v="2024-06-13T00:00:00"/>
    <x v="1"/>
    <x v="3"/>
    <n v="34669"/>
  </r>
  <r>
    <d v="2024-03-18T00:00:00"/>
    <x v="3"/>
    <x v="2"/>
    <n v="37656"/>
  </r>
  <r>
    <d v="2024-05-24T00:00:00"/>
    <x v="3"/>
    <x v="0"/>
    <n v="5407"/>
  </r>
  <r>
    <d v="2024-03-23T00:00:00"/>
    <x v="0"/>
    <x v="1"/>
    <n v="92952"/>
  </r>
  <r>
    <d v="2024-12-12T00:00:00"/>
    <x v="0"/>
    <x v="2"/>
    <n v="89980"/>
  </r>
  <r>
    <d v="2024-04-02T00:00:00"/>
    <x v="4"/>
    <x v="3"/>
    <n v="83399"/>
  </r>
  <r>
    <d v="2024-04-10T00:00:00"/>
    <x v="1"/>
    <x v="4"/>
    <n v="40877"/>
  </r>
  <r>
    <d v="2024-02-24T00:00:00"/>
    <x v="3"/>
    <x v="4"/>
    <n v="64352"/>
  </r>
  <r>
    <d v="2024-01-14T00:00:00"/>
    <x v="1"/>
    <x v="1"/>
    <n v="90260"/>
  </r>
  <r>
    <d v="2024-03-27T00:00:00"/>
    <x v="2"/>
    <x v="2"/>
    <n v="63990"/>
  </r>
  <r>
    <d v="2024-08-21T00:00:00"/>
    <x v="2"/>
    <x v="0"/>
    <n v="60965"/>
  </r>
  <r>
    <d v="2024-06-22T00:00:00"/>
    <x v="4"/>
    <x v="0"/>
    <n v="29355"/>
  </r>
  <r>
    <d v="2024-11-25T00:00:00"/>
    <x v="1"/>
    <x v="3"/>
    <n v="63608"/>
  </r>
  <r>
    <d v="2024-09-12T00:00:00"/>
    <x v="1"/>
    <x v="2"/>
    <n v="41012"/>
  </r>
  <r>
    <d v="2024-07-06T00:00:00"/>
    <x v="1"/>
    <x v="2"/>
    <n v="24142"/>
  </r>
  <r>
    <d v="2024-02-16T00:00:00"/>
    <x v="4"/>
    <x v="1"/>
    <n v="12608"/>
  </r>
  <r>
    <d v="2024-12-12T00:00:00"/>
    <x v="4"/>
    <x v="4"/>
    <n v="38990"/>
  </r>
  <r>
    <d v="2024-11-21T00:00:00"/>
    <x v="0"/>
    <x v="0"/>
    <n v="5273"/>
  </r>
  <r>
    <d v="2024-07-31T00:00:00"/>
    <x v="3"/>
    <x v="2"/>
    <n v="61612"/>
  </r>
  <r>
    <d v="2024-03-09T00:00:00"/>
    <x v="4"/>
    <x v="2"/>
    <n v="38570"/>
  </r>
  <r>
    <d v="2024-08-02T00:00:00"/>
    <x v="4"/>
    <x v="4"/>
    <n v="80532"/>
  </r>
  <r>
    <d v="2024-02-17T00:00:00"/>
    <x v="1"/>
    <x v="3"/>
    <n v="50395"/>
  </r>
  <r>
    <d v="2024-12-29T00:00:00"/>
    <x v="1"/>
    <x v="0"/>
    <n v="56430"/>
  </r>
  <r>
    <d v="2024-11-26T00:00:00"/>
    <x v="4"/>
    <x v="4"/>
    <n v="11923"/>
  </r>
  <r>
    <d v="2024-11-22T00:00:00"/>
    <x v="0"/>
    <x v="3"/>
    <n v="97094"/>
  </r>
  <r>
    <d v="2024-10-21T00:00:00"/>
    <x v="3"/>
    <x v="4"/>
    <n v="80334"/>
  </r>
  <r>
    <d v="2024-11-07T00:00:00"/>
    <x v="2"/>
    <x v="3"/>
    <n v="47497"/>
  </r>
  <r>
    <d v="2024-11-26T00:00:00"/>
    <x v="4"/>
    <x v="3"/>
    <n v="22140"/>
  </r>
  <r>
    <d v="2024-08-20T00:00:00"/>
    <x v="2"/>
    <x v="3"/>
    <n v="40974"/>
  </r>
  <r>
    <d v="2024-12-12T00:00:00"/>
    <x v="2"/>
    <x v="0"/>
    <n v="48045"/>
  </r>
  <r>
    <d v="2024-04-12T00:00:00"/>
    <x v="1"/>
    <x v="3"/>
    <n v="93046"/>
  </r>
  <r>
    <d v="2024-05-10T00:00:00"/>
    <x v="3"/>
    <x v="1"/>
    <n v="68697"/>
  </r>
  <r>
    <d v="2024-11-17T00:00:00"/>
    <x v="2"/>
    <x v="1"/>
    <n v="63165"/>
  </r>
  <r>
    <d v="2024-09-11T00:00:00"/>
    <x v="3"/>
    <x v="3"/>
    <n v="43909"/>
  </r>
  <r>
    <d v="2024-09-03T00:00:00"/>
    <x v="0"/>
    <x v="4"/>
    <n v="72438"/>
  </r>
  <r>
    <d v="2024-04-08T00:00:00"/>
    <x v="0"/>
    <x v="1"/>
    <n v="75320"/>
  </r>
  <r>
    <d v="2024-06-02T00:00:00"/>
    <x v="4"/>
    <x v="2"/>
    <n v="71924"/>
  </r>
  <r>
    <d v="2024-06-19T00:00:00"/>
    <x v="3"/>
    <x v="1"/>
    <n v="60858"/>
  </r>
  <r>
    <d v="2024-11-30T00:00:00"/>
    <x v="4"/>
    <x v="1"/>
    <n v="28492"/>
  </r>
  <r>
    <d v="2024-10-11T00:00:00"/>
    <x v="1"/>
    <x v="2"/>
    <n v="24858"/>
  </r>
  <r>
    <d v="2024-06-01T00:00:00"/>
    <x v="2"/>
    <x v="3"/>
    <n v="44607"/>
  </r>
  <r>
    <d v="2024-01-01T00:00:00"/>
    <x v="4"/>
    <x v="4"/>
    <n v="48068"/>
  </r>
  <r>
    <d v="2024-08-11T00:00:00"/>
    <x v="2"/>
    <x v="1"/>
    <n v="97914"/>
  </r>
  <r>
    <d v="2024-08-22T00:00:00"/>
    <x v="3"/>
    <x v="2"/>
    <n v="24651"/>
  </r>
  <r>
    <d v="2024-08-19T00:00:00"/>
    <x v="0"/>
    <x v="4"/>
    <n v="38472"/>
  </r>
  <r>
    <d v="2024-12-15T00:00:00"/>
    <x v="4"/>
    <x v="2"/>
    <n v="38583"/>
  </r>
  <r>
    <d v="2024-04-20T00:00:00"/>
    <x v="0"/>
    <x v="2"/>
    <n v="25914"/>
  </r>
  <r>
    <d v="2024-06-14T00:00:00"/>
    <x v="4"/>
    <x v="1"/>
    <n v="9853"/>
  </r>
  <r>
    <d v="2024-05-11T00:00:00"/>
    <x v="4"/>
    <x v="4"/>
    <n v="45779"/>
  </r>
  <r>
    <d v="2024-11-28T00:00:00"/>
    <x v="0"/>
    <x v="0"/>
    <n v="56333"/>
  </r>
  <r>
    <d v="2024-06-27T00:00:00"/>
    <x v="1"/>
    <x v="0"/>
    <n v="65215"/>
  </r>
  <r>
    <d v="2024-03-10T00:00:00"/>
    <x v="1"/>
    <x v="2"/>
    <n v="88458"/>
  </r>
  <r>
    <d v="2024-08-23T00:00:00"/>
    <x v="0"/>
    <x v="2"/>
    <n v="39817"/>
  </r>
  <r>
    <d v="2024-02-25T00:00:00"/>
    <x v="3"/>
    <x v="0"/>
    <n v="31599"/>
  </r>
  <r>
    <d v="2024-12-28T00:00:00"/>
    <x v="4"/>
    <x v="3"/>
    <n v="8839"/>
  </r>
  <r>
    <d v="2024-12-06T00:00:00"/>
    <x v="2"/>
    <x v="1"/>
    <n v="86076"/>
  </r>
  <r>
    <d v="2024-03-06T00:00:00"/>
    <x v="1"/>
    <x v="2"/>
    <n v="35533"/>
  </r>
  <r>
    <d v="2024-09-05T00:00:00"/>
    <x v="3"/>
    <x v="4"/>
    <n v="22928"/>
  </r>
  <r>
    <d v="2024-05-07T00:00:00"/>
    <x v="3"/>
    <x v="1"/>
    <n v="22198"/>
  </r>
  <r>
    <d v="2024-12-30T00:00:00"/>
    <x v="4"/>
    <x v="4"/>
    <n v="14147"/>
  </r>
  <r>
    <d v="2024-05-04T00:00:00"/>
    <x v="3"/>
    <x v="3"/>
    <n v="56716"/>
  </r>
  <r>
    <d v="2024-02-25T00:00:00"/>
    <x v="4"/>
    <x v="3"/>
    <n v="16730"/>
  </r>
  <r>
    <d v="2024-03-26T00:00:00"/>
    <x v="2"/>
    <x v="3"/>
    <n v="10665"/>
  </r>
  <r>
    <d v="2024-11-18T00:00:00"/>
    <x v="3"/>
    <x v="2"/>
    <n v="46892"/>
  </r>
  <r>
    <d v="2024-05-10T00:00:00"/>
    <x v="2"/>
    <x v="1"/>
    <n v="84549"/>
  </r>
  <r>
    <d v="2024-05-27T00:00:00"/>
    <x v="3"/>
    <x v="0"/>
    <n v="35895"/>
  </r>
  <r>
    <d v="2024-12-11T00:00:00"/>
    <x v="1"/>
    <x v="2"/>
    <n v="32131"/>
  </r>
  <r>
    <d v="2024-11-07T00:00:00"/>
    <x v="4"/>
    <x v="3"/>
    <n v="33050"/>
  </r>
  <r>
    <d v="2024-05-22T00:00:00"/>
    <x v="1"/>
    <x v="0"/>
    <n v="94069"/>
  </r>
  <r>
    <d v="2024-05-02T00:00:00"/>
    <x v="4"/>
    <x v="2"/>
    <n v="89914"/>
  </r>
  <r>
    <d v="2024-03-19T00:00:00"/>
    <x v="4"/>
    <x v="2"/>
    <n v="76927"/>
  </r>
  <r>
    <d v="2024-11-27T00:00:00"/>
    <x v="0"/>
    <x v="4"/>
    <n v="76469"/>
  </r>
  <r>
    <d v="2024-04-01T00:00:00"/>
    <x v="2"/>
    <x v="3"/>
    <n v="54184"/>
  </r>
  <r>
    <d v="2024-07-03T00:00:00"/>
    <x v="3"/>
    <x v="0"/>
    <n v="27485"/>
  </r>
  <r>
    <d v="2024-03-29T00:00:00"/>
    <x v="0"/>
    <x v="1"/>
    <n v="54992"/>
  </r>
  <r>
    <d v="2024-11-20T00:00:00"/>
    <x v="1"/>
    <x v="2"/>
    <n v="94380"/>
  </r>
  <r>
    <d v="2024-06-02T00:00:00"/>
    <x v="1"/>
    <x v="1"/>
    <n v="50430"/>
  </r>
  <r>
    <d v="2024-08-15T00:00:00"/>
    <x v="4"/>
    <x v="2"/>
    <n v="24446"/>
  </r>
  <r>
    <d v="2024-11-06T00:00:00"/>
    <x v="1"/>
    <x v="2"/>
    <n v="57954"/>
  </r>
  <r>
    <d v="2024-12-06T00:00:00"/>
    <x v="2"/>
    <x v="2"/>
    <n v="23971"/>
  </r>
  <r>
    <d v="2024-07-20T00:00:00"/>
    <x v="4"/>
    <x v="0"/>
    <n v="53020"/>
  </r>
  <r>
    <d v="2024-02-07T00:00:00"/>
    <x v="4"/>
    <x v="3"/>
    <n v="11501"/>
  </r>
  <r>
    <d v="2024-03-26T00:00:00"/>
    <x v="4"/>
    <x v="4"/>
    <n v="72899"/>
  </r>
  <r>
    <d v="2024-07-06T00:00:00"/>
    <x v="2"/>
    <x v="4"/>
    <n v="10843"/>
  </r>
  <r>
    <d v="2024-05-06T00:00:00"/>
    <x v="2"/>
    <x v="4"/>
    <n v="11565"/>
  </r>
  <r>
    <d v="2024-05-29T00:00:00"/>
    <x v="0"/>
    <x v="2"/>
    <n v="89932"/>
  </r>
  <r>
    <d v="2024-06-21T00:00:00"/>
    <x v="1"/>
    <x v="2"/>
    <n v="45931"/>
  </r>
  <r>
    <d v="2024-07-14T00:00:00"/>
    <x v="4"/>
    <x v="0"/>
    <n v="53973"/>
  </r>
  <r>
    <d v="2024-07-02T00:00:00"/>
    <x v="3"/>
    <x v="1"/>
    <n v="73601"/>
  </r>
  <r>
    <d v="2024-09-16T00:00:00"/>
    <x v="3"/>
    <x v="1"/>
    <n v="56447"/>
  </r>
  <r>
    <d v="2024-09-14T00:00:00"/>
    <x v="0"/>
    <x v="1"/>
    <n v="84114"/>
  </r>
  <r>
    <d v="2024-10-30T00:00:00"/>
    <x v="0"/>
    <x v="3"/>
    <n v="75129"/>
  </r>
  <r>
    <d v="2024-10-28T00:00:00"/>
    <x v="4"/>
    <x v="4"/>
    <n v="66883"/>
  </r>
  <r>
    <d v="2024-12-25T00:00:00"/>
    <x v="3"/>
    <x v="3"/>
    <n v="90457"/>
  </r>
  <r>
    <d v="2024-12-23T00:00:00"/>
    <x v="1"/>
    <x v="2"/>
    <n v="84675"/>
  </r>
  <r>
    <d v="2024-04-14T00:00:00"/>
    <x v="1"/>
    <x v="2"/>
    <n v="88620"/>
  </r>
  <r>
    <d v="2024-01-29T00:00:00"/>
    <x v="1"/>
    <x v="0"/>
    <n v="80567"/>
  </r>
  <r>
    <d v="2024-03-01T00:00:00"/>
    <x v="4"/>
    <x v="0"/>
    <n v="63450"/>
  </r>
  <r>
    <d v="2024-02-19T00:00:00"/>
    <x v="2"/>
    <x v="0"/>
    <n v="45741"/>
  </r>
  <r>
    <d v="2024-09-25T00:00:00"/>
    <x v="4"/>
    <x v="0"/>
    <n v="19725"/>
  </r>
  <r>
    <d v="2024-12-06T00:00:00"/>
    <x v="3"/>
    <x v="1"/>
    <n v="32718"/>
  </r>
  <r>
    <d v="2024-12-08T00:00:00"/>
    <x v="0"/>
    <x v="0"/>
    <n v="58075"/>
  </r>
  <r>
    <d v="2024-07-10T00:00:00"/>
    <x v="4"/>
    <x v="4"/>
    <n v="50126"/>
  </r>
  <r>
    <d v="2024-01-02T00:00:00"/>
    <x v="2"/>
    <x v="4"/>
    <n v="34882"/>
  </r>
  <r>
    <d v="2024-08-18T00:00:00"/>
    <x v="4"/>
    <x v="2"/>
    <n v="88188"/>
  </r>
  <r>
    <d v="2024-10-24T00:00:00"/>
    <x v="4"/>
    <x v="3"/>
    <n v="25881"/>
  </r>
  <r>
    <d v="2024-07-21T00:00:00"/>
    <x v="3"/>
    <x v="1"/>
    <n v="74508"/>
  </r>
  <r>
    <d v="2024-04-19T00:00:00"/>
    <x v="3"/>
    <x v="1"/>
    <n v="99994"/>
  </r>
  <r>
    <d v="2024-09-24T00:00:00"/>
    <x v="1"/>
    <x v="0"/>
    <n v="30185"/>
  </r>
  <r>
    <d v="2024-11-01T00:00:00"/>
    <x v="1"/>
    <x v="4"/>
    <n v="23787"/>
  </r>
  <r>
    <d v="2024-02-04T00:00:00"/>
    <x v="2"/>
    <x v="1"/>
    <n v="26429"/>
  </r>
  <r>
    <d v="2024-08-13T00:00:00"/>
    <x v="4"/>
    <x v="0"/>
    <n v="51839"/>
  </r>
  <r>
    <d v="2024-10-02T00:00:00"/>
    <x v="3"/>
    <x v="1"/>
    <n v="69093"/>
  </r>
  <r>
    <d v="2024-11-15T00:00:00"/>
    <x v="4"/>
    <x v="0"/>
    <n v="65213"/>
  </r>
  <r>
    <d v="2024-04-28T00:00:00"/>
    <x v="4"/>
    <x v="0"/>
    <n v="13464"/>
  </r>
  <r>
    <d v="2024-05-04T00:00:00"/>
    <x v="1"/>
    <x v="4"/>
    <n v="28558"/>
  </r>
  <r>
    <d v="2024-11-19T00:00:00"/>
    <x v="3"/>
    <x v="1"/>
    <n v="32442"/>
  </r>
  <r>
    <d v="2024-07-21T00:00:00"/>
    <x v="3"/>
    <x v="0"/>
    <n v="94853"/>
  </r>
  <r>
    <d v="2024-12-22T00:00:00"/>
    <x v="1"/>
    <x v="1"/>
    <n v="20149"/>
  </r>
  <r>
    <d v="2024-08-28T00:00:00"/>
    <x v="4"/>
    <x v="1"/>
    <n v="84611"/>
  </r>
  <r>
    <d v="2024-09-05T00:00:00"/>
    <x v="2"/>
    <x v="4"/>
    <n v="44822"/>
  </r>
  <r>
    <d v="2024-06-25T00:00:00"/>
    <x v="4"/>
    <x v="1"/>
    <n v="60803"/>
  </r>
  <r>
    <d v="2024-01-18T00:00:00"/>
    <x v="1"/>
    <x v="0"/>
    <n v="65495"/>
  </r>
  <r>
    <d v="2024-12-15T00:00:00"/>
    <x v="4"/>
    <x v="4"/>
    <n v="31969"/>
  </r>
  <r>
    <d v="2024-05-19T00:00:00"/>
    <x v="3"/>
    <x v="4"/>
    <n v="79177"/>
  </r>
  <r>
    <d v="2024-01-28T00:00:00"/>
    <x v="0"/>
    <x v="3"/>
    <n v="85230"/>
  </r>
  <r>
    <d v="2024-06-29T00:00:00"/>
    <x v="0"/>
    <x v="0"/>
    <n v="72171"/>
  </r>
  <r>
    <d v="2024-12-10T00:00:00"/>
    <x v="2"/>
    <x v="3"/>
    <n v="35056"/>
  </r>
  <r>
    <d v="2024-03-04T00:00:00"/>
    <x v="2"/>
    <x v="0"/>
    <n v="93909"/>
  </r>
  <r>
    <d v="2024-01-10T00:00:00"/>
    <x v="3"/>
    <x v="0"/>
    <n v="69476"/>
  </r>
  <r>
    <d v="2024-02-17T00:00:00"/>
    <x v="4"/>
    <x v="2"/>
    <n v="96499"/>
  </r>
  <r>
    <d v="2024-05-04T00:00:00"/>
    <x v="3"/>
    <x v="3"/>
    <n v="28847"/>
  </r>
  <r>
    <d v="2024-01-05T00:00:00"/>
    <x v="3"/>
    <x v="3"/>
    <n v="84452"/>
  </r>
  <r>
    <d v="2024-06-01T00:00:00"/>
    <x v="4"/>
    <x v="1"/>
    <n v="29916"/>
  </r>
  <r>
    <d v="2024-09-10T00:00:00"/>
    <x v="0"/>
    <x v="3"/>
    <n v="65788"/>
  </r>
  <r>
    <d v="2024-02-04T00:00:00"/>
    <x v="2"/>
    <x v="4"/>
    <n v="19719"/>
  </r>
  <r>
    <d v="2024-03-05T00:00:00"/>
    <x v="2"/>
    <x v="1"/>
    <n v="50505"/>
  </r>
  <r>
    <d v="2024-01-12T00:00:00"/>
    <x v="1"/>
    <x v="3"/>
    <n v="80316"/>
  </r>
  <r>
    <d v="2024-06-27T00:00:00"/>
    <x v="0"/>
    <x v="1"/>
    <n v="19050"/>
  </r>
  <r>
    <d v="2024-02-03T00:00:00"/>
    <x v="3"/>
    <x v="1"/>
    <n v="44295"/>
  </r>
  <r>
    <d v="2024-04-04T00:00:00"/>
    <x v="1"/>
    <x v="1"/>
    <n v="16072"/>
  </r>
  <r>
    <d v="2024-07-22T00:00:00"/>
    <x v="1"/>
    <x v="0"/>
    <n v="30126"/>
  </r>
  <r>
    <d v="2024-01-25T00:00:00"/>
    <x v="2"/>
    <x v="4"/>
    <n v="18720"/>
  </r>
  <r>
    <d v="2024-08-02T00:00:00"/>
    <x v="4"/>
    <x v="2"/>
    <n v="72128"/>
  </r>
  <r>
    <d v="2024-01-30T00:00:00"/>
    <x v="3"/>
    <x v="0"/>
    <n v="41063"/>
  </r>
  <r>
    <d v="2024-08-02T00:00:00"/>
    <x v="0"/>
    <x v="0"/>
    <n v="32872"/>
  </r>
  <r>
    <d v="2024-02-02T00:00:00"/>
    <x v="4"/>
    <x v="4"/>
    <n v="93197"/>
  </r>
  <r>
    <d v="2024-11-26T00:00:00"/>
    <x v="4"/>
    <x v="1"/>
    <n v="6643"/>
  </r>
  <r>
    <d v="2024-05-23T00:00:00"/>
    <x v="0"/>
    <x v="4"/>
    <n v="32774"/>
  </r>
  <r>
    <d v="2024-04-14T00:00:00"/>
    <x v="4"/>
    <x v="3"/>
    <n v="47918"/>
  </r>
  <r>
    <d v="2024-01-11T00:00:00"/>
    <x v="4"/>
    <x v="1"/>
    <n v="21486"/>
  </r>
  <r>
    <d v="2024-01-16T00:00:00"/>
    <x v="2"/>
    <x v="0"/>
    <n v="66812"/>
  </r>
  <r>
    <d v="2024-09-04T00:00:00"/>
    <x v="0"/>
    <x v="4"/>
    <n v="97984"/>
  </r>
  <r>
    <d v="2024-01-05T00:00:00"/>
    <x v="1"/>
    <x v="4"/>
    <n v="87858"/>
  </r>
  <r>
    <d v="2024-10-22T00:00:00"/>
    <x v="3"/>
    <x v="3"/>
    <n v="84748"/>
  </r>
  <r>
    <d v="2024-06-05T00:00:00"/>
    <x v="4"/>
    <x v="1"/>
    <n v="26780"/>
  </r>
  <r>
    <d v="2024-08-02T00:00:00"/>
    <x v="2"/>
    <x v="4"/>
    <n v="83303"/>
  </r>
  <r>
    <d v="2024-12-02T00:00:00"/>
    <x v="3"/>
    <x v="3"/>
    <n v="48773"/>
  </r>
  <r>
    <d v="2024-10-15T00:00:00"/>
    <x v="4"/>
    <x v="4"/>
    <n v="20208"/>
  </r>
  <r>
    <d v="2024-07-06T00:00:00"/>
    <x v="1"/>
    <x v="4"/>
    <n v="57807"/>
  </r>
  <r>
    <d v="2024-01-10T00:00:00"/>
    <x v="1"/>
    <x v="3"/>
    <n v="65415"/>
  </r>
  <r>
    <d v="2024-02-09T00:00:00"/>
    <x v="2"/>
    <x v="2"/>
    <n v="76174"/>
  </r>
  <r>
    <d v="2024-04-11T00:00:00"/>
    <x v="4"/>
    <x v="0"/>
    <n v="32749"/>
  </r>
  <r>
    <d v="2024-10-07T00:00:00"/>
    <x v="2"/>
    <x v="0"/>
    <n v="54649"/>
  </r>
  <r>
    <d v="2024-11-07T00:00:00"/>
    <x v="3"/>
    <x v="4"/>
    <n v="19658"/>
  </r>
  <r>
    <d v="2024-07-17T00:00:00"/>
    <x v="4"/>
    <x v="3"/>
    <n v="26725"/>
  </r>
  <r>
    <d v="2024-07-31T00:00:00"/>
    <x v="3"/>
    <x v="2"/>
    <n v="36099"/>
  </r>
  <r>
    <d v="2024-11-16T00:00:00"/>
    <x v="0"/>
    <x v="1"/>
    <n v="88871"/>
  </r>
  <r>
    <d v="2024-10-05T00:00:00"/>
    <x v="2"/>
    <x v="1"/>
    <n v="11578"/>
  </r>
  <r>
    <d v="2024-11-24T00:00:00"/>
    <x v="0"/>
    <x v="2"/>
    <n v="78758"/>
  </r>
  <r>
    <d v="2024-02-25T00:00:00"/>
    <x v="2"/>
    <x v="2"/>
    <n v="27614"/>
  </r>
  <r>
    <d v="2024-09-25T00:00:00"/>
    <x v="1"/>
    <x v="0"/>
    <n v="82264"/>
  </r>
  <r>
    <d v="2024-08-26T00:00:00"/>
    <x v="4"/>
    <x v="1"/>
    <n v="68537"/>
  </r>
  <r>
    <d v="2024-05-03T00:00:00"/>
    <x v="1"/>
    <x v="3"/>
    <n v="72340"/>
  </r>
  <r>
    <d v="2024-07-03T00:00:00"/>
    <x v="0"/>
    <x v="0"/>
    <n v="53159"/>
  </r>
  <r>
    <d v="2024-11-01T00:00:00"/>
    <x v="4"/>
    <x v="3"/>
    <n v="83634"/>
  </r>
  <r>
    <d v="2024-07-16T00:00:00"/>
    <x v="3"/>
    <x v="3"/>
    <n v="77129"/>
  </r>
  <r>
    <d v="2024-06-20T00:00:00"/>
    <x v="4"/>
    <x v="0"/>
    <n v="81731"/>
  </r>
  <r>
    <d v="2024-07-21T00:00:00"/>
    <x v="2"/>
    <x v="0"/>
    <n v="39974"/>
  </r>
  <r>
    <d v="2024-12-29T00:00:00"/>
    <x v="4"/>
    <x v="0"/>
    <n v="25541"/>
  </r>
  <r>
    <d v="2024-07-13T00:00:00"/>
    <x v="0"/>
    <x v="1"/>
    <n v="26774"/>
  </r>
  <r>
    <d v="2024-11-20T00:00:00"/>
    <x v="1"/>
    <x v="1"/>
    <n v="93618"/>
  </r>
  <r>
    <d v="2024-02-06T00:00:00"/>
    <x v="3"/>
    <x v="4"/>
    <n v="58569"/>
  </r>
  <r>
    <d v="2024-03-11T00:00:00"/>
    <x v="1"/>
    <x v="3"/>
    <n v="40521"/>
  </r>
  <r>
    <d v="2024-08-26T00:00:00"/>
    <x v="0"/>
    <x v="3"/>
    <n v="86198"/>
  </r>
  <r>
    <d v="2024-11-29T00:00:00"/>
    <x v="0"/>
    <x v="2"/>
    <n v="93355"/>
  </r>
  <r>
    <d v="2024-09-09T00:00:00"/>
    <x v="2"/>
    <x v="1"/>
    <n v="60969"/>
  </r>
  <r>
    <d v="2024-09-11T00:00:00"/>
    <x v="3"/>
    <x v="1"/>
    <n v="91841"/>
  </r>
  <r>
    <d v="2024-10-24T00:00:00"/>
    <x v="3"/>
    <x v="3"/>
    <n v="21399"/>
  </r>
  <r>
    <d v="2024-03-03T00:00:00"/>
    <x v="1"/>
    <x v="1"/>
    <n v="64665"/>
  </r>
  <r>
    <d v="2024-12-30T00:00:00"/>
    <x v="1"/>
    <x v="0"/>
    <n v="65427"/>
  </r>
  <r>
    <d v="2024-05-08T00:00:00"/>
    <x v="0"/>
    <x v="1"/>
    <n v="63119"/>
  </r>
  <r>
    <d v="2024-01-06T00:00:00"/>
    <x v="2"/>
    <x v="3"/>
    <n v="48178"/>
  </r>
  <r>
    <d v="2024-11-16T00:00:00"/>
    <x v="1"/>
    <x v="0"/>
    <n v="16917"/>
  </r>
  <r>
    <d v="2024-10-06T00:00:00"/>
    <x v="0"/>
    <x v="0"/>
    <n v="88235"/>
  </r>
  <r>
    <d v="2024-11-04T00:00:00"/>
    <x v="0"/>
    <x v="1"/>
    <n v="16376"/>
  </r>
  <r>
    <d v="2024-07-05T00:00:00"/>
    <x v="2"/>
    <x v="1"/>
    <n v="46124"/>
  </r>
  <r>
    <d v="2024-05-23T00:00:00"/>
    <x v="4"/>
    <x v="2"/>
    <n v="97934"/>
  </r>
  <r>
    <d v="2024-01-25T00:00:00"/>
    <x v="1"/>
    <x v="4"/>
    <n v="68910"/>
  </r>
  <r>
    <d v="2024-06-01T00:00:00"/>
    <x v="3"/>
    <x v="4"/>
    <n v="68248"/>
  </r>
  <r>
    <d v="2024-12-12T00:00:00"/>
    <x v="3"/>
    <x v="1"/>
    <n v="8285"/>
  </r>
  <r>
    <d v="2024-01-06T00:00:00"/>
    <x v="2"/>
    <x v="2"/>
    <n v="13583"/>
  </r>
  <r>
    <d v="2024-10-01T00:00:00"/>
    <x v="2"/>
    <x v="2"/>
    <n v="75020"/>
  </r>
  <r>
    <d v="2024-08-29T00:00:00"/>
    <x v="0"/>
    <x v="3"/>
    <n v="25681"/>
  </r>
  <r>
    <d v="2024-03-11T00:00:00"/>
    <x v="3"/>
    <x v="4"/>
    <n v="49429"/>
  </r>
  <r>
    <d v="2024-06-30T00:00:00"/>
    <x v="3"/>
    <x v="3"/>
    <n v="66496"/>
  </r>
  <r>
    <d v="2024-02-14T00:00:00"/>
    <x v="2"/>
    <x v="1"/>
    <n v="35354"/>
  </r>
  <r>
    <d v="2024-07-31T00:00:00"/>
    <x v="4"/>
    <x v="3"/>
    <n v="72604"/>
  </r>
  <r>
    <d v="2024-06-04T00:00:00"/>
    <x v="2"/>
    <x v="3"/>
    <n v="36766"/>
  </r>
  <r>
    <d v="2024-01-08T00:00:00"/>
    <x v="3"/>
    <x v="3"/>
    <n v="69400"/>
  </r>
  <r>
    <d v="2024-11-05T00:00:00"/>
    <x v="3"/>
    <x v="2"/>
    <n v="96350"/>
  </r>
  <r>
    <d v="2024-08-27T00:00:00"/>
    <x v="4"/>
    <x v="4"/>
    <n v="13116"/>
  </r>
  <r>
    <d v="2024-03-21T00:00:00"/>
    <x v="3"/>
    <x v="2"/>
    <n v="77777"/>
  </r>
  <r>
    <d v="2024-02-20T00:00:00"/>
    <x v="3"/>
    <x v="4"/>
    <n v="22925"/>
  </r>
  <r>
    <d v="2024-05-31T00:00:00"/>
    <x v="1"/>
    <x v="3"/>
    <n v="32372"/>
  </r>
  <r>
    <d v="2024-03-19T00:00:00"/>
    <x v="1"/>
    <x v="3"/>
    <n v="74258"/>
  </r>
  <r>
    <d v="2024-04-19T00:00:00"/>
    <x v="3"/>
    <x v="2"/>
    <n v="44274"/>
  </r>
  <r>
    <d v="2024-12-07T00:00:00"/>
    <x v="1"/>
    <x v="4"/>
    <n v="26123"/>
  </r>
  <r>
    <d v="2024-05-06T00:00:00"/>
    <x v="0"/>
    <x v="2"/>
    <n v="94181"/>
  </r>
  <r>
    <d v="2024-11-14T00:00:00"/>
    <x v="1"/>
    <x v="1"/>
    <n v="96881"/>
  </r>
  <r>
    <d v="2024-10-19T00:00:00"/>
    <x v="2"/>
    <x v="0"/>
    <n v="63650"/>
  </r>
  <r>
    <d v="2024-11-08T00:00:00"/>
    <x v="1"/>
    <x v="4"/>
    <n v="20051"/>
  </r>
  <r>
    <d v="2024-08-14T00:00:00"/>
    <x v="0"/>
    <x v="3"/>
    <n v="55652"/>
  </r>
  <r>
    <d v="2024-10-24T00:00:00"/>
    <x v="1"/>
    <x v="1"/>
    <n v="75037"/>
  </r>
  <r>
    <d v="2024-10-28T00:00:00"/>
    <x v="2"/>
    <x v="3"/>
    <n v="98642"/>
  </r>
  <r>
    <d v="2024-02-27T00:00:00"/>
    <x v="0"/>
    <x v="4"/>
    <n v="89145"/>
  </r>
  <r>
    <d v="2024-09-27T00:00:00"/>
    <x v="1"/>
    <x v="1"/>
    <n v="9508"/>
  </r>
  <r>
    <d v="2024-09-30T00:00:00"/>
    <x v="0"/>
    <x v="2"/>
    <n v="57985"/>
  </r>
  <r>
    <d v="2024-12-17T00:00:00"/>
    <x v="1"/>
    <x v="1"/>
    <n v="62665"/>
  </r>
  <r>
    <d v="2024-01-23T00:00:00"/>
    <x v="0"/>
    <x v="1"/>
    <n v="11569"/>
  </r>
  <r>
    <d v="2024-05-12T00:00:00"/>
    <x v="4"/>
    <x v="4"/>
    <n v="13903"/>
  </r>
  <r>
    <d v="2024-05-07T00:00:00"/>
    <x v="1"/>
    <x v="3"/>
    <n v="72858"/>
  </r>
  <r>
    <d v="2024-11-09T00:00:00"/>
    <x v="2"/>
    <x v="2"/>
    <n v="12615"/>
  </r>
  <r>
    <d v="2024-04-15T00:00:00"/>
    <x v="3"/>
    <x v="1"/>
    <n v="67422"/>
  </r>
  <r>
    <d v="2024-04-18T00:00:00"/>
    <x v="1"/>
    <x v="0"/>
    <n v="82374"/>
  </r>
  <r>
    <d v="2024-01-07T00:00:00"/>
    <x v="1"/>
    <x v="3"/>
    <n v="44166"/>
  </r>
  <r>
    <d v="2024-03-17T00:00:00"/>
    <x v="2"/>
    <x v="0"/>
    <n v="91413"/>
  </r>
  <r>
    <d v="2024-01-23T00:00:00"/>
    <x v="2"/>
    <x v="0"/>
    <n v="77579"/>
  </r>
  <r>
    <d v="2024-08-27T00:00:00"/>
    <x v="3"/>
    <x v="2"/>
    <n v="82396"/>
  </r>
  <r>
    <d v="2024-07-30T00:00:00"/>
    <x v="1"/>
    <x v="3"/>
    <n v="73900"/>
  </r>
  <r>
    <d v="2024-06-07T00:00:00"/>
    <x v="4"/>
    <x v="2"/>
    <n v="89327"/>
  </r>
  <r>
    <d v="2024-07-14T00:00:00"/>
    <x v="4"/>
    <x v="2"/>
    <n v="50818"/>
  </r>
  <r>
    <d v="2024-07-14T00:00:00"/>
    <x v="2"/>
    <x v="4"/>
    <n v="23526"/>
  </r>
  <r>
    <d v="2024-12-07T00:00:00"/>
    <x v="4"/>
    <x v="4"/>
    <n v="73256"/>
  </r>
  <r>
    <d v="2024-03-09T00:00:00"/>
    <x v="0"/>
    <x v="3"/>
    <n v="91799"/>
  </r>
  <r>
    <d v="2024-09-04T00:00:00"/>
    <x v="0"/>
    <x v="3"/>
    <n v="7124"/>
  </r>
  <r>
    <d v="2024-06-06T00:00:00"/>
    <x v="0"/>
    <x v="2"/>
    <n v="67001"/>
  </r>
  <r>
    <d v="2024-08-14T00:00:00"/>
    <x v="2"/>
    <x v="2"/>
    <n v="6080"/>
  </r>
  <r>
    <d v="2024-02-23T00:00:00"/>
    <x v="0"/>
    <x v="1"/>
    <n v="52845"/>
  </r>
  <r>
    <d v="2024-10-05T00:00:00"/>
    <x v="1"/>
    <x v="4"/>
    <n v="93821"/>
  </r>
  <r>
    <d v="2024-01-26T00:00:00"/>
    <x v="2"/>
    <x v="3"/>
    <n v="15843"/>
  </r>
  <r>
    <d v="2024-05-08T00:00:00"/>
    <x v="4"/>
    <x v="4"/>
    <n v="39788"/>
  </r>
  <r>
    <d v="2024-08-13T00:00:00"/>
    <x v="1"/>
    <x v="1"/>
    <n v="46884"/>
  </r>
  <r>
    <d v="2024-06-26T00:00:00"/>
    <x v="2"/>
    <x v="0"/>
    <n v="22859"/>
  </r>
  <r>
    <d v="2024-04-14T00:00:00"/>
    <x v="0"/>
    <x v="1"/>
    <n v="91973"/>
  </r>
  <r>
    <d v="2024-07-13T00:00:00"/>
    <x v="3"/>
    <x v="3"/>
    <n v="95645"/>
  </r>
  <r>
    <d v="2024-07-31T00:00:00"/>
    <x v="1"/>
    <x v="0"/>
    <n v="79585"/>
  </r>
  <r>
    <d v="2024-05-09T00:00:00"/>
    <x v="4"/>
    <x v="2"/>
    <n v="84720"/>
  </r>
  <r>
    <d v="2024-06-12T00:00:00"/>
    <x v="0"/>
    <x v="1"/>
    <n v="96975"/>
  </r>
  <r>
    <d v="2024-05-28T00:00:00"/>
    <x v="1"/>
    <x v="0"/>
    <n v="95844"/>
  </r>
  <r>
    <d v="2024-06-23T00:00:00"/>
    <x v="2"/>
    <x v="2"/>
    <n v="75394"/>
  </r>
  <r>
    <d v="2024-10-10T00:00:00"/>
    <x v="4"/>
    <x v="4"/>
    <n v="62709"/>
  </r>
  <r>
    <d v="2024-01-08T00:00:00"/>
    <x v="1"/>
    <x v="0"/>
    <n v="60382"/>
  </r>
  <r>
    <d v="2024-11-03T00:00:00"/>
    <x v="1"/>
    <x v="3"/>
    <n v="49114"/>
  </r>
  <r>
    <d v="2024-02-27T00:00:00"/>
    <x v="3"/>
    <x v="0"/>
    <n v="18256"/>
  </r>
  <r>
    <d v="2024-02-18T00:00:00"/>
    <x v="4"/>
    <x v="0"/>
    <n v="27173"/>
  </r>
  <r>
    <d v="2024-10-12T00:00:00"/>
    <x v="4"/>
    <x v="1"/>
    <n v="31396"/>
  </r>
  <r>
    <d v="2024-02-08T00:00:00"/>
    <x v="1"/>
    <x v="2"/>
    <n v="19874"/>
  </r>
  <r>
    <d v="2024-08-07T00:00:00"/>
    <x v="0"/>
    <x v="0"/>
    <n v="23024"/>
  </r>
  <r>
    <d v="2024-05-06T00:00:00"/>
    <x v="2"/>
    <x v="0"/>
    <n v="70726"/>
  </r>
  <r>
    <d v="2024-01-15T00:00:00"/>
    <x v="2"/>
    <x v="4"/>
    <n v="41820"/>
  </r>
  <r>
    <d v="2024-06-18T00:00:00"/>
    <x v="2"/>
    <x v="3"/>
    <n v="49803"/>
  </r>
  <r>
    <d v="2024-04-16T00:00:00"/>
    <x v="0"/>
    <x v="4"/>
    <n v="81472"/>
  </r>
  <r>
    <d v="2024-10-07T00:00:00"/>
    <x v="1"/>
    <x v="4"/>
    <n v="55278"/>
  </r>
  <r>
    <d v="2024-12-14T00:00:00"/>
    <x v="0"/>
    <x v="4"/>
    <n v="33336"/>
  </r>
  <r>
    <d v="2024-11-05T00:00:00"/>
    <x v="1"/>
    <x v="4"/>
    <n v="64155"/>
  </r>
  <r>
    <d v="2024-02-22T00:00:00"/>
    <x v="0"/>
    <x v="0"/>
    <n v="87322"/>
  </r>
  <r>
    <d v="2024-05-03T00:00:00"/>
    <x v="1"/>
    <x v="4"/>
    <n v="50519"/>
  </r>
  <r>
    <d v="2024-09-23T00:00:00"/>
    <x v="1"/>
    <x v="4"/>
    <n v="81400"/>
  </r>
  <r>
    <d v="2024-06-16T00:00:00"/>
    <x v="1"/>
    <x v="1"/>
    <n v="99580"/>
  </r>
  <r>
    <d v="2024-07-14T00:00:00"/>
    <x v="4"/>
    <x v="4"/>
    <n v="56413"/>
  </r>
  <r>
    <d v="2024-07-16T00:00:00"/>
    <x v="3"/>
    <x v="0"/>
    <n v="45116"/>
  </r>
  <r>
    <d v="2024-03-07T00:00:00"/>
    <x v="4"/>
    <x v="0"/>
    <n v="24532"/>
  </r>
  <r>
    <d v="2024-06-06T00:00:00"/>
    <x v="3"/>
    <x v="1"/>
    <n v="73743"/>
  </r>
  <r>
    <d v="2024-10-23T00:00:00"/>
    <x v="3"/>
    <x v="2"/>
    <n v="85332"/>
  </r>
  <r>
    <d v="2024-05-24T00:00:00"/>
    <x v="4"/>
    <x v="2"/>
    <n v="39579"/>
  </r>
  <r>
    <d v="2024-03-27T00:00:00"/>
    <x v="3"/>
    <x v="4"/>
    <n v="90835"/>
  </r>
  <r>
    <d v="2024-03-14T00:00:00"/>
    <x v="0"/>
    <x v="0"/>
    <n v="56803"/>
  </r>
  <r>
    <d v="2024-04-06T00:00:00"/>
    <x v="3"/>
    <x v="4"/>
    <n v="88791"/>
  </r>
  <r>
    <d v="2024-08-31T00:00:00"/>
    <x v="2"/>
    <x v="3"/>
    <n v="34765"/>
  </r>
  <r>
    <d v="2024-06-18T00:00:00"/>
    <x v="4"/>
    <x v="1"/>
    <n v="69730"/>
  </r>
  <r>
    <d v="2024-04-15T00:00:00"/>
    <x v="3"/>
    <x v="1"/>
    <n v="19419"/>
  </r>
  <r>
    <d v="2024-02-17T00:00:00"/>
    <x v="1"/>
    <x v="3"/>
    <n v="24175"/>
  </r>
  <r>
    <d v="2024-02-19T00:00:00"/>
    <x v="4"/>
    <x v="0"/>
    <n v="50254"/>
  </r>
  <r>
    <d v="2024-10-28T00:00:00"/>
    <x v="3"/>
    <x v="2"/>
    <n v="98000"/>
  </r>
  <r>
    <d v="2024-10-12T00:00:00"/>
    <x v="3"/>
    <x v="1"/>
    <n v="25621"/>
  </r>
  <r>
    <d v="2024-09-09T00:00:00"/>
    <x v="0"/>
    <x v="1"/>
    <n v="40082"/>
  </r>
  <r>
    <d v="2024-05-10T00:00:00"/>
    <x v="1"/>
    <x v="0"/>
    <n v="47434"/>
  </r>
  <r>
    <d v="2024-01-08T00:00:00"/>
    <x v="2"/>
    <x v="1"/>
    <n v="48162"/>
  </r>
  <r>
    <d v="2024-02-21T00:00:00"/>
    <x v="3"/>
    <x v="2"/>
    <n v="50240"/>
  </r>
  <r>
    <d v="2024-08-23T00:00:00"/>
    <x v="2"/>
    <x v="1"/>
    <n v="82127"/>
  </r>
  <r>
    <d v="2024-02-29T00:00:00"/>
    <x v="4"/>
    <x v="2"/>
    <n v="44093"/>
  </r>
  <r>
    <d v="2024-02-26T00:00:00"/>
    <x v="1"/>
    <x v="0"/>
    <n v="59754"/>
  </r>
  <r>
    <d v="2024-12-22T00:00:00"/>
    <x v="3"/>
    <x v="2"/>
    <n v="33001"/>
  </r>
  <r>
    <d v="2024-03-23T00:00:00"/>
    <x v="4"/>
    <x v="1"/>
    <n v="8025"/>
  </r>
  <r>
    <d v="2024-09-12T00:00:00"/>
    <x v="1"/>
    <x v="3"/>
    <n v="19515"/>
  </r>
  <r>
    <d v="2024-05-06T00:00:00"/>
    <x v="4"/>
    <x v="1"/>
    <n v="95876"/>
  </r>
  <r>
    <d v="2024-04-15T00:00:00"/>
    <x v="3"/>
    <x v="1"/>
    <n v="7732"/>
  </r>
  <r>
    <d v="2024-03-29T00:00:00"/>
    <x v="3"/>
    <x v="1"/>
    <n v="6048"/>
  </r>
  <r>
    <d v="2024-09-03T00:00:00"/>
    <x v="0"/>
    <x v="0"/>
    <n v="79306"/>
  </r>
  <r>
    <d v="2024-06-23T00:00:00"/>
    <x v="1"/>
    <x v="2"/>
    <n v="60876"/>
  </r>
  <r>
    <d v="2024-02-24T00:00:00"/>
    <x v="0"/>
    <x v="4"/>
    <n v="11427"/>
  </r>
  <r>
    <d v="2024-07-13T00:00:00"/>
    <x v="0"/>
    <x v="3"/>
    <n v="28890"/>
  </r>
  <r>
    <d v="2024-05-06T00:00:00"/>
    <x v="1"/>
    <x v="2"/>
    <n v="6392"/>
  </r>
  <r>
    <d v="2024-06-26T00:00:00"/>
    <x v="4"/>
    <x v="1"/>
    <n v="80881"/>
  </r>
  <r>
    <d v="2024-06-06T00:00:00"/>
    <x v="3"/>
    <x v="1"/>
    <n v="36842"/>
  </r>
  <r>
    <d v="2024-02-27T00:00:00"/>
    <x v="1"/>
    <x v="0"/>
    <n v="65266"/>
  </r>
  <r>
    <d v="2024-11-05T00:00:00"/>
    <x v="3"/>
    <x v="2"/>
    <n v="52693"/>
  </r>
  <r>
    <d v="2024-02-21T00:00:00"/>
    <x v="4"/>
    <x v="1"/>
    <n v="65050"/>
  </r>
  <r>
    <d v="2024-07-30T00:00:00"/>
    <x v="0"/>
    <x v="2"/>
    <n v="35890"/>
  </r>
  <r>
    <d v="2024-07-20T00:00:00"/>
    <x v="1"/>
    <x v="1"/>
    <n v="83555"/>
  </r>
  <r>
    <d v="2024-10-13T00:00:00"/>
    <x v="4"/>
    <x v="2"/>
    <n v="51039"/>
  </r>
  <r>
    <d v="2024-10-24T00:00:00"/>
    <x v="1"/>
    <x v="3"/>
    <n v="10828"/>
  </r>
  <r>
    <d v="2024-03-27T00:00:00"/>
    <x v="0"/>
    <x v="1"/>
    <n v="62791"/>
  </r>
  <r>
    <d v="2024-10-31T00:00:00"/>
    <x v="1"/>
    <x v="4"/>
    <n v="22877"/>
  </r>
  <r>
    <d v="2024-10-31T00:00:00"/>
    <x v="4"/>
    <x v="0"/>
    <n v="30371"/>
  </r>
  <r>
    <d v="2024-03-27T00:00:00"/>
    <x v="2"/>
    <x v="4"/>
    <n v="84646"/>
  </r>
  <r>
    <d v="2024-04-27T00:00:00"/>
    <x v="2"/>
    <x v="1"/>
    <n v="42116"/>
  </r>
  <r>
    <d v="2024-02-01T00:00:00"/>
    <x v="3"/>
    <x v="4"/>
    <n v="49699"/>
  </r>
  <r>
    <d v="2024-09-07T00:00:00"/>
    <x v="0"/>
    <x v="2"/>
    <n v="43882"/>
  </r>
  <r>
    <d v="2024-03-04T00:00:00"/>
    <x v="0"/>
    <x v="2"/>
    <n v="97292"/>
  </r>
  <r>
    <d v="2024-06-16T00:00:00"/>
    <x v="3"/>
    <x v="2"/>
    <n v="80761"/>
  </r>
  <r>
    <d v="2024-08-05T00:00:00"/>
    <x v="3"/>
    <x v="4"/>
    <n v="89584"/>
  </r>
  <r>
    <d v="2024-04-14T00:00:00"/>
    <x v="2"/>
    <x v="3"/>
    <n v="57346"/>
  </r>
  <r>
    <d v="2024-03-30T00:00:00"/>
    <x v="3"/>
    <x v="2"/>
    <n v="79013"/>
  </r>
  <r>
    <d v="2024-02-21T00:00:00"/>
    <x v="1"/>
    <x v="0"/>
    <n v="24407"/>
  </r>
  <r>
    <d v="2024-04-06T00:00:00"/>
    <x v="2"/>
    <x v="0"/>
    <n v="17156"/>
  </r>
  <r>
    <d v="2024-06-02T00:00:00"/>
    <x v="0"/>
    <x v="3"/>
    <n v="50243"/>
  </r>
  <r>
    <d v="2024-01-04T00:00:00"/>
    <x v="2"/>
    <x v="0"/>
    <n v="60672"/>
  </r>
  <r>
    <d v="2024-10-08T00:00:00"/>
    <x v="2"/>
    <x v="1"/>
    <n v="81929"/>
  </r>
  <r>
    <d v="2024-04-22T00:00:00"/>
    <x v="2"/>
    <x v="2"/>
    <n v="68192"/>
  </r>
  <r>
    <d v="2024-10-13T00:00:00"/>
    <x v="3"/>
    <x v="2"/>
    <n v="83610"/>
  </r>
  <r>
    <d v="2024-05-28T00:00:00"/>
    <x v="1"/>
    <x v="0"/>
    <n v="46361"/>
  </r>
  <r>
    <d v="2024-10-22T00:00:00"/>
    <x v="4"/>
    <x v="4"/>
    <n v="81058"/>
  </r>
  <r>
    <d v="2024-07-13T00:00:00"/>
    <x v="0"/>
    <x v="2"/>
    <n v="41898"/>
  </r>
  <r>
    <d v="2024-06-14T00:00:00"/>
    <x v="4"/>
    <x v="0"/>
    <n v="70807"/>
  </r>
  <r>
    <d v="2024-04-06T00:00:00"/>
    <x v="2"/>
    <x v="4"/>
    <n v="87778"/>
  </r>
  <r>
    <d v="2024-12-20T00:00:00"/>
    <x v="0"/>
    <x v="4"/>
    <n v="96966"/>
  </r>
  <r>
    <d v="2024-09-28T00:00:00"/>
    <x v="4"/>
    <x v="3"/>
    <n v="89283"/>
  </r>
  <r>
    <d v="2024-08-14T00:00:00"/>
    <x v="1"/>
    <x v="1"/>
    <n v="64036"/>
  </r>
  <r>
    <d v="2024-09-30T00:00:00"/>
    <x v="0"/>
    <x v="3"/>
    <n v="79553"/>
  </r>
  <r>
    <d v="2024-01-07T00:00:00"/>
    <x v="1"/>
    <x v="3"/>
    <n v="24618"/>
  </r>
  <r>
    <d v="2024-07-09T00:00:00"/>
    <x v="0"/>
    <x v="3"/>
    <n v="50832"/>
  </r>
  <r>
    <d v="2024-12-28T00:00:00"/>
    <x v="1"/>
    <x v="3"/>
    <n v="13345"/>
  </r>
  <r>
    <d v="2024-03-18T00:00:00"/>
    <x v="2"/>
    <x v="0"/>
    <n v="38226"/>
  </r>
  <r>
    <d v="2024-06-29T00:00:00"/>
    <x v="1"/>
    <x v="4"/>
    <n v="58949"/>
  </r>
  <r>
    <d v="2024-11-13T00:00:00"/>
    <x v="1"/>
    <x v="4"/>
    <n v="64813"/>
  </r>
  <r>
    <d v="2024-08-09T00:00:00"/>
    <x v="2"/>
    <x v="1"/>
    <n v="327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n v="545422"/>
  </r>
  <r>
    <n v="1"/>
    <x v="1"/>
    <n v="1218773"/>
  </r>
  <r>
    <n v="1"/>
    <x v="2"/>
    <n v="920616"/>
  </r>
  <r>
    <n v="1"/>
    <x v="3"/>
    <n v="551190"/>
  </r>
  <r>
    <n v="1"/>
    <x v="4"/>
    <n v="671771"/>
  </r>
  <r>
    <n v="2"/>
    <x v="0"/>
    <n v="1252534"/>
  </r>
  <r>
    <n v="2"/>
    <x v="1"/>
    <n v="808983"/>
  </r>
  <r>
    <n v="2"/>
    <x v="2"/>
    <n v="679459"/>
  </r>
  <r>
    <n v="2"/>
    <x v="3"/>
    <n v="800733"/>
  </r>
  <r>
    <n v="2"/>
    <x v="4"/>
    <n v="1276312"/>
  </r>
  <r>
    <n v="3"/>
    <x v="0"/>
    <n v="1446290"/>
  </r>
  <r>
    <n v="3"/>
    <x v="1"/>
    <n v="919494"/>
  </r>
  <r>
    <n v="3"/>
    <x v="2"/>
    <n v="1175510"/>
  </r>
  <r>
    <n v="3"/>
    <x v="3"/>
    <n v="927775"/>
  </r>
  <r>
    <n v="3"/>
    <x v="4"/>
    <n v="1036964"/>
  </r>
  <r>
    <n v="4"/>
    <x v="0"/>
    <n v="917165"/>
  </r>
  <r>
    <n v="4"/>
    <x v="1"/>
    <n v="826929"/>
  </r>
  <r>
    <n v="4"/>
    <x v="2"/>
    <n v="989520"/>
  </r>
  <r>
    <n v="4"/>
    <x v="3"/>
    <n v="845861"/>
  </r>
  <r>
    <n v="4"/>
    <x v="4"/>
    <n v="1316357"/>
  </r>
  <r>
    <n v="5"/>
    <x v="0"/>
    <n v="528927"/>
  </r>
  <r>
    <n v="5"/>
    <x v="1"/>
    <n v="1321662"/>
  </r>
  <r>
    <n v="5"/>
    <x v="2"/>
    <n v="909535"/>
  </r>
  <r>
    <n v="5"/>
    <x v="3"/>
    <n v="689268"/>
  </r>
  <r>
    <n v="5"/>
    <x v="4"/>
    <n v="522867"/>
  </r>
  <r>
    <n v="6"/>
    <x v="0"/>
    <n v="1005412"/>
  </r>
  <r>
    <n v="6"/>
    <x v="1"/>
    <n v="890801"/>
  </r>
  <r>
    <n v="6"/>
    <x v="2"/>
    <n v="560350"/>
  </r>
  <r>
    <n v="6"/>
    <x v="3"/>
    <n v="1254963"/>
  </r>
  <r>
    <n v="6"/>
    <x v="4"/>
    <n v="1453651"/>
  </r>
  <r>
    <n v="7"/>
    <x v="0"/>
    <n v="1113758"/>
  </r>
  <r>
    <n v="7"/>
    <x v="1"/>
    <n v="1411883"/>
  </r>
  <r>
    <n v="7"/>
    <x v="2"/>
    <n v="788849"/>
  </r>
  <r>
    <n v="7"/>
    <x v="3"/>
    <n v="915447"/>
  </r>
  <r>
    <n v="7"/>
    <x v="4"/>
    <n v="1291119"/>
  </r>
  <r>
    <n v="8"/>
    <x v="0"/>
    <n v="629660"/>
  </r>
  <r>
    <n v="8"/>
    <x v="1"/>
    <n v="870402"/>
  </r>
  <r>
    <n v="8"/>
    <x v="2"/>
    <n v="1398547"/>
  </r>
  <r>
    <n v="8"/>
    <x v="3"/>
    <n v="1445455"/>
  </r>
  <r>
    <n v="8"/>
    <x v="4"/>
    <n v="1003641"/>
  </r>
  <r>
    <n v="9"/>
    <x v="0"/>
    <n v="645145"/>
  </r>
  <r>
    <n v="9"/>
    <x v="1"/>
    <n v="1101199"/>
  </r>
  <r>
    <n v="9"/>
    <x v="2"/>
    <n v="1165066"/>
  </r>
  <r>
    <n v="9"/>
    <x v="3"/>
    <n v="949640"/>
  </r>
  <r>
    <n v="9"/>
    <x v="4"/>
    <n v="1171842"/>
  </r>
  <r>
    <n v="10"/>
    <x v="0"/>
    <n v="854896"/>
  </r>
  <r>
    <n v="10"/>
    <x v="1"/>
    <n v="913764"/>
  </r>
  <r>
    <n v="10"/>
    <x v="2"/>
    <n v="820615"/>
  </r>
  <r>
    <n v="10"/>
    <x v="3"/>
    <n v="1401783"/>
  </r>
  <r>
    <n v="10"/>
    <x v="4"/>
    <n v="1334646"/>
  </r>
  <r>
    <n v="11"/>
    <x v="0"/>
    <n v="511233"/>
  </r>
  <r>
    <n v="11"/>
    <x v="1"/>
    <n v="636222"/>
  </r>
  <r>
    <n v="11"/>
    <x v="2"/>
    <n v="740964"/>
  </r>
  <r>
    <n v="11"/>
    <x v="3"/>
    <n v="1352788"/>
  </r>
  <r>
    <n v="11"/>
    <x v="4"/>
    <n v="1347502"/>
  </r>
  <r>
    <n v="12"/>
    <x v="0"/>
    <n v="1485630"/>
  </r>
  <r>
    <n v="12"/>
    <x v="1"/>
    <n v="1160051"/>
  </r>
  <r>
    <n v="12"/>
    <x v="2"/>
    <n v="810827"/>
  </r>
  <r>
    <n v="12"/>
    <x v="3"/>
    <n v="724910"/>
  </r>
  <r>
    <n v="12"/>
    <x v="4"/>
    <n v="56535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"/>
    <s v="Production"/>
    <n v="545422"/>
    <x v="0"/>
  </r>
  <r>
    <n v="1"/>
    <s v="Sales"/>
    <n v="1218773"/>
    <x v="0"/>
  </r>
  <r>
    <n v="1"/>
    <s v="HR"/>
    <n v="920616"/>
    <x v="0"/>
  </r>
  <r>
    <n v="1"/>
    <s v="Admin"/>
    <n v="551190"/>
    <x v="0"/>
  </r>
  <r>
    <n v="1"/>
    <s v="Finance"/>
    <n v="671771"/>
    <x v="0"/>
  </r>
  <r>
    <n v="2"/>
    <s v="Production"/>
    <n v="1252534"/>
    <x v="1"/>
  </r>
  <r>
    <n v="2"/>
    <s v="Sales"/>
    <n v="808983"/>
    <x v="1"/>
  </r>
  <r>
    <n v="2"/>
    <s v="HR"/>
    <n v="679459"/>
    <x v="1"/>
  </r>
  <r>
    <n v="2"/>
    <s v="Admin"/>
    <n v="800733"/>
    <x v="1"/>
  </r>
  <r>
    <n v="2"/>
    <s v="Finance"/>
    <n v="1276312"/>
    <x v="1"/>
  </r>
  <r>
    <n v="3"/>
    <s v="Production"/>
    <n v="1446290"/>
    <x v="2"/>
  </r>
  <r>
    <n v="3"/>
    <s v="Sales"/>
    <n v="919494"/>
    <x v="2"/>
  </r>
  <r>
    <n v="3"/>
    <s v="HR"/>
    <n v="1175510"/>
    <x v="2"/>
  </r>
  <r>
    <n v="3"/>
    <s v="Admin"/>
    <n v="927775"/>
    <x v="2"/>
  </r>
  <r>
    <n v="3"/>
    <s v="Finance"/>
    <n v="1036964"/>
    <x v="2"/>
  </r>
  <r>
    <n v="4"/>
    <s v="Production"/>
    <n v="917165"/>
    <x v="3"/>
  </r>
  <r>
    <n v="4"/>
    <s v="Sales"/>
    <n v="826929"/>
    <x v="3"/>
  </r>
  <r>
    <n v="4"/>
    <s v="HR"/>
    <n v="989520"/>
    <x v="3"/>
  </r>
  <r>
    <n v="4"/>
    <s v="Admin"/>
    <n v="845861"/>
    <x v="3"/>
  </r>
  <r>
    <n v="4"/>
    <s v="Finance"/>
    <n v="1316357"/>
    <x v="3"/>
  </r>
  <r>
    <n v="5"/>
    <s v="Production"/>
    <n v="528927"/>
    <x v="4"/>
  </r>
  <r>
    <n v="5"/>
    <s v="Sales"/>
    <n v="1321662"/>
    <x v="4"/>
  </r>
  <r>
    <n v="5"/>
    <s v="HR"/>
    <n v="909535"/>
    <x v="4"/>
  </r>
  <r>
    <n v="5"/>
    <s v="Admin"/>
    <n v="689268"/>
    <x v="4"/>
  </r>
  <r>
    <n v="5"/>
    <s v="Finance"/>
    <n v="522867"/>
    <x v="4"/>
  </r>
  <r>
    <n v="6"/>
    <s v="Production"/>
    <n v="1005412"/>
    <x v="5"/>
  </r>
  <r>
    <n v="6"/>
    <s v="Sales"/>
    <n v="890801"/>
    <x v="5"/>
  </r>
  <r>
    <n v="6"/>
    <s v="HR"/>
    <n v="560350"/>
    <x v="5"/>
  </r>
  <r>
    <n v="6"/>
    <s v="Admin"/>
    <n v="1254963"/>
    <x v="5"/>
  </r>
  <r>
    <n v="6"/>
    <s v="Finance"/>
    <n v="1453651"/>
    <x v="5"/>
  </r>
  <r>
    <n v="7"/>
    <s v="Production"/>
    <n v="1113758"/>
    <x v="6"/>
  </r>
  <r>
    <n v="7"/>
    <s v="Sales"/>
    <n v="1411883"/>
    <x v="6"/>
  </r>
  <r>
    <n v="7"/>
    <s v="HR"/>
    <n v="788849"/>
    <x v="6"/>
  </r>
  <r>
    <n v="7"/>
    <s v="Admin"/>
    <n v="915447"/>
    <x v="6"/>
  </r>
  <r>
    <n v="7"/>
    <s v="Finance"/>
    <n v="1291119"/>
    <x v="6"/>
  </r>
  <r>
    <n v="8"/>
    <s v="Production"/>
    <n v="629660"/>
    <x v="7"/>
  </r>
  <r>
    <n v="8"/>
    <s v="Sales"/>
    <n v="870402"/>
    <x v="7"/>
  </r>
  <r>
    <n v="8"/>
    <s v="HR"/>
    <n v="1398547"/>
    <x v="7"/>
  </r>
  <r>
    <n v="8"/>
    <s v="Admin"/>
    <n v="1445455"/>
    <x v="7"/>
  </r>
  <r>
    <n v="8"/>
    <s v="Finance"/>
    <n v="1003641"/>
    <x v="7"/>
  </r>
  <r>
    <n v="9"/>
    <s v="Production"/>
    <n v="645145"/>
    <x v="8"/>
  </r>
  <r>
    <n v="9"/>
    <s v="Sales"/>
    <n v="1101199"/>
    <x v="8"/>
  </r>
  <r>
    <n v="9"/>
    <s v="HR"/>
    <n v="1165066"/>
    <x v="8"/>
  </r>
  <r>
    <n v="9"/>
    <s v="Admin"/>
    <n v="949640"/>
    <x v="8"/>
  </r>
  <r>
    <n v="9"/>
    <s v="Finance"/>
    <n v="1171842"/>
    <x v="8"/>
  </r>
  <r>
    <n v="10"/>
    <s v="Production"/>
    <n v="854896"/>
    <x v="9"/>
  </r>
  <r>
    <n v="10"/>
    <s v="Sales"/>
    <n v="913764"/>
    <x v="9"/>
  </r>
  <r>
    <n v="10"/>
    <s v="HR"/>
    <n v="820615"/>
    <x v="9"/>
  </r>
  <r>
    <n v="10"/>
    <s v="Admin"/>
    <n v="1401783"/>
    <x v="9"/>
  </r>
  <r>
    <n v="10"/>
    <s v="Finance"/>
    <n v="1334646"/>
    <x v="9"/>
  </r>
  <r>
    <n v="11"/>
    <s v="Production"/>
    <n v="511233"/>
    <x v="10"/>
  </r>
  <r>
    <n v="11"/>
    <s v="Sales"/>
    <n v="636222"/>
    <x v="10"/>
  </r>
  <r>
    <n v="11"/>
    <s v="HR"/>
    <n v="740964"/>
    <x v="10"/>
  </r>
  <r>
    <n v="11"/>
    <s v="Admin"/>
    <n v="1352788"/>
    <x v="10"/>
  </r>
  <r>
    <n v="11"/>
    <s v="Finance"/>
    <n v="1347502"/>
    <x v="10"/>
  </r>
  <r>
    <n v="12"/>
    <s v="Production"/>
    <n v="1485630"/>
    <x v="11"/>
  </r>
  <r>
    <n v="12"/>
    <s v="Sales"/>
    <n v="1160051"/>
    <x v="11"/>
  </r>
  <r>
    <n v="12"/>
    <s v="HR"/>
    <n v="810827"/>
    <x v="11"/>
  </r>
  <r>
    <n v="12"/>
    <s v="Admin"/>
    <n v="724910"/>
    <x v="11"/>
  </r>
  <r>
    <n v="12"/>
    <s v="Finance"/>
    <n v="565358"/>
    <x v="11"/>
  </r>
  <r>
    <m/>
    <m/>
    <m/>
    <x v="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4-01-06T00:00:00"/>
    <s v="INV00004"/>
    <s v="Generator"/>
    <n v="3"/>
    <n v="11653"/>
    <n v="34959"/>
    <s v="South"/>
    <s v="ABC Ltd"/>
    <x v="0"/>
  </r>
  <r>
    <d v="2024-01-17T00:00:00"/>
    <s v="INV00009"/>
    <s v="Compressor"/>
    <n v="4"/>
    <n v="41584"/>
    <n v="166336"/>
    <s v="East"/>
    <s v="ABC Ltd"/>
    <x v="0"/>
  </r>
  <r>
    <d v="2024-01-27T00:00:00"/>
    <s v="INV00010"/>
    <s v="Pump"/>
    <n v="19"/>
    <n v="10960"/>
    <n v="208240"/>
    <s v="South"/>
    <s v="Global Corp"/>
    <x v="0"/>
  </r>
  <r>
    <d v="2024-01-13T00:00:00"/>
    <s v="INV00022"/>
    <s v="Pump"/>
    <n v="10"/>
    <n v="41598"/>
    <n v="415980"/>
    <s v="North"/>
    <s v="Skyline Ltd"/>
    <x v="0"/>
  </r>
  <r>
    <d v="2024-01-07T00:00:00"/>
    <s v="INV00032"/>
    <s v="Valve"/>
    <n v="32"/>
    <n v="11985"/>
    <n v="383520"/>
    <s v="West"/>
    <s v="XYZ Pvt Ltd"/>
    <x v="0"/>
  </r>
  <r>
    <d v="2024-01-27T00:00:00"/>
    <s v="INV00042"/>
    <s v="Motor"/>
    <n v="3"/>
    <n v="14881"/>
    <n v="44643"/>
    <s v="West"/>
    <s v="Prime Industries"/>
    <x v="0"/>
  </r>
  <r>
    <d v="2024-01-29T00:00:00"/>
    <s v="INV00060"/>
    <s v="Compressor"/>
    <n v="9"/>
    <n v="6883"/>
    <n v="61947"/>
    <s v="South"/>
    <s v="Global Corp"/>
    <x v="0"/>
  </r>
  <r>
    <d v="2024-01-05T00:00:00"/>
    <s v="INV00062"/>
    <s v="Motor"/>
    <n v="11"/>
    <n v="31200"/>
    <n v="343200"/>
    <s v="North"/>
    <s v="ABC Ltd"/>
    <x v="0"/>
  </r>
  <r>
    <d v="2024-01-02T00:00:00"/>
    <s v="INV00069"/>
    <s v="Compressor"/>
    <n v="24"/>
    <n v="22918"/>
    <n v="550032"/>
    <s v="East"/>
    <s v="Skyline Ltd"/>
    <x v="0"/>
  </r>
  <r>
    <d v="2024-01-22T00:00:00"/>
    <s v="INV00085"/>
    <s v="Valve"/>
    <n v="25"/>
    <n v="17127"/>
    <n v="428175"/>
    <s v="North"/>
    <s v="Global Corp"/>
    <x v="0"/>
  </r>
  <r>
    <d v="2024-01-11T00:00:00"/>
    <s v="INV00095"/>
    <s v="Valve"/>
    <n v="29"/>
    <n v="27150"/>
    <n v="787350"/>
    <s v="West"/>
    <s v="Skyline Ltd"/>
    <x v="0"/>
  </r>
  <r>
    <d v="2024-01-14T00:00:00"/>
    <s v="INV00099"/>
    <s v="Compressor"/>
    <n v="5"/>
    <n v="8374"/>
    <n v="41870"/>
    <s v="West"/>
    <s v="ABC Ltd"/>
    <x v="0"/>
  </r>
  <r>
    <d v="2024-01-03T00:00:00"/>
    <s v="INV00138"/>
    <s v="Compressor"/>
    <n v="20"/>
    <n v="43691"/>
    <n v="873820"/>
    <s v="South"/>
    <s v="XYZ Pvt Ltd"/>
    <x v="0"/>
  </r>
  <r>
    <d v="2024-01-27T00:00:00"/>
    <s v="INV00143"/>
    <s v="Compressor"/>
    <n v="10"/>
    <n v="34942"/>
    <n v="349420"/>
    <s v="West"/>
    <s v="XYZ Pvt Ltd"/>
    <x v="0"/>
  </r>
  <r>
    <d v="2024-01-30T00:00:00"/>
    <s v="INV00153"/>
    <s v="Generator"/>
    <n v="10"/>
    <n v="30933"/>
    <n v="309330"/>
    <s v="North"/>
    <s v="Skyline Ltd"/>
    <x v="0"/>
  </r>
  <r>
    <d v="2024-01-15T00:00:00"/>
    <s v="INV00161"/>
    <s v="Generator"/>
    <n v="30"/>
    <n v="29870"/>
    <n v="896100"/>
    <s v="West"/>
    <s v="Global Corp"/>
    <x v="0"/>
  </r>
  <r>
    <d v="2024-01-11T00:00:00"/>
    <s v="INV00164"/>
    <s v="Motor"/>
    <n v="31"/>
    <n v="33496"/>
    <n v="1038376"/>
    <s v="North"/>
    <s v="ABC Ltd"/>
    <x v="0"/>
  </r>
  <r>
    <d v="2024-01-28T00:00:00"/>
    <s v="INV00167"/>
    <s v="Valve"/>
    <n v="26"/>
    <n v="22738"/>
    <n v="591188"/>
    <s v="East"/>
    <s v="Prime Industries"/>
    <x v="0"/>
  </r>
  <r>
    <d v="2024-01-11T00:00:00"/>
    <s v="INV00175"/>
    <s v="Valve"/>
    <n v="12"/>
    <n v="33716"/>
    <n v="404592"/>
    <s v="East"/>
    <s v="XYZ Pvt Ltd"/>
    <x v="0"/>
  </r>
  <r>
    <d v="2024-01-27T00:00:00"/>
    <s v="INV00182"/>
    <s v="Pump"/>
    <n v="1"/>
    <n v="7106"/>
    <n v="7106"/>
    <s v="East"/>
    <s v="ABC Ltd"/>
    <x v="0"/>
  </r>
  <r>
    <d v="2024-01-16T00:00:00"/>
    <s v="INV00190"/>
    <s v="Valve"/>
    <n v="3"/>
    <n v="18856"/>
    <n v="56568"/>
    <s v="North"/>
    <s v="Prime Industries"/>
    <x v="0"/>
  </r>
  <r>
    <d v="2024-01-14T00:00:00"/>
    <s v="INV00193"/>
    <s v="Pump"/>
    <n v="10"/>
    <n v="20259"/>
    <n v="202590"/>
    <s v="East"/>
    <s v="Global Corp"/>
    <x v="0"/>
  </r>
  <r>
    <d v="2024-01-04T00:00:00"/>
    <s v="INV00213"/>
    <s v="Generator"/>
    <n v="10"/>
    <n v="41827"/>
    <n v="418270"/>
    <s v="East"/>
    <s v="ABC Ltd"/>
    <x v="0"/>
  </r>
  <r>
    <d v="2024-01-10T00:00:00"/>
    <s v="INV00214"/>
    <s v="Compressor"/>
    <n v="7"/>
    <n v="28984"/>
    <n v="202888"/>
    <s v="North"/>
    <s v="Global Corp"/>
    <x v="0"/>
  </r>
  <r>
    <d v="2024-01-17T00:00:00"/>
    <s v="INV00216"/>
    <s v="Pump"/>
    <n v="7"/>
    <n v="37801"/>
    <n v="264607"/>
    <s v="East"/>
    <s v="ABC Ltd"/>
    <x v="0"/>
  </r>
  <r>
    <d v="2024-01-10T00:00:00"/>
    <s v="INV00248"/>
    <s v="Generator"/>
    <n v="21"/>
    <n v="39062"/>
    <n v="820302"/>
    <s v="North"/>
    <s v="XYZ Pvt Ltd"/>
    <x v="0"/>
  </r>
  <r>
    <d v="2024-01-26T00:00:00"/>
    <s v="INV00249"/>
    <s v="Valve"/>
    <n v="20"/>
    <n v="16405"/>
    <n v="328100"/>
    <s v="South"/>
    <s v="ABC Ltd"/>
    <x v="0"/>
  </r>
  <r>
    <d v="2024-01-01T00:00:00"/>
    <s v="INV00251"/>
    <s v="Valve"/>
    <n v="40"/>
    <n v="40147"/>
    <n v="1605880"/>
    <s v="East"/>
    <s v="Prime Industries"/>
    <x v="0"/>
  </r>
  <r>
    <d v="2024-01-07T00:00:00"/>
    <s v="INV00253"/>
    <s v="Generator"/>
    <n v="7"/>
    <n v="42169"/>
    <n v="295183"/>
    <s v="South"/>
    <s v="Skyline Ltd"/>
    <x v="0"/>
  </r>
  <r>
    <d v="2024-01-17T00:00:00"/>
    <s v="INV00256"/>
    <s v="Pump"/>
    <n v="7"/>
    <n v="14149"/>
    <n v="99043"/>
    <s v="North"/>
    <s v="Skyline Ltd"/>
    <x v="0"/>
  </r>
  <r>
    <d v="2024-01-02T00:00:00"/>
    <s v="INV00261"/>
    <s v="Compressor"/>
    <n v="25"/>
    <n v="15832"/>
    <n v="395800"/>
    <s v="West"/>
    <s v="Global Corp"/>
    <x v="0"/>
  </r>
  <r>
    <d v="2024-01-23T00:00:00"/>
    <s v="INV00262"/>
    <s v="Valve"/>
    <n v="9"/>
    <n v="23753"/>
    <n v="213777"/>
    <s v="East"/>
    <s v="ABC Ltd"/>
    <x v="0"/>
  </r>
  <r>
    <d v="2024-01-05T00:00:00"/>
    <s v="INV00269"/>
    <s v="Valve"/>
    <n v="33"/>
    <n v="11068"/>
    <n v="365244"/>
    <s v="South"/>
    <s v="XYZ Pvt Ltd"/>
    <x v="0"/>
  </r>
  <r>
    <d v="2024-01-26T00:00:00"/>
    <s v="INV00285"/>
    <s v="Pump"/>
    <n v="27"/>
    <n v="11739"/>
    <n v="316953"/>
    <s v="North"/>
    <s v="XYZ Pvt Ltd"/>
    <x v="0"/>
  </r>
  <r>
    <d v="2024-01-23T00:00:00"/>
    <s v="INV00308"/>
    <s v="Compressor"/>
    <n v="22"/>
    <n v="5331"/>
    <n v="117282"/>
    <s v="North"/>
    <s v="ABC Ltd"/>
    <x v="0"/>
  </r>
  <r>
    <d v="2024-01-30T00:00:00"/>
    <s v="INV00319"/>
    <s v="Motor"/>
    <n v="17"/>
    <n v="13037"/>
    <n v="221629"/>
    <s v="East"/>
    <s v="XYZ Pvt Ltd"/>
    <x v="0"/>
  </r>
  <r>
    <d v="2024-01-07T00:00:00"/>
    <s v="INV00341"/>
    <s v="Motor"/>
    <n v="19"/>
    <n v="9879"/>
    <n v="187701"/>
    <s v="South"/>
    <s v="ABC Ltd"/>
    <x v="0"/>
  </r>
  <r>
    <d v="2024-01-20T00:00:00"/>
    <s v="INV00346"/>
    <s v="Motor"/>
    <n v="16"/>
    <n v="5472"/>
    <n v="87552"/>
    <s v="North"/>
    <s v="Prime Industries"/>
    <x v="0"/>
  </r>
  <r>
    <d v="2024-01-21T00:00:00"/>
    <s v="INV00348"/>
    <s v="Pump"/>
    <n v="2"/>
    <n v="38708"/>
    <n v="77416"/>
    <s v="North"/>
    <s v="Skyline Ltd"/>
    <x v="0"/>
  </r>
  <r>
    <d v="2024-01-14T00:00:00"/>
    <s v="INV00355"/>
    <s v="Pump"/>
    <n v="19"/>
    <n v="5972"/>
    <n v="113468"/>
    <s v="East"/>
    <s v="Skyline Ltd"/>
    <x v="0"/>
  </r>
  <r>
    <d v="2024-01-07T00:00:00"/>
    <s v="INV00372"/>
    <s v="Valve"/>
    <n v="18"/>
    <n v="40810"/>
    <n v="734580"/>
    <s v="South"/>
    <s v="Skyline Ltd"/>
    <x v="0"/>
  </r>
  <r>
    <d v="2024-01-30T00:00:00"/>
    <s v="INV00373"/>
    <s v="Valve"/>
    <n v="23"/>
    <n v="23935"/>
    <n v="550505"/>
    <s v="West"/>
    <s v="Prime Industries"/>
    <x v="0"/>
  </r>
  <r>
    <d v="2024-01-02T00:00:00"/>
    <s v="INV00376"/>
    <s v="Generator"/>
    <n v="3"/>
    <n v="32042"/>
    <n v="96126"/>
    <s v="South"/>
    <s v="Global Corp"/>
    <x v="0"/>
  </r>
  <r>
    <d v="2024-01-20T00:00:00"/>
    <s v="INV00385"/>
    <s v="Compressor"/>
    <n v="32"/>
    <n v="5565"/>
    <n v="178080"/>
    <s v="North"/>
    <s v="Skyline Ltd"/>
    <x v="0"/>
  </r>
  <r>
    <d v="2024-01-19T00:00:00"/>
    <s v="INV00386"/>
    <s v="Motor"/>
    <n v="30"/>
    <n v="22317"/>
    <n v="669510"/>
    <s v="West"/>
    <s v="XYZ Pvt Ltd"/>
    <x v="0"/>
  </r>
  <r>
    <d v="2024-01-09T00:00:00"/>
    <s v="INV00395"/>
    <s v="Pump"/>
    <n v="10"/>
    <n v="32652"/>
    <n v="326520"/>
    <s v="South"/>
    <s v="Prime Industries"/>
    <x v="0"/>
  </r>
  <r>
    <d v="2024-01-13T00:00:00"/>
    <s v="INV00469"/>
    <s v="Motor"/>
    <n v="20"/>
    <n v="44822"/>
    <n v="896440"/>
    <s v="West"/>
    <s v="Prime Industries"/>
    <x v="0"/>
  </r>
  <r>
    <d v="2024-01-17T00:00:00"/>
    <s v="INV00522"/>
    <s v="Valve"/>
    <n v="17"/>
    <n v="12493"/>
    <n v="212381"/>
    <s v="West"/>
    <s v="XYZ Pvt Ltd"/>
    <x v="0"/>
  </r>
  <r>
    <d v="2024-01-06T00:00:00"/>
    <s v="INV00529"/>
    <s v="Pump"/>
    <n v="5"/>
    <n v="31628"/>
    <n v="158140"/>
    <s v="North"/>
    <s v="XYZ Pvt Ltd"/>
    <x v="0"/>
  </r>
  <r>
    <d v="2024-01-12T00:00:00"/>
    <s v="INV00538"/>
    <s v="Pump"/>
    <n v="11"/>
    <n v="35909"/>
    <n v="394999"/>
    <s v="East"/>
    <s v="ABC Ltd"/>
    <x v="0"/>
  </r>
  <r>
    <d v="2024-01-25T00:00:00"/>
    <s v="INV00552"/>
    <s v="Compressor"/>
    <n v="9"/>
    <n v="14668"/>
    <n v="132012"/>
    <s v="East"/>
    <s v="ABC Ltd"/>
    <x v="0"/>
  </r>
  <r>
    <d v="2024-01-23T00:00:00"/>
    <s v="INV00553"/>
    <s v="Valve"/>
    <n v="37"/>
    <n v="27274"/>
    <n v="1009138"/>
    <s v="East"/>
    <s v="ABC Ltd"/>
    <x v="0"/>
  </r>
  <r>
    <d v="2024-01-12T00:00:00"/>
    <s v="INV00561"/>
    <s v="Pump"/>
    <n v="38"/>
    <n v="29214"/>
    <n v="1110132"/>
    <s v="North"/>
    <s v="Global Corp"/>
    <x v="0"/>
  </r>
  <r>
    <d v="2024-01-16T00:00:00"/>
    <s v="INV00564"/>
    <s v="Valve"/>
    <n v="5"/>
    <n v="35659"/>
    <n v="178295"/>
    <s v="East"/>
    <s v="ABC Ltd"/>
    <x v="0"/>
  </r>
  <r>
    <d v="2024-01-31T00:00:00"/>
    <s v="INV00582"/>
    <s v="Motor"/>
    <n v="36"/>
    <n v="24801"/>
    <n v="892836"/>
    <s v="South"/>
    <s v="XYZ Pvt Ltd"/>
    <x v="0"/>
  </r>
  <r>
    <d v="2024-01-27T00:00:00"/>
    <s v="INV00594"/>
    <s v="Valve"/>
    <n v="12"/>
    <n v="9114"/>
    <n v="109368"/>
    <s v="South"/>
    <s v="XYZ Pvt Ltd"/>
    <x v="0"/>
  </r>
  <r>
    <d v="2024-01-04T00:00:00"/>
    <s v="INV00613"/>
    <s v="Generator"/>
    <n v="16"/>
    <n v="20318"/>
    <n v="325088"/>
    <s v="East"/>
    <s v="Prime Industries"/>
    <x v="0"/>
  </r>
  <r>
    <d v="2024-01-04T00:00:00"/>
    <s v="INV00615"/>
    <s v="Compressor"/>
    <n v="4"/>
    <n v="18173"/>
    <n v="72692"/>
    <s v="South"/>
    <s v="ABC Ltd"/>
    <x v="0"/>
  </r>
  <r>
    <d v="2024-01-27T00:00:00"/>
    <s v="INV00647"/>
    <s v="Valve"/>
    <n v="11"/>
    <n v="44690"/>
    <n v="491590"/>
    <s v="South"/>
    <s v="Prime Industries"/>
    <x v="0"/>
  </r>
  <r>
    <d v="2024-01-27T00:00:00"/>
    <s v="INV00653"/>
    <s v="Pump"/>
    <n v="16"/>
    <n v="29410"/>
    <n v="470560"/>
    <s v="East"/>
    <s v="XYZ Pvt Ltd"/>
    <x v="0"/>
  </r>
  <r>
    <d v="2024-01-17T00:00:00"/>
    <s v="INV00676"/>
    <s v="Pump"/>
    <n v="33"/>
    <n v="5808"/>
    <n v="191664"/>
    <s v="South"/>
    <s v="Skyline Ltd"/>
    <x v="0"/>
  </r>
  <r>
    <d v="2024-01-18T00:00:00"/>
    <s v="INV00727"/>
    <s v="Valve"/>
    <n v="22"/>
    <n v="19402"/>
    <n v="426844"/>
    <s v="West"/>
    <s v="Global Corp"/>
    <x v="0"/>
  </r>
  <r>
    <d v="2024-01-13T00:00:00"/>
    <s v="INV00736"/>
    <s v="Motor"/>
    <n v="8"/>
    <n v="26938"/>
    <n v="215504"/>
    <s v="South"/>
    <s v="Global Corp"/>
    <x v="0"/>
  </r>
  <r>
    <d v="2024-01-16T00:00:00"/>
    <s v="INV00737"/>
    <s v="Generator"/>
    <n v="3"/>
    <n v="30325"/>
    <n v="90975"/>
    <s v="North"/>
    <s v="Prime Industries"/>
    <x v="0"/>
  </r>
  <r>
    <d v="2024-01-03T00:00:00"/>
    <s v="INV00747"/>
    <s v="Generator"/>
    <n v="4"/>
    <n v="10614"/>
    <n v="42456"/>
    <s v="East"/>
    <s v="Prime Industries"/>
    <x v="0"/>
  </r>
  <r>
    <d v="2024-01-10T00:00:00"/>
    <s v="INV00752"/>
    <s v="Valve"/>
    <n v="23"/>
    <n v="38226"/>
    <n v="879198"/>
    <s v="West"/>
    <s v="XYZ Pvt Ltd"/>
    <x v="0"/>
  </r>
  <r>
    <d v="2024-01-11T00:00:00"/>
    <s v="INV00766"/>
    <s v="Generator"/>
    <n v="28"/>
    <n v="12480"/>
    <n v="349440"/>
    <s v="East"/>
    <s v="Global Corp"/>
    <x v="0"/>
  </r>
  <r>
    <d v="2024-01-25T00:00:00"/>
    <s v="INV00772"/>
    <s v="Compressor"/>
    <n v="9"/>
    <n v="25236"/>
    <n v="227124"/>
    <s v="East"/>
    <s v="Prime Industries"/>
    <x v="0"/>
  </r>
  <r>
    <d v="2024-01-30T00:00:00"/>
    <s v="INV00779"/>
    <s v="Motor"/>
    <n v="37"/>
    <n v="17667"/>
    <n v="653679"/>
    <s v="North"/>
    <s v="Prime Industries"/>
    <x v="0"/>
  </r>
  <r>
    <d v="2024-01-25T00:00:00"/>
    <s v="INV00789"/>
    <s v="Valve"/>
    <n v="2"/>
    <n v="31499"/>
    <n v="62998"/>
    <s v="South"/>
    <s v="Skyline Ltd"/>
    <x v="0"/>
  </r>
  <r>
    <d v="2024-01-01T00:00:00"/>
    <s v="INV00797"/>
    <s v="Valve"/>
    <n v="15"/>
    <n v="33493"/>
    <n v="502395"/>
    <s v="South"/>
    <s v="XYZ Pvt Ltd"/>
    <x v="0"/>
  </r>
  <r>
    <d v="2024-01-31T00:00:00"/>
    <s v="INV00800"/>
    <s v="Motor"/>
    <n v="18"/>
    <n v="27240"/>
    <n v="490320"/>
    <s v="East"/>
    <s v="Global Corp"/>
    <x v="0"/>
  </r>
  <r>
    <d v="2024-01-09T00:00:00"/>
    <s v="INV00806"/>
    <s v="Motor"/>
    <n v="14"/>
    <n v="31050"/>
    <n v="434700"/>
    <s v="South"/>
    <s v="XYZ Pvt Ltd"/>
    <x v="0"/>
  </r>
  <r>
    <d v="2024-01-14T00:00:00"/>
    <s v="INV00869"/>
    <s v="Valve"/>
    <n v="23"/>
    <n v="17803"/>
    <n v="409469"/>
    <s v="East"/>
    <s v="ABC Ltd"/>
    <x v="0"/>
  </r>
  <r>
    <d v="2024-01-21T00:00:00"/>
    <s v="INV00885"/>
    <s v="Valve"/>
    <n v="7"/>
    <n v="44713"/>
    <n v="312991"/>
    <s v="West"/>
    <s v="Global Corp"/>
    <x v="0"/>
  </r>
  <r>
    <d v="2024-01-18T00:00:00"/>
    <s v="INV00906"/>
    <s v="Motor"/>
    <n v="9"/>
    <n v="25656"/>
    <n v="230904"/>
    <s v="East"/>
    <s v="Prime Industries"/>
    <x v="0"/>
  </r>
  <r>
    <d v="2024-01-08T00:00:00"/>
    <s v="INV00907"/>
    <s v="Compressor"/>
    <n v="27"/>
    <n v="17575"/>
    <n v="474525"/>
    <s v="West"/>
    <s v="Skyline Ltd"/>
    <x v="0"/>
  </r>
  <r>
    <d v="2024-01-21T00:00:00"/>
    <s v="INV00911"/>
    <s v="Generator"/>
    <n v="31"/>
    <n v="21300"/>
    <n v="660300"/>
    <s v="South"/>
    <s v="Skyline Ltd"/>
    <x v="0"/>
  </r>
  <r>
    <d v="2024-01-21T00:00:00"/>
    <s v="INV00913"/>
    <s v="Pump"/>
    <n v="23"/>
    <n v="16459"/>
    <n v="378557"/>
    <s v="East"/>
    <s v="XYZ Pvt Ltd"/>
    <x v="0"/>
  </r>
  <r>
    <d v="2024-01-20T00:00:00"/>
    <s v="INV00920"/>
    <s v="Valve"/>
    <n v="19"/>
    <n v="31385"/>
    <n v="596315"/>
    <s v="East"/>
    <s v="Skyline Ltd"/>
    <x v="0"/>
  </r>
  <r>
    <d v="2024-01-20T00:00:00"/>
    <s v="INV00935"/>
    <s v="Compressor"/>
    <n v="37"/>
    <n v="7897"/>
    <n v="292189"/>
    <s v="South"/>
    <s v="Skyline Ltd"/>
    <x v="0"/>
  </r>
  <r>
    <d v="2024-01-17T00:00:00"/>
    <s v="INV00939"/>
    <s v="Pump"/>
    <n v="15"/>
    <n v="30454"/>
    <n v="456810"/>
    <s v="South"/>
    <s v="ABC Ltd"/>
    <x v="0"/>
  </r>
  <r>
    <d v="2024-01-15T00:00:00"/>
    <s v="INV00942"/>
    <s v="Motor"/>
    <n v="9"/>
    <n v="21798"/>
    <n v="196182"/>
    <s v="West"/>
    <s v="Global Corp"/>
    <x v="0"/>
  </r>
  <r>
    <d v="2024-01-10T00:00:00"/>
    <s v="INV00965"/>
    <s v="Pump"/>
    <n v="32"/>
    <n v="13808"/>
    <n v="441856"/>
    <s v="North"/>
    <s v="ABC Ltd"/>
    <x v="0"/>
  </r>
  <r>
    <d v="2024-01-24T00:00:00"/>
    <s v="INV00973"/>
    <s v="Pump"/>
    <n v="21"/>
    <n v="32884"/>
    <n v="690564"/>
    <s v="West"/>
    <s v="Skyline Ltd"/>
    <x v="0"/>
  </r>
  <r>
    <d v="2024-01-28T00:00:00"/>
    <s v="INV01018"/>
    <s v="Valve"/>
    <n v="8"/>
    <n v="15899"/>
    <n v="127192"/>
    <s v="South"/>
    <s v="Global Corp"/>
    <x v="0"/>
  </r>
  <r>
    <d v="2024-01-26T00:00:00"/>
    <s v="INV01020"/>
    <s v="Compressor"/>
    <n v="34"/>
    <n v="7698"/>
    <n v="261732"/>
    <s v="West"/>
    <s v="Skyline Ltd"/>
    <x v="0"/>
  </r>
  <r>
    <d v="2024-01-18T00:00:00"/>
    <s v="INV01021"/>
    <s v="Compressor"/>
    <n v="35"/>
    <n v="12728"/>
    <n v="445480"/>
    <s v="North"/>
    <s v="Global Corp"/>
    <x v="0"/>
  </r>
  <r>
    <d v="2024-01-02T00:00:00"/>
    <s v="INV01043"/>
    <s v="Motor"/>
    <n v="16"/>
    <n v="20683"/>
    <n v="330928"/>
    <s v="South"/>
    <s v="ABC Ltd"/>
    <x v="0"/>
  </r>
  <r>
    <d v="2024-01-18T00:00:00"/>
    <s v="INV01059"/>
    <s v="Pump"/>
    <n v="32"/>
    <n v="32392"/>
    <n v="1036544"/>
    <s v="South"/>
    <s v="ABC Ltd"/>
    <x v="0"/>
  </r>
  <r>
    <d v="2024-01-09T00:00:00"/>
    <s v="INV01062"/>
    <s v="Compressor"/>
    <n v="20"/>
    <n v="38736"/>
    <n v="774720"/>
    <s v="West"/>
    <s v="Skyline Ltd"/>
    <x v="0"/>
  </r>
  <r>
    <d v="2024-01-03T00:00:00"/>
    <s v="INV01072"/>
    <s v="Valve"/>
    <n v="2"/>
    <n v="38648"/>
    <n v="77296"/>
    <s v="West"/>
    <s v="XYZ Pvt Ltd"/>
    <x v="0"/>
  </r>
  <r>
    <d v="2024-01-16T00:00:00"/>
    <s v="INV01077"/>
    <s v="Compressor"/>
    <n v="14"/>
    <n v="28812"/>
    <n v="403368"/>
    <s v="East"/>
    <s v="Prime Industries"/>
    <x v="0"/>
  </r>
  <r>
    <d v="2024-01-28T00:00:00"/>
    <s v="INV01108"/>
    <s v="Valve"/>
    <n v="3"/>
    <n v="22307"/>
    <n v="66921"/>
    <s v="East"/>
    <s v="Prime Industries"/>
    <x v="0"/>
  </r>
  <r>
    <d v="2024-01-30T00:00:00"/>
    <s v="INV01113"/>
    <s v="Generator"/>
    <n v="1"/>
    <n v="8518"/>
    <n v="8518"/>
    <s v="West"/>
    <s v="Global Corp"/>
    <x v="0"/>
  </r>
  <r>
    <d v="2024-01-22T00:00:00"/>
    <s v="INV01116"/>
    <s v="Compressor"/>
    <n v="11"/>
    <n v="18074"/>
    <n v="198814"/>
    <s v="North"/>
    <s v="Prime Industries"/>
    <x v="0"/>
  </r>
  <r>
    <d v="2024-01-16T00:00:00"/>
    <s v="INV01119"/>
    <s v="Generator"/>
    <n v="16"/>
    <n v="19481"/>
    <n v="311696"/>
    <s v="East"/>
    <s v="Skyline Ltd"/>
    <x v="0"/>
  </r>
  <r>
    <d v="2024-01-06T00:00:00"/>
    <s v="INV01123"/>
    <s v="Generator"/>
    <n v="19"/>
    <n v="12408"/>
    <n v="235752"/>
    <s v="West"/>
    <s v="Skyline Ltd"/>
    <x v="0"/>
  </r>
  <r>
    <d v="2024-01-11T00:00:00"/>
    <s v="INV01133"/>
    <s v="Pump"/>
    <n v="18"/>
    <n v="12768"/>
    <n v="229824"/>
    <s v="South"/>
    <s v="ABC Ltd"/>
    <x v="0"/>
  </r>
  <r>
    <d v="2024-01-18T00:00:00"/>
    <s v="INV01142"/>
    <s v="Compressor"/>
    <n v="28"/>
    <n v="41328"/>
    <n v="1157184"/>
    <s v="North"/>
    <s v="Global Corp"/>
    <x v="0"/>
  </r>
  <r>
    <d v="2024-01-20T00:00:00"/>
    <s v="INV01197"/>
    <s v="Compressor"/>
    <n v="36"/>
    <n v="40873"/>
    <n v="1471428"/>
    <s v="North"/>
    <s v="Prime Industries"/>
    <x v="0"/>
  </r>
  <r>
    <d v="2024-01-25T00:00:00"/>
    <s v="INV01210"/>
    <s v="Compressor"/>
    <n v="27"/>
    <n v="12116"/>
    <n v="327132"/>
    <s v="North"/>
    <s v="Skyline Ltd"/>
    <x v="0"/>
  </r>
  <r>
    <d v="2024-01-20T00:00:00"/>
    <s v="INV01263"/>
    <s v="Generator"/>
    <n v="35"/>
    <n v="13525"/>
    <n v="473375"/>
    <s v="North"/>
    <s v="XYZ Pvt Ltd"/>
    <x v="0"/>
  </r>
  <r>
    <d v="2024-01-07T00:00:00"/>
    <s v="INV01267"/>
    <s v="Generator"/>
    <n v="7"/>
    <n v="13604"/>
    <n v="95228"/>
    <s v="East"/>
    <s v="XYZ Pvt Ltd"/>
    <x v="0"/>
  </r>
  <r>
    <d v="2024-01-03T00:00:00"/>
    <s v="INV01273"/>
    <s v="Compressor"/>
    <n v="29"/>
    <n v="28935"/>
    <n v="839115"/>
    <s v="South"/>
    <s v="ABC Ltd"/>
    <x v="0"/>
  </r>
  <r>
    <d v="2024-01-13T00:00:00"/>
    <s v="INV01279"/>
    <s v="Motor"/>
    <n v="34"/>
    <n v="38737"/>
    <n v="1317058"/>
    <s v="West"/>
    <s v="XYZ Pvt Ltd"/>
    <x v="0"/>
  </r>
  <r>
    <d v="2024-01-31T00:00:00"/>
    <s v="INV01292"/>
    <s v="Motor"/>
    <n v="27"/>
    <n v="17686"/>
    <n v="477522"/>
    <s v="North"/>
    <s v="XYZ Pvt Ltd"/>
    <x v="0"/>
  </r>
  <r>
    <d v="2024-01-31T00:00:00"/>
    <s v="INV01296"/>
    <s v="Valve"/>
    <n v="30"/>
    <n v="27005"/>
    <n v="810150"/>
    <s v="East"/>
    <s v="Prime Industries"/>
    <x v="0"/>
  </r>
  <r>
    <d v="2024-01-29T00:00:00"/>
    <s v="INV01299"/>
    <s v="Pump"/>
    <n v="32"/>
    <n v="23381"/>
    <n v="748192"/>
    <s v="North"/>
    <s v="Skyline Ltd"/>
    <x v="0"/>
  </r>
  <r>
    <d v="2024-01-04T00:00:00"/>
    <s v="INV01322"/>
    <s v="Pump"/>
    <n v="17"/>
    <n v="18918"/>
    <n v="321606"/>
    <s v="South"/>
    <s v="ABC Ltd"/>
    <x v="0"/>
  </r>
  <r>
    <d v="2024-01-25T00:00:00"/>
    <s v="INV01341"/>
    <s v="Valve"/>
    <n v="39"/>
    <n v="17683"/>
    <n v="689637"/>
    <s v="North"/>
    <s v="Skyline Ltd"/>
    <x v="0"/>
  </r>
  <r>
    <d v="2024-01-02T00:00:00"/>
    <s v="INV01364"/>
    <s v="Pump"/>
    <n v="24"/>
    <n v="33190"/>
    <n v="796560"/>
    <s v="North"/>
    <s v="Global Corp"/>
    <x v="0"/>
  </r>
  <r>
    <d v="2024-01-13T00:00:00"/>
    <s v="INV01374"/>
    <s v="Compressor"/>
    <n v="16"/>
    <n v="14916"/>
    <n v="238656"/>
    <s v="North"/>
    <s v="Global Corp"/>
    <x v="0"/>
  </r>
  <r>
    <d v="2024-01-18T00:00:00"/>
    <s v="INV01394"/>
    <s v="Compressor"/>
    <n v="28"/>
    <n v="7626"/>
    <n v="213528"/>
    <s v="North"/>
    <s v="Prime Industries"/>
    <x v="0"/>
  </r>
  <r>
    <d v="2024-01-23T00:00:00"/>
    <s v="INV01398"/>
    <s v="Motor"/>
    <n v="22"/>
    <n v="42792"/>
    <n v="941424"/>
    <s v="South"/>
    <s v="Prime Industries"/>
    <x v="0"/>
  </r>
  <r>
    <d v="2024-01-22T00:00:00"/>
    <s v="INV01404"/>
    <s v="Pump"/>
    <n v="30"/>
    <n v="32804"/>
    <n v="984120"/>
    <s v="South"/>
    <s v="ABC Ltd"/>
    <x v="0"/>
  </r>
  <r>
    <d v="2024-01-29T00:00:00"/>
    <s v="INV01407"/>
    <s v="Motor"/>
    <n v="19"/>
    <n v="8672"/>
    <n v="164768"/>
    <s v="East"/>
    <s v="Skyline Ltd"/>
    <x v="0"/>
  </r>
  <r>
    <d v="2024-01-26T00:00:00"/>
    <s v="INV01421"/>
    <s v="Pump"/>
    <n v="14"/>
    <n v="6696"/>
    <n v="93744"/>
    <s v="East"/>
    <s v="Skyline Ltd"/>
    <x v="0"/>
  </r>
  <r>
    <d v="2024-01-31T00:00:00"/>
    <s v="INV01426"/>
    <s v="Pump"/>
    <n v="11"/>
    <n v="11356"/>
    <n v="124916"/>
    <s v="East"/>
    <s v="Global Corp"/>
    <x v="0"/>
  </r>
  <r>
    <d v="2024-01-03T00:00:00"/>
    <s v="INV01432"/>
    <s v="Generator"/>
    <n v="25"/>
    <n v="18186"/>
    <n v="454650"/>
    <s v="North"/>
    <s v="Prime Industries"/>
    <x v="0"/>
  </r>
  <r>
    <d v="2024-01-19T00:00:00"/>
    <s v="INV01437"/>
    <s v="Valve"/>
    <n v="33"/>
    <n v="12430"/>
    <n v="410190"/>
    <s v="West"/>
    <s v="Prime Industries"/>
    <x v="0"/>
  </r>
  <r>
    <d v="2024-01-06T00:00:00"/>
    <s v="INV01447"/>
    <s v="Compressor"/>
    <n v="21"/>
    <n v="20641"/>
    <n v="433461"/>
    <s v="West"/>
    <s v="Prime Industries"/>
    <x v="0"/>
  </r>
  <r>
    <d v="2024-01-01T00:00:00"/>
    <s v="INV01461"/>
    <s v="Compressor"/>
    <n v="37"/>
    <n v="7748"/>
    <n v="286676"/>
    <s v="West"/>
    <s v="ABC Ltd"/>
    <x v="0"/>
  </r>
  <r>
    <d v="2024-01-01T00:00:00"/>
    <s v="INV01486"/>
    <s v="Pump"/>
    <n v="12"/>
    <n v="28230"/>
    <n v="338760"/>
    <s v="South"/>
    <s v="XYZ Pvt Ltd"/>
    <x v="0"/>
  </r>
  <r>
    <d v="2024-01-05T00:00:00"/>
    <s v="INV01488"/>
    <s v="Motor"/>
    <n v="40"/>
    <n v="30525"/>
    <n v="1221000"/>
    <s v="West"/>
    <s v="XYZ Pvt Ltd"/>
    <x v="0"/>
  </r>
  <r>
    <d v="2024-01-10T00:00:00"/>
    <s v="INV01493"/>
    <s v="Generator"/>
    <n v="17"/>
    <n v="10009"/>
    <n v="170153"/>
    <s v="South"/>
    <s v="XYZ Pvt Ltd"/>
    <x v="0"/>
  </r>
  <r>
    <d v="2024-01-14T00:00:00"/>
    <s v="INV01496"/>
    <s v="Compressor"/>
    <n v="23"/>
    <n v="7733"/>
    <n v="177859"/>
    <s v="East"/>
    <s v="XYZ Pvt Ltd"/>
    <x v="0"/>
  </r>
  <r>
    <d v="2024-02-19T00:00:00"/>
    <s v="INV00015"/>
    <s v="Pump"/>
    <n v="12"/>
    <n v="13318"/>
    <n v="159816"/>
    <s v="West"/>
    <s v="ABC Ltd"/>
    <x v="1"/>
  </r>
  <r>
    <d v="2024-02-27T00:00:00"/>
    <s v="INV00024"/>
    <s v="Motor"/>
    <n v="35"/>
    <n v="42402"/>
    <n v="1484070"/>
    <s v="East"/>
    <s v="Skyline Ltd"/>
    <x v="1"/>
  </r>
  <r>
    <d v="2024-02-08T00:00:00"/>
    <s v="INV00030"/>
    <s v="Compressor"/>
    <n v="13"/>
    <n v="12916"/>
    <n v="167908"/>
    <s v="East"/>
    <s v="ABC Ltd"/>
    <x v="1"/>
  </r>
  <r>
    <d v="2024-02-14T00:00:00"/>
    <s v="INV00035"/>
    <s v="Valve"/>
    <n v="1"/>
    <n v="10642"/>
    <n v="10642"/>
    <s v="North"/>
    <s v="ABC Ltd"/>
    <x v="1"/>
  </r>
  <r>
    <d v="2024-02-26T00:00:00"/>
    <s v="INV00041"/>
    <s v="Pump"/>
    <n v="6"/>
    <n v="26689"/>
    <n v="160134"/>
    <s v="North"/>
    <s v="Skyline Ltd"/>
    <x v="1"/>
  </r>
  <r>
    <d v="2024-02-14T00:00:00"/>
    <s v="INV00045"/>
    <s v="Pump"/>
    <n v="1"/>
    <n v="34632"/>
    <n v="34632"/>
    <s v="East"/>
    <s v="Global Corp"/>
    <x v="1"/>
  </r>
  <r>
    <d v="2024-02-17T00:00:00"/>
    <s v="INV00053"/>
    <s v="Compressor"/>
    <n v="30"/>
    <n v="17453"/>
    <n v="523590"/>
    <s v="West"/>
    <s v="Prime Industries"/>
    <x v="1"/>
  </r>
  <r>
    <d v="2024-02-17T00:00:00"/>
    <s v="INV00065"/>
    <s v="Valve"/>
    <n v="36"/>
    <n v="21598"/>
    <n v="777528"/>
    <s v="West"/>
    <s v="Prime Industries"/>
    <x v="1"/>
  </r>
  <r>
    <d v="2024-02-03T00:00:00"/>
    <s v="INV00097"/>
    <s v="Valve"/>
    <n v="40"/>
    <n v="30064"/>
    <n v="1202560"/>
    <s v="West"/>
    <s v="XYZ Pvt Ltd"/>
    <x v="1"/>
  </r>
  <r>
    <d v="2024-02-19T00:00:00"/>
    <s v="INV00105"/>
    <s v="Generator"/>
    <n v="6"/>
    <n v="18489"/>
    <n v="110934"/>
    <s v="East"/>
    <s v="ABC Ltd"/>
    <x v="1"/>
  </r>
  <r>
    <d v="2024-02-23T00:00:00"/>
    <s v="INV00110"/>
    <s v="Motor"/>
    <n v="39"/>
    <n v="26370"/>
    <n v="1028430"/>
    <s v="South"/>
    <s v="Global Corp"/>
    <x v="1"/>
  </r>
  <r>
    <d v="2024-02-06T00:00:00"/>
    <s v="INV00120"/>
    <s v="Motor"/>
    <n v="34"/>
    <n v="33181"/>
    <n v="1128154"/>
    <s v="North"/>
    <s v="Skyline Ltd"/>
    <x v="1"/>
  </r>
  <r>
    <d v="2024-02-20T00:00:00"/>
    <s v="INV00156"/>
    <s v="Motor"/>
    <n v="9"/>
    <n v="27082"/>
    <n v="243738"/>
    <s v="South"/>
    <s v="Prime Industries"/>
    <x v="1"/>
  </r>
  <r>
    <d v="2024-02-25T00:00:00"/>
    <s v="INV00157"/>
    <s v="Motor"/>
    <n v="32"/>
    <n v="39281"/>
    <n v="1256992"/>
    <s v="East"/>
    <s v="ABC Ltd"/>
    <x v="1"/>
  </r>
  <r>
    <d v="2024-02-20T00:00:00"/>
    <s v="INV00181"/>
    <s v="Motor"/>
    <n v="18"/>
    <n v="22260"/>
    <n v="400680"/>
    <s v="West"/>
    <s v="Prime Industries"/>
    <x v="1"/>
  </r>
  <r>
    <d v="2024-02-15T00:00:00"/>
    <s v="INV00198"/>
    <s v="Motor"/>
    <n v="4"/>
    <n v="22793"/>
    <n v="91172"/>
    <s v="North"/>
    <s v="Prime Industries"/>
    <x v="1"/>
  </r>
  <r>
    <d v="2024-02-10T00:00:00"/>
    <s v="INV00200"/>
    <s v="Pump"/>
    <n v="11"/>
    <n v="35660"/>
    <n v="392260"/>
    <s v="North"/>
    <s v="Global Corp"/>
    <x v="1"/>
  </r>
  <r>
    <d v="2024-02-08T00:00:00"/>
    <s v="INV00206"/>
    <s v="Compressor"/>
    <n v="32"/>
    <n v="37439"/>
    <n v="1198048"/>
    <s v="North"/>
    <s v="XYZ Pvt Ltd"/>
    <x v="1"/>
  </r>
  <r>
    <d v="2024-02-03T00:00:00"/>
    <s v="INV00224"/>
    <s v="Compressor"/>
    <n v="21"/>
    <n v="30368"/>
    <n v="637728"/>
    <s v="West"/>
    <s v="ABC Ltd"/>
    <x v="1"/>
  </r>
  <r>
    <d v="2024-02-09T00:00:00"/>
    <s v="INV00233"/>
    <s v="Pump"/>
    <n v="8"/>
    <n v="29819"/>
    <n v="238552"/>
    <s v="East"/>
    <s v="XYZ Pvt Ltd"/>
    <x v="1"/>
  </r>
  <r>
    <d v="2024-02-10T00:00:00"/>
    <s v="INV00239"/>
    <s v="Compressor"/>
    <n v="3"/>
    <n v="36781"/>
    <n v="110343"/>
    <s v="North"/>
    <s v="XYZ Pvt Ltd"/>
    <x v="1"/>
  </r>
  <r>
    <d v="2024-02-21T00:00:00"/>
    <s v="INV00264"/>
    <s v="Generator"/>
    <n v="16"/>
    <n v="13005"/>
    <n v="208080"/>
    <s v="South"/>
    <s v="Skyline Ltd"/>
    <x v="1"/>
  </r>
  <r>
    <d v="2024-02-26T00:00:00"/>
    <s v="INV00292"/>
    <s v="Valve"/>
    <n v="13"/>
    <n v="17895"/>
    <n v="232635"/>
    <s v="East"/>
    <s v="ABC Ltd"/>
    <x v="1"/>
  </r>
  <r>
    <d v="2024-02-04T00:00:00"/>
    <s v="INV00299"/>
    <s v="Valve"/>
    <n v="9"/>
    <n v="20644"/>
    <n v="185796"/>
    <s v="West"/>
    <s v="XYZ Pvt Ltd"/>
    <x v="1"/>
  </r>
  <r>
    <d v="2024-02-09T00:00:00"/>
    <s v="INV00303"/>
    <s v="Valve"/>
    <n v="1"/>
    <n v="35886"/>
    <n v="35886"/>
    <s v="North"/>
    <s v="Prime Industries"/>
    <x v="1"/>
  </r>
  <r>
    <d v="2024-02-15T00:00:00"/>
    <s v="INV00331"/>
    <s v="Valve"/>
    <n v="2"/>
    <n v="26957"/>
    <n v="53914"/>
    <s v="North"/>
    <s v="XYZ Pvt Ltd"/>
    <x v="1"/>
  </r>
  <r>
    <d v="2024-02-24T00:00:00"/>
    <s v="INV00347"/>
    <s v="Pump"/>
    <n v="2"/>
    <n v="41501"/>
    <n v="83002"/>
    <s v="South"/>
    <s v="ABC Ltd"/>
    <x v="1"/>
  </r>
  <r>
    <d v="2024-02-27T00:00:00"/>
    <s v="INV00351"/>
    <s v="Motor"/>
    <n v="21"/>
    <n v="9908"/>
    <n v="208068"/>
    <s v="East"/>
    <s v="Global Corp"/>
    <x v="1"/>
  </r>
  <r>
    <d v="2024-02-03T00:00:00"/>
    <s v="INV00354"/>
    <s v="Valve"/>
    <n v="17"/>
    <n v="34282"/>
    <n v="582794"/>
    <s v="West"/>
    <s v="Skyline Ltd"/>
    <x v="1"/>
  </r>
  <r>
    <d v="2024-02-10T00:00:00"/>
    <s v="INV00360"/>
    <s v="Valve"/>
    <n v="38"/>
    <n v="12469"/>
    <n v="473822"/>
    <s v="North"/>
    <s v="Prime Industries"/>
    <x v="1"/>
  </r>
  <r>
    <d v="2024-02-17T00:00:00"/>
    <s v="INV00363"/>
    <s v="Motor"/>
    <n v="37"/>
    <n v="29121"/>
    <n v="1077477"/>
    <s v="North"/>
    <s v="Global Corp"/>
    <x v="1"/>
  </r>
  <r>
    <d v="2024-02-04T00:00:00"/>
    <s v="INV00387"/>
    <s v="Pump"/>
    <n v="30"/>
    <n v="30146"/>
    <n v="904380"/>
    <s v="South"/>
    <s v="Global Corp"/>
    <x v="1"/>
  </r>
  <r>
    <d v="2024-02-07T00:00:00"/>
    <s v="INV00390"/>
    <s v="Generator"/>
    <n v="32"/>
    <n v="43230"/>
    <n v="1383360"/>
    <s v="South"/>
    <s v="Global Corp"/>
    <x v="1"/>
  </r>
  <r>
    <d v="2024-02-03T00:00:00"/>
    <s v="INV00447"/>
    <s v="Valve"/>
    <n v="37"/>
    <n v="10191"/>
    <n v="377067"/>
    <s v="West"/>
    <s v="ABC Ltd"/>
    <x v="1"/>
  </r>
  <r>
    <d v="2024-02-06T00:00:00"/>
    <s v="INV00448"/>
    <s v="Compressor"/>
    <n v="1"/>
    <n v="14600"/>
    <n v="14600"/>
    <s v="North"/>
    <s v="XYZ Pvt Ltd"/>
    <x v="1"/>
  </r>
  <r>
    <d v="2024-02-19T00:00:00"/>
    <s v="INV00456"/>
    <s v="Generator"/>
    <n v="35"/>
    <n v="25492"/>
    <n v="892220"/>
    <s v="East"/>
    <s v="Prime Industries"/>
    <x v="1"/>
  </r>
  <r>
    <d v="2024-02-09T00:00:00"/>
    <s v="INV00485"/>
    <s v="Motor"/>
    <n v="25"/>
    <n v="13507"/>
    <n v="337675"/>
    <s v="South"/>
    <s v="Skyline Ltd"/>
    <x v="1"/>
  </r>
  <r>
    <d v="2024-02-02T00:00:00"/>
    <s v="INV00490"/>
    <s v="Pump"/>
    <n v="1"/>
    <n v="44488"/>
    <n v="44488"/>
    <s v="East"/>
    <s v="ABC Ltd"/>
    <x v="1"/>
  </r>
  <r>
    <d v="2024-02-13T00:00:00"/>
    <s v="INV00491"/>
    <s v="Motor"/>
    <n v="22"/>
    <n v="44756"/>
    <n v="984632"/>
    <s v="West"/>
    <s v="Skyline Ltd"/>
    <x v="1"/>
  </r>
  <r>
    <d v="2024-02-02T00:00:00"/>
    <s v="INV00493"/>
    <s v="Pump"/>
    <n v="32"/>
    <n v="18443"/>
    <n v="590176"/>
    <s v="East"/>
    <s v="Global Corp"/>
    <x v="1"/>
  </r>
  <r>
    <d v="2024-02-04T00:00:00"/>
    <s v="INV00520"/>
    <s v="Generator"/>
    <n v="21"/>
    <n v="17092"/>
    <n v="358932"/>
    <s v="East"/>
    <s v="Skyline Ltd"/>
    <x v="1"/>
  </r>
  <r>
    <d v="2024-02-16T00:00:00"/>
    <s v="INV00524"/>
    <s v="Valve"/>
    <n v="21"/>
    <n v="14780"/>
    <n v="310380"/>
    <s v="North"/>
    <s v="Global Corp"/>
    <x v="1"/>
  </r>
  <r>
    <d v="2024-02-03T00:00:00"/>
    <s v="INV00540"/>
    <s v="Motor"/>
    <n v="19"/>
    <n v="40455"/>
    <n v="768645"/>
    <s v="West"/>
    <s v="ABC Ltd"/>
    <x v="1"/>
  </r>
  <r>
    <d v="2024-02-09T00:00:00"/>
    <s v="INV00548"/>
    <s v="Compressor"/>
    <n v="18"/>
    <n v="37692"/>
    <n v="678456"/>
    <s v="North"/>
    <s v="ABC Ltd"/>
    <x v="1"/>
  </r>
  <r>
    <d v="2024-02-15T00:00:00"/>
    <s v="INV00550"/>
    <s v="Generator"/>
    <n v="3"/>
    <n v="42269"/>
    <n v="126807"/>
    <s v="West"/>
    <s v="Skyline Ltd"/>
    <x v="1"/>
  </r>
  <r>
    <d v="2024-02-13T00:00:00"/>
    <s v="INV00554"/>
    <s v="Motor"/>
    <n v="9"/>
    <n v="39096"/>
    <n v="351864"/>
    <s v="North"/>
    <s v="Global Corp"/>
    <x v="1"/>
  </r>
  <r>
    <d v="2024-02-27T00:00:00"/>
    <s v="INV00563"/>
    <s v="Pump"/>
    <n v="13"/>
    <n v="40540"/>
    <n v="527020"/>
    <s v="South"/>
    <s v="XYZ Pvt Ltd"/>
    <x v="1"/>
  </r>
  <r>
    <d v="2024-02-22T00:00:00"/>
    <s v="INV00585"/>
    <s v="Pump"/>
    <n v="10"/>
    <n v="20614"/>
    <n v="206140"/>
    <s v="East"/>
    <s v="Skyline Ltd"/>
    <x v="1"/>
  </r>
  <r>
    <d v="2024-02-06T00:00:00"/>
    <s v="INV00590"/>
    <s v="Valve"/>
    <n v="20"/>
    <n v="15605"/>
    <n v="312100"/>
    <s v="South"/>
    <s v="Global Corp"/>
    <x v="1"/>
  </r>
  <r>
    <d v="2024-02-22T00:00:00"/>
    <s v="INV00602"/>
    <s v="Pump"/>
    <n v="30"/>
    <n v="33630"/>
    <n v="1008900"/>
    <s v="East"/>
    <s v="Prime Industries"/>
    <x v="1"/>
  </r>
  <r>
    <d v="2024-02-14T00:00:00"/>
    <s v="INV00610"/>
    <s v="Compressor"/>
    <n v="6"/>
    <n v="18838"/>
    <n v="113028"/>
    <s v="South"/>
    <s v="XYZ Pvt Ltd"/>
    <x v="1"/>
  </r>
  <r>
    <d v="2024-02-20T00:00:00"/>
    <s v="INV00618"/>
    <s v="Pump"/>
    <n v="5"/>
    <n v="31148"/>
    <n v="155740"/>
    <s v="West"/>
    <s v="Skyline Ltd"/>
    <x v="1"/>
  </r>
  <r>
    <d v="2024-02-19T00:00:00"/>
    <s v="INV00646"/>
    <s v="Valve"/>
    <n v="33"/>
    <n v="36907"/>
    <n v="1217931"/>
    <s v="North"/>
    <s v="Skyline Ltd"/>
    <x v="1"/>
  </r>
  <r>
    <d v="2024-02-24T00:00:00"/>
    <s v="INV00658"/>
    <s v="Pump"/>
    <n v="2"/>
    <n v="29968"/>
    <n v="59936"/>
    <s v="North"/>
    <s v="Prime Industries"/>
    <x v="1"/>
  </r>
  <r>
    <d v="2024-02-21T00:00:00"/>
    <s v="INV00661"/>
    <s v="Generator"/>
    <n v="34"/>
    <n v="40905"/>
    <n v="1390770"/>
    <s v="North"/>
    <s v="XYZ Pvt Ltd"/>
    <x v="1"/>
  </r>
  <r>
    <d v="2024-02-06T00:00:00"/>
    <s v="INV00670"/>
    <s v="Generator"/>
    <n v="29"/>
    <n v="30001"/>
    <n v="870029"/>
    <s v="North"/>
    <s v="Prime Industries"/>
    <x v="1"/>
  </r>
  <r>
    <d v="2024-02-15T00:00:00"/>
    <s v="INV00686"/>
    <s v="Generator"/>
    <n v="7"/>
    <n v="36533"/>
    <n v="255731"/>
    <s v="West"/>
    <s v="XYZ Pvt Ltd"/>
    <x v="1"/>
  </r>
  <r>
    <d v="2024-02-24T00:00:00"/>
    <s v="INV00687"/>
    <s v="Compressor"/>
    <n v="14"/>
    <n v="18552"/>
    <n v="259728"/>
    <s v="West"/>
    <s v="XYZ Pvt Ltd"/>
    <x v="1"/>
  </r>
  <r>
    <d v="2024-02-01T00:00:00"/>
    <s v="INV00689"/>
    <s v="Generator"/>
    <n v="2"/>
    <n v="9699"/>
    <n v="19398"/>
    <s v="West"/>
    <s v="ABC Ltd"/>
    <x v="1"/>
  </r>
  <r>
    <d v="2024-02-26T00:00:00"/>
    <s v="INV00694"/>
    <s v="Generator"/>
    <n v="8"/>
    <n v="35032"/>
    <n v="280256"/>
    <s v="West"/>
    <s v="ABC Ltd"/>
    <x v="1"/>
  </r>
  <r>
    <d v="2024-02-10T00:00:00"/>
    <s v="INV00698"/>
    <s v="Motor"/>
    <n v="38"/>
    <n v="31589"/>
    <n v="1200382"/>
    <s v="West"/>
    <s v="Global Corp"/>
    <x v="1"/>
  </r>
  <r>
    <d v="2024-02-23T00:00:00"/>
    <s v="INV00709"/>
    <s v="Motor"/>
    <n v="22"/>
    <n v="30086"/>
    <n v="661892"/>
    <s v="East"/>
    <s v="Skyline Ltd"/>
    <x v="1"/>
  </r>
  <r>
    <d v="2024-02-15T00:00:00"/>
    <s v="INV00719"/>
    <s v="Compressor"/>
    <n v="8"/>
    <n v="15740"/>
    <n v="125920"/>
    <s v="East"/>
    <s v="Global Corp"/>
    <x v="1"/>
  </r>
  <r>
    <d v="2024-02-27T00:00:00"/>
    <s v="INV00732"/>
    <s v="Motor"/>
    <n v="30"/>
    <n v="13132"/>
    <n v="393960"/>
    <s v="South"/>
    <s v="Prime Industries"/>
    <x v="1"/>
  </r>
  <r>
    <d v="2024-02-21T00:00:00"/>
    <s v="INV00787"/>
    <s v="Compressor"/>
    <n v="17"/>
    <n v="18376"/>
    <n v="312392"/>
    <s v="South"/>
    <s v="Skyline Ltd"/>
    <x v="1"/>
  </r>
  <r>
    <d v="2024-02-13T00:00:00"/>
    <s v="INV00791"/>
    <s v="Motor"/>
    <n v="1"/>
    <n v="23469"/>
    <n v="23469"/>
    <s v="East"/>
    <s v="XYZ Pvt Ltd"/>
    <x v="1"/>
  </r>
  <r>
    <d v="2024-02-01T00:00:00"/>
    <s v="INV00817"/>
    <s v="Generator"/>
    <n v="11"/>
    <n v="13916"/>
    <n v="153076"/>
    <s v="West"/>
    <s v="ABC Ltd"/>
    <x v="1"/>
  </r>
  <r>
    <d v="2024-02-09T00:00:00"/>
    <s v="INV00830"/>
    <s v="Motor"/>
    <n v="6"/>
    <n v="18243"/>
    <n v="109458"/>
    <s v="South"/>
    <s v="XYZ Pvt Ltd"/>
    <x v="1"/>
  </r>
  <r>
    <d v="2024-02-03T00:00:00"/>
    <s v="INV00837"/>
    <s v="Pump"/>
    <n v="28"/>
    <n v="44315"/>
    <n v="1240820"/>
    <s v="North"/>
    <s v="Prime Industries"/>
    <x v="1"/>
  </r>
  <r>
    <d v="2024-02-19T00:00:00"/>
    <s v="INV00841"/>
    <s v="Motor"/>
    <n v="5"/>
    <n v="7962"/>
    <n v="39810"/>
    <s v="South"/>
    <s v="XYZ Pvt Ltd"/>
    <x v="1"/>
  </r>
  <r>
    <d v="2024-02-29T00:00:00"/>
    <s v="INV00842"/>
    <s v="Compressor"/>
    <n v="38"/>
    <n v="5248"/>
    <n v="199424"/>
    <s v="North"/>
    <s v="ABC Ltd"/>
    <x v="1"/>
  </r>
  <r>
    <d v="2024-02-05T00:00:00"/>
    <s v="INV00845"/>
    <s v="Pump"/>
    <n v="30"/>
    <n v="16275"/>
    <n v="488250"/>
    <s v="West"/>
    <s v="ABC Ltd"/>
    <x v="1"/>
  </r>
  <r>
    <d v="2024-02-19T00:00:00"/>
    <s v="INV00853"/>
    <s v="Valve"/>
    <n v="32"/>
    <n v="20938"/>
    <n v="670016"/>
    <s v="South"/>
    <s v="XYZ Pvt Ltd"/>
    <x v="1"/>
  </r>
  <r>
    <d v="2024-02-09T00:00:00"/>
    <s v="INV00867"/>
    <s v="Valve"/>
    <n v="24"/>
    <n v="44489"/>
    <n v="1067736"/>
    <s v="East"/>
    <s v="Skyline Ltd"/>
    <x v="1"/>
  </r>
  <r>
    <d v="2024-02-18T00:00:00"/>
    <s v="INV00868"/>
    <s v="Compressor"/>
    <n v="36"/>
    <n v="15355"/>
    <n v="552780"/>
    <s v="East"/>
    <s v="ABC Ltd"/>
    <x v="1"/>
  </r>
  <r>
    <d v="2024-02-24T00:00:00"/>
    <s v="INV00901"/>
    <s v="Pump"/>
    <n v="9"/>
    <n v="22369"/>
    <n v="201321"/>
    <s v="West"/>
    <s v="XYZ Pvt Ltd"/>
    <x v="1"/>
  </r>
  <r>
    <d v="2024-02-04T00:00:00"/>
    <s v="INV00915"/>
    <s v="Motor"/>
    <n v="31"/>
    <n v="12258"/>
    <n v="379998"/>
    <s v="West"/>
    <s v="ABC Ltd"/>
    <x v="1"/>
  </r>
  <r>
    <d v="2024-02-25T00:00:00"/>
    <s v="INV00923"/>
    <s v="Generator"/>
    <n v="27"/>
    <n v="5929"/>
    <n v="160083"/>
    <s v="South"/>
    <s v="Prime Industries"/>
    <x v="1"/>
  </r>
  <r>
    <d v="2024-02-19T00:00:00"/>
    <s v="INV00972"/>
    <s v="Valve"/>
    <n v="32"/>
    <n v="24115"/>
    <n v="771680"/>
    <s v="East"/>
    <s v="Global Corp"/>
    <x v="1"/>
  </r>
  <r>
    <d v="2024-02-18T00:00:00"/>
    <s v="INV00995"/>
    <s v="Compressor"/>
    <n v="38"/>
    <n v="8834"/>
    <n v="335692"/>
    <s v="North"/>
    <s v="ABC Ltd"/>
    <x v="1"/>
  </r>
  <r>
    <d v="2024-02-08T00:00:00"/>
    <s v="INV01027"/>
    <s v="Generator"/>
    <n v="11"/>
    <n v="14992"/>
    <n v="164912"/>
    <s v="West"/>
    <s v="Skyline Ltd"/>
    <x v="1"/>
  </r>
  <r>
    <d v="2024-02-13T00:00:00"/>
    <s v="INV01055"/>
    <s v="Valve"/>
    <n v="22"/>
    <n v="5411"/>
    <n v="119042"/>
    <s v="West"/>
    <s v="XYZ Pvt Ltd"/>
    <x v="1"/>
  </r>
  <r>
    <d v="2024-02-03T00:00:00"/>
    <s v="INV01102"/>
    <s v="Pump"/>
    <n v="8"/>
    <n v="8782"/>
    <n v="70256"/>
    <s v="North"/>
    <s v="Prime Industries"/>
    <x v="1"/>
  </r>
  <r>
    <d v="2024-02-16T00:00:00"/>
    <s v="INV01103"/>
    <s v="Generator"/>
    <n v="20"/>
    <n v="9910"/>
    <n v="198200"/>
    <s v="North"/>
    <s v="Global Corp"/>
    <x v="1"/>
  </r>
  <r>
    <d v="2024-02-14T00:00:00"/>
    <s v="INV01115"/>
    <s v="Generator"/>
    <n v="12"/>
    <n v="10638"/>
    <n v="127656"/>
    <s v="East"/>
    <s v="Global Corp"/>
    <x v="1"/>
  </r>
  <r>
    <d v="2024-02-03T00:00:00"/>
    <s v="INV01137"/>
    <s v="Pump"/>
    <n v="29"/>
    <n v="28809"/>
    <n v="835461"/>
    <s v="North"/>
    <s v="Prime Industries"/>
    <x v="1"/>
  </r>
  <r>
    <d v="2024-02-26T00:00:00"/>
    <s v="INV01141"/>
    <s v="Generator"/>
    <n v="3"/>
    <n v="8498"/>
    <n v="25494"/>
    <s v="East"/>
    <s v="Skyline Ltd"/>
    <x v="1"/>
  </r>
  <r>
    <d v="2024-02-07T00:00:00"/>
    <s v="INV01157"/>
    <s v="Motor"/>
    <n v="25"/>
    <n v="6324"/>
    <n v="158100"/>
    <s v="South"/>
    <s v="Prime Industries"/>
    <x v="1"/>
  </r>
  <r>
    <d v="2024-02-20T00:00:00"/>
    <s v="INV01163"/>
    <s v="Compressor"/>
    <n v="24"/>
    <n v="32911"/>
    <n v="789864"/>
    <s v="East"/>
    <s v="XYZ Pvt Ltd"/>
    <x v="1"/>
  </r>
  <r>
    <d v="2024-02-09T00:00:00"/>
    <s v="INV01181"/>
    <s v="Valve"/>
    <n v="17"/>
    <n v="30935"/>
    <n v="525895"/>
    <s v="West"/>
    <s v="XYZ Pvt Ltd"/>
    <x v="1"/>
  </r>
  <r>
    <d v="2024-02-10T00:00:00"/>
    <s v="INV01185"/>
    <s v="Valve"/>
    <n v="21"/>
    <n v="6464"/>
    <n v="135744"/>
    <s v="North"/>
    <s v="XYZ Pvt Ltd"/>
    <x v="1"/>
  </r>
  <r>
    <d v="2024-02-22T00:00:00"/>
    <s v="INV01187"/>
    <s v="Pump"/>
    <n v="1"/>
    <n v="5708"/>
    <n v="5708"/>
    <s v="South"/>
    <s v="ABC Ltd"/>
    <x v="1"/>
  </r>
  <r>
    <d v="2024-02-17T00:00:00"/>
    <s v="INV01188"/>
    <s v="Compressor"/>
    <n v="29"/>
    <n v="40384"/>
    <n v="1171136"/>
    <s v="East"/>
    <s v="Skyline Ltd"/>
    <x v="1"/>
  </r>
  <r>
    <d v="2024-02-28T00:00:00"/>
    <s v="INV01194"/>
    <s v="Motor"/>
    <n v="40"/>
    <n v="21633"/>
    <n v="865320"/>
    <s v="South"/>
    <s v="ABC Ltd"/>
    <x v="1"/>
  </r>
  <r>
    <d v="2024-02-08T00:00:00"/>
    <s v="INV01196"/>
    <s v="Generator"/>
    <n v="25"/>
    <n v="5298"/>
    <n v="132450"/>
    <s v="North"/>
    <s v="XYZ Pvt Ltd"/>
    <x v="1"/>
  </r>
  <r>
    <d v="2024-02-06T00:00:00"/>
    <s v="INV01217"/>
    <s v="Motor"/>
    <n v="24"/>
    <n v="6060"/>
    <n v="145440"/>
    <s v="East"/>
    <s v="Prime Industries"/>
    <x v="1"/>
  </r>
  <r>
    <d v="2024-02-10T00:00:00"/>
    <s v="INV01221"/>
    <s v="Pump"/>
    <n v="35"/>
    <n v="37847"/>
    <n v="1324645"/>
    <s v="North"/>
    <s v="Prime Industries"/>
    <x v="1"/>
  </r>
  <r>
    <d v="2024-02-07T00:00:00"/>
    <s v="INV01231"/>
    <s v="Generator"/>
    <n v="23"/>
    <n v="18467"/>
    <n v="424741"/>
    <s v="East"/>
    <s v="XYZ Pvt Ltd"/>
    <x v="1"/>
  </r>
  <r>
    <d v="2024-02-16T00:00:00"/>
    <s v="INV01239"/>
    <s v="Generator"/>
    <n v="22"/>
    <n v="44398"/>
    <n v="976756"/>
    <s v="East"/>
    <s v="Global Corp"/>
    <x v="1"/>
  </r>
  <r>
    <d v="2024-02-12T00:00:00"/>
    <s v="INV01247"/>
    <s v="Pump"/>
    <n v="18"/>
    <n v="32340"/>
    <n v="582120"/>
    <s v="East"/>
    <s v="ABC Ltd"/>
    <x v="1"/>
  </r>
  <r>
    <d v="2024-02-23T00:00:00"/>
    <s v="INV01248"/>
    <s v="Generator"/>
    <n v="36"/>
    <n v="44285"/>
    <n v="1594260"/>
    <s v="West"/>
    <s v="ABC Ltd"/>
    <x v="1"/>
  </r>
  <r>
    <d v="2024-02-16T00:00:00"/>
    <s v="INV01302"/>
    <s v="Generator"/>
    <n v="36"/>
    <n v="19286"/>
    <n v="694296"/>
    <s v="North"/>
    <s v="Skyline Ltd"/>
    <x v="1"/>
  </r>
  <r>
    <d v="2024-02-19T00:00:00"/>
    <s v="INV01318"/>
    <s v="Generator"/>
    <n v="14"/>
    <n v="20997"/>
    <n v="293958"/>
    <s v="East"/>
    <s v="Skyline Ltd"/>
    <x v="1"/>
  </r>
  <r>
    <d v="2024-02-01T00:00:00"/>
    <s v="INV01321"/>
    <s v="Motor"/>
    <n v="18"/>
    <n v="44748"/>
    <n v="805464"/>
    <s v="East"/>
    <s v="ABC Ltd"/>
    <x v="1"/>
  </r>
  <r>
    <d v="2024-02-17T00:00:00"/>
    <s v="INV01336"/>
    <s v="Generator"/>
    <n v="18"/>
    <n v="25108"/>
    <n v="451944"/>
    <s v="South"/>
    <s v="XYZ Pvt Ltd"/>
    <x v="1"/>
  </r>
  <r>
    <d v="2024-02-19T00:00:00"/>
    <s v="INV01347"/>
    <s v="Valve"/>
    <n v="24"/>
    <n v="36305"/>
    <n v="871320"/>
    <s v="East"/>
    <s v="ABC Ltd"/>
    <x v="1"/>
  </r>
  <r>
    <d v="2024-02-27T00:00:00"/>
    <s v="INV01362"/>
    <s v="Motor"/>
    <n v="19"/>
    <n v="26850"/>
    <n v="510150"/>
    <s v="South"/>
    <s v="Global Corp"/>
    <x v="1"/>
  </r>
  <r>
    <d v="2024-02-04T00:00:00"/>
    <s v="INV01410"/>
    <s v="Motor"/>
    <n v="23"/>
    <n v="22762"/>
    <n v="523526"/>
    <s v="North"/>
    <s v="Prime Industries"/>
    <x v="1"/>
  </r>
  <r>
    <d v="2024-02-03T00:00:00"/>
    <s v="INV01412"/>
    <s v="Generator"/>
    <n v="29"/>
    <n v="8642"/>
    <n v="250618"/>
    <s v="East"/>
    <s v="Global Corp"/>
    <x v="1"/>
  </r>
  <r>
    <d v="2024-02-18T00:00:00"/>
    <s v="INV01418"/>
    <s v="Generator"/>
    <n v="19"/>
    <n v="41289"/>
    <n v="784491"/>
    <s v="South"/>
    <s v="XYZ Pvt Ltd"/>
    <x v="1"/>
  </r>
  <r>
    <d v="2024-02-03T00:00:00"/>
    <s v="INV01429"/>
    <s v="Valve"/>
    <n v="40"/>
    <n v="28409"/>
    <n v="1136360"/>
    <s v="East"/>
    <s v="XYZ Pvt Ltd"/>
    <x v="1"/>
  </r>
  <r>
    <d v="2024-02-06T00:00:00"/>
    <s v="INV01430"/>
    <s v="Generator"/>
    <n v="9"/>
    <n v="10286"/>
    <n v="92574"/>
    <s v="West"/>
    <s v="Prime Industries"/>
    <x v="1"/>
  </r>
  <r>
    <d v="2024-02-01T00:00:00"/>
    <s v="INV01442"/>
    <s v="Generator"/>
    <n v="38"/>
    <n v="19250"/>
    <n v="731500"/>
    <s v="South"/>
    <s v="Prime Industries"/>
    <x v="1"/>
  </r>
  <r>
    <d v="2024-02-17T00:00:00"/>
    <s v="INV01490"/>
    <s v="Pump"/>
    <n v="25"/>
    <n v="17491"/>
    <n v="437275"/>
    <s v="West"/>
    <s v="XYZ Pvt Ltd"/>
    <x v="1"/>
  </r>
  <r>
    <d v="2024-02-04T00:00:00"/>
    <s v="INV01499"/>
    <s v="Generator"/>
    <n v="18"/>
    <n v="23122"/>
    <n v="416196"/>
    <s v="South"/>
    <s v="Skyline Ltd"/>
    <x v="1"/>
  </r>
  <r>
    <d v="2024-03-14T00:00:00"/>
    <s v="INV00005"/>
    <s v="Compressor"/>
    <n v="25"/>
    <n v="26561"/>
    <n v="664025"/>
    <s v="East"/>
    <s v="Skyline Ltd"/>
    <x v="2"/>
  </r>
  <r>
    <d v="2024-03-17T00:00:00"/>
    <s v="INV00028"/>
    <s v="Generator"/>
    <n v="6"/>
    <n v="14930"/>
    <n v="89580"/>
    <s v="East"/>
    <s v="Skyline Ltd"/>
    <x v="2"/>
  </r>
  <r>
    <d v="2024-03-27T00:00:00"/>
    <s v="INV00064"/>
    <s v="Compressor"/>
    <n v="37"/>
    <n v="14638"/>
    <n v="541606"/>
    <s v="North"/>
    <s v="Prime Industries"/>
    <x v="2"/>
  </r>
  <r>
    <d v="2024-03-25T00:00:00"/>
    <s v="INV00075"/>
    <s v="Pump"/>
    <n v="8"/>
    <n v="30299"/>
    <n v="242392"/>
    <s v="South"/>
    <s v="XYZ Pvt Ltd"/>
    <x v="2"/>
  </r>
  <r>
    <d v="2024-03-07T00:00:00"/>
    <s v="INV00077"/>
    <s v="Compressor"/>
    <n v="20"/>
    <n v="14149"/>
    <n v="282980"/>
    <s v="North"/>
    <s v="ABC Ltd"/>
    <x v="2"/>
  </r>
  <r>
    <d v="2024-03-21T00:00:00"/>
    <s v="INV00080"/>
    <s v="Compressor"/>
    <n v="25"/>
    <n v="8354"/>
    <n v="208850"/>
    <s v="East"/>
    <s v="Global Corp"/>
    <x v="2"/>
  </r>
  <r>
    <d v="2024-03-26T00:00:00"/>
    <s v="INV00086"/>
    <s v="Pump"/>
    <n v="34"/>
    <n v="15932"/>
    <n v="541688"/>
    <s v="South"/>
    <s v="XYZ Pvt Ltd"/>
    <x v="2"/>
  </r>
  <r>
    <d v="2024-03-11T00:00:00"/>
    <s v="INV00091"/>
    <s v="Pump"/>
    <n v="29"/>
    <n v="17242"/>
    <n v="500018"/>
    <s v="South"/>
    <s v="Global Corp"/>
    <x v="2"/>
  </r>
  <r>
    <d v="2024-03-11T00:00:00"/>
    <s v="INV00098"/>
    <s v="Compressor"/>
    <n v="25"/>
    <n v="28914"/>
    <n v="722850"/>
    <s v="South"/>
    <s v="Prime Industries"/>
    <x v="2"/>
  </r>
  <r>
    <d v="2024-03-29T00:00:00"/>
    <s v="INV00109"/>
    <s v="Pump"/>
    <n v="26"/>
    <n v="22356"/>
    <n v="581256"/>
    <s v="South"/>
    <s v="ABC Ltd"/>
    <x v="2"/>
  </r>
  <r>
    <d v="2024-03-11T00:00:00"/>
    <s v="INV00116"/>
    <s v="Pump"/>
    <n v="12"/>
    <n v="18378"/>
    <n v="220536"/>
    <s v="West"/>
    <s v="Global Corp"/>
    <x v="2"/>
  </r>
  <r>
    <d v="2024-03-14T00:00:00"/>
    <s v="INV00119"/>
    <s v="Valve"/>
    <n v="27"/>
    <n v="36975"/>
    <n v="998325"/>
    <s v="West"/>
    <s v="Skyline Ltd"/>
    <x v="2"/>
  </r>
  <r>
    <d v="2024-03-04T00:00:00"/>
    <s v="INV00123"/>
    <s v="Generator"/>
    <n v="23"/>
    <n v="32683"/>
    <n v="751709"/>
    <s v="East"/>
    <s v="XYZ Pvt Ltd"/>
    <x v="2"/>
  </r>
  <r>
    <d v="2024-03-17T00:00:00"/>
    <s v="INV00124"/>
    <s v="Motor"/>
    <n v="33"/>
    <n v="6520"/>
    <n v="215160"/>
    <s v="South"/>
    <s v="Global Corp"/>
    <x v="2"/>
  </r>
  <r>
    <d v="2024-03-28T00:00:00"/>
    <s v="INV00128"/>
    <s v="Motor"/>
    <n v="11"/>
    <n v="10251"/>
    <n v="112761"/>
    <s v="North"/>
    <s v="Global Corp"/>
    <x v="2"/>
  </r>
  <r>
    <d v="2024-03-13T00:00:00"/>
    <s v="INV00151"/>
    <s v="Motor"/>
    <n v="16"/>
    <n v="13805"/>
    <n v="220880"/>
    <s v="East"/>
    <s v="Global Corp"/>
    <x v="2"/>
  </r>
  <r>
    <d v="2024-03-21T00:00:00"/>
    <s v="INV00170"/>
    <s v="Valve"/>
    <n v="17"/>
    <n v="20782"/>
    <n v="353294"/>
    <s v="South"/>
    <s v="Global Corp"/>
    <x v="2"/>
  </r>
  <r>
    <d v="2024-03-06T00:00:00"/>
    <s v="INV00178"/>
    <s v="Compressor"/>
    <n v="5"/>
    <n v="40916"/>
    <n v="204580"/>
    <s v="East"/>
    <s v="Skyline Ltd"/>
    <x v="2"/>
  </r>
  <r>
    <d v="2024-03-22T00:00:00"/>
    <s v="INV00186"/>
    <s v="Compressor"/>
    <n v="9"/>
    <n v="25362"/>
    <n v="228258"/>
    <s v="West"/>
    <s v="Prime Industries"/>
    <x v="2"/>
  </r>
  <r>
    <d v="2024-03-04T00:00:00"/>
    <s v="INV00197"/>
    <s v="Compressor"/>
    <n v="12"/>
    <n v="18116"/>
    <n v="217392"/>
    <s v="South"/>
    <s v="Global Corp"/>
    <x v="2"/>
  </r>
  <r>
    <d v="2024-03-27T00:00:00"/>
    <s v="INV00208"/>
    <s v="Valve"/>
    <n v="40"/>
    <n v="28178"/>
    <n v="1127120"/>
    <s v="South"/>
    <s v="ABC Ltd"/>
    <x v="2"/>
  </r>
  <r>
    <d v="2024-03-12T00:00:00"/>
    <s v="INV00218"/>
    <s v="Generator"/>
    <n v="32"/>
    <n v="43913"/>
    <n v="1405216"/>
    <s v="West"/>
    <s v="Global Corp"/>
    <x v="2"/>
  </r>
  <r>
    <d v="2024-03-28T00:00:00"/>
    <s v="INV00255"/>
    <s v="Valve"/>
    <n v="3"/>
    <n v="15075"/>
    <n v="45225"/>
    <s v="East"/>
    <s v="Prime Industries"/>
    <x v="2"/>
  </r>
  <r>
    <d v="2024-03-13T00:00:00"/>
    <s v="INV00265"/>
    <s v="Valve"/>
    <n v="15"/>
    <n v="11072"/>
    <n v="166080"/>
    <s v="West"/>
    <s v="Skyline Ltd"/>
    <x v="2"/>
  </r>
  <r>
    <d v="2024-03-31T00:00:00"/>
    <s v="INV00277"/>
    <s v="Generator"/>
    <n v="22"/>
    <n v="5451"/>
    <n v="119922"/>
    <s v="West"/>
    <s v="XYZ Pvt Ltd"/>
    <x v="2"/>
  </r>
  <r>
    <d v="2024-03-10T00:00:00"/>
    <s v="INV00281"/>
    <s v="Pump"/>
    <n v="10"/>
    <n v="23622"/>
    <n v="236220"/>
    <s v="South"/>
    <s v="Prime Industries"/>
    <x v="2"/>
  </r>
  <r>
    <d v="2024-03-10T00:00:00"/>
    <s v="INV00304"/>
    <s v="Pump"/>
    <n v="17"/>
    <n v="34969"/>
    <n v="594473"/>
    <s v="East"/>
    <s v="Prime Industries"/>
    <x v="2"/>
  </r>
  <r>
    <d v="2024-03-09T00:00:00"/>
    <s v="INV00322"/>
    <s v="Pump"/>
    <n v="40"/>
    <n v="25477"/>
    <n v="1019080"/>
    <s v="East"/>
    <s v="Global Corp"/>
    <x v="2"/>
  </r>
  <r>
    <d v="2024-03-04T00:00:00"/>
    <s v="INV00324"/>
    <s v="Motor"/>
    <n v="14"/>
    <n v="22337"/>
    <n v="312718"/>
    <s v="South"/>
    <s v="ABC Ltd"/>
    <x v="2"/>
  </r>
  <r>
    <d v="2024-03-21T00:00:00"/>
    <s v="INV00325"/>
    <s v="Pump"/>
    <n v="19"/>
    <n v="44313"/>
    <n v="841947"/>
    <s v="South"/>
    <s v="XYZ Pvt Ltd"/>
    <x v="2"/>
  </r>
  <r>
    <d v="2024-03-03T00:00:00"/>
    <s v="INV00326"/>
    <s v="Motor"/>
    <n v="13"/>
    <n v="42663"/>
    <n v="554619"/>
    <s v="North"/>
    <s v="Skyline Ltd"/>
    <x v="2"/>
  </r>
  <r>
    <d v="2024-03-19T00:00:00"/>
    <s v="INV00338"/>
    <s v="Compressor"/>
    <n v="21"/>
    <n v="23605"/>
    <n v="495705"/>
    <s v="North"/>
    <s v="Skyline Ltd"/>
    <x v="2"/>
  </r>
  <r>
    <d v="2024-03-16T00:00:00"/>
    <s v="INV00356"/>
    <s v="Valve"/>
    <n v="12"/>
    <n v="11496"/>
    <n v="137952"/>
    <s v="East"/>
    <s v="ABC Ltd"/>
    <x v="2"/>
  </r>
  <r>
    <d v="2024-03-22T00:00:00"/>
    <s v="INV00357"/>
    <s v="Compressor"/>
    <n v="10"/>
    <n v="40455"/>
    <n v="404550"/>
    <s v="North"/>
    <s v="Skyline Ltd"/>
    <x v="2"/>
  </r>
  <r>
    <d v="2024-03-25T00:00:00"/>
    <s v="INV00368"/>
    <s v="Generator"/>
    <n v="19"/>
    <n v="40859"/>
    <n v="776321"/>
    <s v="North"/>
    <s v="Global Corp"/>
    <x v="2"/>
  </r>
  <r>
    <d v="2024-03-06T00:00:00"/>
    <s v="INV00383"/>
    <s v="Generator"/>
    <n v="34"/>
    <n v="20480"/>
    <n v="696320"/>
    <s v="South"/>
    <s v="Skyline Ltd"/>
    <x v="2"/>
  </r>
  <r>
    <d v="2024-03-11T00:00:00"/>
    <s v="INV00392"/>
    <s v="Generator"/>
    <n v="32"/>
    <n v="31634"/>
    <n v="1012288"/>
    <s v="South"/>
    <s v="XYZ Pvt Ltd"/>
    <x v="2"/>
  </r>
  <r>
    <d v="2024-03-17T00:00:00"/>
    <s v="INV00402"/>
    <s v="Generator"/>
    <n v="11"/>
    <n v="23562"/>
    <n v="259182"/>
    <s v="West"/>
    <s v="Skyline Ltd"/>
    <x v="2"/>
  </r>
  <r>
    <d v="2024-03-24T00:00:00"/>
    <s v="INV00420"/>
    <s v="Compressor"/>
    <n v="39"/>
    <n v="37745"/>
    <n v="1472055"/>
    <s v="North"/>
    <s v="Global Corp"/>
    <x v="2"/>
  </r>
  <r>
    <d v="2024-03-04T00:00:00"/>
    <s v="INV00442"/>
    <s v="Valve"/>
    <n v="4"/>
    <n v="9137"/>
    <n v="36548"/>
    <s v="South"/>
    <s v="ABC Ltd"/>
    <x v="2"/>
  </r>
  <r>
    <d v="2024-03-26T00:00:00"/>
    <s v="INV00449"/>
    <s v="Motor"/>
    <n v="9"/>
    <n v="21000"/>
    <n v="189000"/>
    <s v="South"/>
    <s v="Global Corp"/>
    <x v="2"/>
  </r>
  <r>
    <d v="2024-03-11T00:00:00"/>
    <s v="INV00453"/>
    <s v="Generator"/>
    <n v="20"/>
    <n v="39157"/>
    <n v="783140"/>
    <s v="South"/>
    <s v="Skyline Ltd"/>
    <x v="2"/>
  </r>
  <r>
    <d v="2024-03-31T00:00:00"/>
    <s v="INV00458"/>
    <s v="Pump"/>
    <n v="9"/>
    <n v="14953"/>
    <n v="134577"/>
    <s v="West"/>
    <s v="Skyline Ltd"/>
    <x v="2"/>
  </r>
  <r>
    <d v="2024-03-19T00:00:00"/>
    <s v="INV00462"/>
    <s v="Valve"/>
    <n v="35"/>
    <n v="43840"/>
    <n v="1534400"/>
    <s v="South"/>
    <s v="ABC Ltd"/>
    <x v="2"/>
  </r>
  <r>
    <d v="2024-03-31T00:00:00"/>
    <s v="INV00492"/>
    <s v="Valve"/>
    <n v="36"/>
    <n v="8287"/>
    <n v="298332"/>
    <s v="North"/>
    <s v="Skyline Ltd"/>
    <x v="2"/>
  </r>
  <r>
    <d v="2024-03-10T00:00:00"/>
    <s v="INV00496"/>
    <s v="Compressor"/>
    <n v="14"/>
    <n v="30571"/>
    <n v="427994"/>
    <s v="North"/>
    <s v="XYZ Pvt Ltd"/>
    <x v="2"/>
  </r>
  <r>
    <d v="2024-03-12T00:00:00"/>
    <s v="INV00509"/>
    <s v="Compressor"/>
    <n v="33"/>
    <n v="23804"/>
    <n v="785532"/>
    <s v="East"/>
    <s v="Global Corp"/>
    <x v="2"/>
  </r>
  <r>
    <d v="2024-03-02T00:00:00"/>
    <s v="INV00517"/>
    <s v="Motor"/>
    <n v="35"/>
    <n v="27756"/>
    <n v="971460"/>
    <s v="West"/>
    <s v="Prime Industries"/>
    <x v="2"/>
  </r>
  <r>
    <d v="2024-03-24T00:00:00"/>
    <s v="INV00526"/>
    <s v="Pump"/>
    <n v="10"/>
    <n v="23744"/>
    <n v="237440"/>
    <s v="West"/>
    <s v="Skyline Ltd"/>
    <x v="2"/>
  </r>
  <r>
    <d v="2024-03-29T00:00:00"/>
    <s v="INV00542"/>
    <s v="Generator"/>
    <n v="9"/>
    <n v="44210"/>
    <n v="397890"/>
    <s v="West"/>
    <s v="ABC Ltd"/>
    <x v="2"/>
  </r>
  <r>
    <d v="2024-03-17T00:00:00"/>
    <s v="INV00556"/>
    <s v="Motor"/>
    <n v="17"/>
    <n v="6972"/>
    <n v="118524"/>
    <s v="West"/>
    <s v="ABC Ltd"/>
    <x v="2"/>
  </r>
  <r>
    <d v="2024-03-10T00:00:00"/>
    <s v="INV00575"/>
    <s v="Motor"/>
    <n v="37"/>
    <n v="41115"/>
    <n v="1521255"/>
    <s v="East"/>
    <s v="XYZ Pvt Ltd"/>
    <x v="2"/>
  </r>
  <r>
    <d v="2024-03-28T00:00:00"/>
    <s v="INV00579"/>
    <s v="Generator"/>
    <n v="14"/>
    <n v="13207"/>
    <n v="184898"/>
    <s v="North"/>
    <s v="Prime Industries"/>
    <x v="2"/>
  </r>
  <r>
    <d v="2024-03-01T00:00:00"/>
    <s v="INV00584"/>
    <s v="Motor"/>
    <n v="28"/>
    <n v="44054"/>
    <n v="1233512"/>
    <s v="South"/>
    <s v="Global Corp"/>
    <x v="2"/>
  </r>
  <r>
    <d v="2024-03-11T00:00:00"/>
    <s v="INV00600"/>
    <s v="Motor"/>
    <n v="27"/>
    <n v="19394"/>
    <n v="523638"/>
    <s v="East"/>
    <s v="Prime Industries"/>
    <x v="2"/>
  </r>
  <r>
    <d v="2024-03-06T00:00:00"/>
    <s v="INV00623"/>
    <s v="Pump"/>
    <n v="2"/>
    <n v="28704"/>
    <n v="57408"/>
    <s v="South"/>
    <s v="Prime Industries"/>
    <x v="2"/>
  </r>
  <r>
    <d v="2024-03-31T00:00:00"/>
    <s v="INV00636"/>
    <s v="Compressor"/>
    <n v="7"/>
    <n v="8707"/>
    <n v="60949"/>
    <s v="West"/>
    <s v="ABC Ltd"/>
    <x v="2"/>
  </r>
  <r>
    <d v="2024-03-19T00:00:00"/>
    <s v="INV00637"/>
    <s v="Motor"/>
    <n v="21"/>
    <n v="6587"/>
    <n v="138327"/>
    <s v="West"/>
    <s v="ABC Ltd"/>
    <x v="2"/>
  </r>
  <r>
    <d v="2024-03-08T00:00:00"/>
    <s v="INV00638"/>
    <s v="Valve"/>
    <n v="15"/>
    <n v="13938"/>
    <n v="209070"/>
    <s v="East"/>
    <s v="Skyline Ltd"/>
    <x v="2"/>
  </r>
  <r>
    <d v="2024-03-05T00:00:00"/>
    <s v="INV00650"/>
    <s v="Valve"/>
    <n v="21"/>
    <n v="25405"/>
    <n v="533505"/>
    <s v="North"/>
    <s v="Prime Industries"/>
    <x v="2"/>
  </r>
  <r>
    <d v="2024-03-05T00:00:00"/>
    <s v="INV00716"/>
    <s v="Motor"/>
    <n v="12"/>
    <n v="34142"/>
    <n v="409704"/>
    <s v="East"/>
    <s v="Global Corp"/>
    <x v="2"/>
  </r>
  <r>
    <d v="2024-03-03T00:00:00"/>
    <s v="INV00733"/>
    <s v="Compressor"/>
    <n v="21"/>
    <n v="44231"/>
    <n v="928851"/>
    <s v="South"/>
    <s v="Skyline Ltd"/>
    <x v="2"/>
  </r>
  <r>
    <d v="2024-03-14T00:00:00"/>
    <s v="INV00741"/>
    <s v="Pump"/>
    <n v="20"/>
    <n v="18182"/>
    <n v="363640"/>
    <s v="West"/>
    <s v="ABC Ltd"/>
    <x v="2"/>
  </r>
  <r>
    <d v="2024-03-14T00:00:00"/>
    <s v="INV00767"/>
    <s v="Valve"/>
    <n v="21"/>
    <n v="7676"/>
    <n v="161196"/>
    <s v="North"/>
    <s v="Skyline Ltd"/>
    <x v="2"/>
  </r>
  <r>
    <d v="2024-03-05T00:00:00"/>
    <s v="INV00778"/>
    <s v="Motor"/>
    <n v="10"/>
    <n v="19004"/>
    <n v="190040"/>
    <s v="South"/>
    <s v="Prime Industries"/>
    <x v="2"/>
  </r>
  <r>
    <d v="2024-03-31T00:00:00"/>
    <s v="INV00809"/>
    <s v="Valve"/>
    <n v="37"/>
    <n v="15195"/>
    <n v="562215"/>
    <s v="South"/>
    <s v="Skyline Ltd"/>
    <x v="2"/>
  </r>
  <r>
    <d v="2024-03-13T00:00:00"/>
    <s v="INV00811"/>
    <s v="Valve"/>
    <n v="25"/>
    <n v="19665"/>
    <n v="491625"/>
    <s v="North"/>
    <s v="Skyline Ltd"/>
    <x v="2"/>
  </r>
  <r>
    <d v="2024-03-11T00:00:00"/>
    <s v="INV00814"/>
    <s v="Valve"/>
    <n v="1"/>
    <n v="17303"/>
    <n v="17303"/>
    <s v="South"/>
    <s v="XYZ Pvt Ltd"/>
    <x v="2"/>
  </r>
  <r>
    <d v="2024-03-22T00:00:00"/>
    <s v="INV00848"/>
    <s v="Compressor"/>
    <n v="39"/>
    <n v="22949"/>
    <n v="895011"/>
    <s v="East"/>
    <s v="Global Corp"/>
    <x v="2"/>
  </r>
  <r>
    <d v="2024-03-28T00:00:00"/>
    <s v="INV00852"/>
    <s v="Generator"/>
    <n v="24"/>
    <n v="9697"/>
    <n v="232728"/>
    <s v="West"/>
    <s v="XYZ Pvt Ltd"/>
    <x v="2"/>
  </r>
  <r>
    <d v="2024-03-09T00:00:00"/>
    <s v="INV00858"/>
    <s v="Pump"/>
    <n v="7"/>
    <n v="12257"/>
    <n v="85799"/>
    <s v="West"/>
    <s v="Skyline Ltd"/>
    <x v="2"/>
  </r>
  <r>
    <d v="2024-03-17T00:00:00"/>
    <s v="INV00864"/>
    <s v="Compressor"/>
    <n v="8"/>
    <n v="41128"/>
    <n v="329024"/>
    <s v="West"/>
    <s v="Prime Industries"/>
    <x v="2"/>
  </r>
  <r>
    <d v="2024-03-21T00:00:00"/>
    <s v="INV00876"/>
    <s v="Valve"/>
    <n v="40"/>
    <n v="11970"/>
    <n v="478800"/>
    <s v="West"/>
    <s v="Prime Industries"/>
    <x v="2"/>
  </r>
  <r>
    <d v="2024-03-06T00:00:00"/>
    <s v="INV00884"/>
    <s v="Compressor"/>
    <n v="14"/>
    <n v="44586"/>
    <n v="624204"/>
    <s v="North"/>
    <s v="Global Corp"/>
    <x v="2"/>
  </r>
  <r>
    <d v="2024-03-09T00:00:00"/>
    <s v="INV00903"/>
    <s v="Compressor"/>
    <n v="37"/>
    <n v="39191"/>
    <n v="1450067"/>
    <s v="West"/>
    <s v="Skyline Ltd"/>
    <x v="2"/>
  </r>
  <r>
    <d v="2024-03-07T00:00:00"/>
    <s v="INV00905"/>
    <s v="Valve"/>
    <n v="27"/>
    <n v="22836"/>
    <n v="616572"/>
    <s v="West"/>
    <s v="Skyline Ltd"/>
    <x v="2"/>
  </r>
  <r>
    <d v="2024-03-07T00:00:00"/>
    <s v="INV00932"/>
    <s v="Compressor"/>
    <n v="31"/>
    <n v="20196"/>
    <n v="626076"/>
    <s v="West"/>
    <s v="XYZ Pvt Ltd"/>
    <x v="2"/>
  </r>
  <r>
    <d v="2024-03-26T00:00:00"/>
    <s v="INV00938"/>
    <s v="Generator"/>
    <n v="11"/>
    <n v="31207"/>
    <n v="343277"/>
    <s v="North"/>
    <s v="Skyline Ltd"/>
    <x v="2"/>
  </r>
  <r>
    <d v="2024-03-07T00:00:00"/>
    <s v="INV00940"/>
    <s v="Valve"/>
    <n v="8"/>
    <n v="25877"/>
    <n v="207016"/>
    <s v="East"/>
    <s v="ABC Ltd"/>
    <x v="2"/>
  </r>
  <r>
    <d v="2024-03-22T00:00:00"/>
    <s v="INV00960"/>
    <s v="Motor"/>
    <n v="23"/>
    <n v="28731"/>
    <n v="660813"/>
    <s v="North"/>
    <s v="Global Corp"/>
    <x v="2"/>
  </r>
  <r>
    <d v="2024-03-25T00:00:00"/>
    <s v="INV00967"/>
    <s v="Valve"/>
    <n v="30"/>
    <n v="24974"/>
    <n v="749220"/>
    <s v="East"/>
    <s v="ABC Ltd"/>
    <x v="2"/>
  </r>
  <r>
    <d v="2024-03-24T00:00:00"/>
    <s v="INV00969"/>
    <s v="Pump"/>
    <n v="20"/>
    <n v="35311"/>
    <n v="706220"/>
    <s v="South"/>
    <s v="ABC Ltd"/>
    <x v="2"/>
  </r>
  <r>
    <d v="2024-03-04T00:00:00"/>
    <s v="INV00978"/>
    <s v="Generator"/>
    <n v="13"/>
    <n v="25081"/>
    <n v="326053"/>
    <s v="East"/>
    <s v="XYZ Pvt Ltd"/>
    <x v="2"/>
  </r>
  <r>
    <d v="2024-03-12T00:00:00"/>
    <s v="INV00996"/>
    <s v="Generator"/>
    <n v="36"/>
    <n v="22672"/>
    <n v="816192"/>
    <s v="South"/>
    <s v="Prime Industries"/>
    <x v="2"/>
  </r>
  <r>
    <d v="2024-03-04T00:00:00"/>
    <s v="INV01019"/>
    <s v="Generator"/>
    <n v="23"/>
    <n v="39352"/>
    <n v="905096"/>
    <s v="West"/>
    <s v="XYZ Pvt Ltd"/>
    <x v="2"/>
  </r>
  <r>
    <d v="2024-03-30T00:00:00"/>
    <s v="INV01024"/>
    <s v="Motor"/>
    <n v="28"/>
    <n v="18252"/>
    <n v="511056"/>
    <s v="East"/>
    <s v="ABC Ltd"/>
    <x v="2"/>
  </r>
  <r>
    <d v="2024-03-01T00:00:00"/>
    <s v="INV01046"/>
    <s v="Valve"/>
    <n v="2"/>
    <n v="39405"/>
    <n v="78810"/>
    <s v="East"/>
    <s v="Global Corp"/>
    <x v="2"/>
  </r>
  <r>
    <d v="2024-03-10T00:00:00"/>
    <s v="INV01051"/>
    <s v="Motor"/>
    <n v="4"/>
    <n v="27840"/>
    <n v="111360"/>
    <s v="East"/>
    <s v="Prime Industries"/>
    <x v="2"/>
  </r>
  <r>
    <d v="2024-03-10T00:00:00"/>
    <s v="INV01071"/>
    <s v="Valve"/>
    <n v="6"/>
    <n v="32479"/>
    <n v="194874"/>
    <s v="North"/>
    <s v="Skyline Ltd"/>
    <x v="2"/>
  </r>
  <r>
    <d v="2024-03-05T00:00:00"/>
    <s v="INV01082"/>
    <s v="Generator"/>
    <n v="31"/>
    <n v="15003"/>
    <n v="465093"/>
    <s v="North"/>
    <s v="Prime Industries"/>
    <x v="2"/>
  </r>
  <r>
    <d v="2024-03-05T00:00:00"/>
    <s v="INV01083"/>
    <s v="Valve"/>
    <n v="3"/>
    <n v="8963"/>
    <n v="26889"/>
    <s v="North"/>
    <s v="Global Corp"/>
    <x v="2"/>
  </r>
  <r>
    <d v="2024-03-29T00:00:00"/>
    <s v="INV01086"/>
    <s v="Compressor"/>
    <n v="38"/>
    <n v="22196"/>
    <n v="843448"/>
    <s v="South"/>
    <s v="Skyline Ltd"/>
    <x v="2"/>
  </r>
  <r>
    <d v="2024-03-08T00:00:00"/>
    <s v="INV01088"/>
    <s v="Valve"/>
    <n v="40"/>
    <n v="29589"/>
    <n v="1183560"/>
    <s v="South"/>
    <s v="Prime Industries"/>
    <x v="2"/>
  </r>
  <r>
    <d v="2024-03-24T00:00:00"/>
    <s v="INV01091"/>
    <s v="Generator"/>
    <n v="14"/>
    <n v="21905"/>
    <n v="306670"/>
    <s v="South"/>
    <s v="Global Corp"/>
    <x v="2"/>
  </r>
  <r>
    <d v="2024-03-19T00:00:00"/>
    <s v="INV01095"/>
    <s v="Compressor"/>
    <n v="19"/>
    <n v="29169"/>
    <n v="554211"/>
    <s v="South"/>
    <s v="Prime Industries"/>
    <x v="2"/>
  </r>
  <r>
    <d v="2024-03-04T00:00:00"/>
    <s v="INV01106"/>
    <s v="Valve"/>
    <n v="8"/>
    <n v="19210"/>
    <n v="153680"/>
    <s v="North"/>
    <s v="Skyline Ltd"/>
    <x v="2"/>
  </r>
  <r>
    <d v="2024-03-28T00:00:00"/>
    <s v="INV01126"/>
    <s v="Valve"/>
    <n v="24"/>
    <n v="7953"/>
    <n v="190872"/>
    <s v="West"/>
    <s v="ABC Ltd"/>
    <x v="2"/>
  </r>
  <r>
    <d v="2024-03-23T00:00:00"/>
    <s v="INV01136"/>
    <s v="Motor"/>
    <n v="14"/>
    <n v="14947"/>
    <n v="209258"/>
    <s v="South"/>
    <s v="Prime Industries"/>
    <x v="2"/>
  </r>
  <r>
    <d v="2024-03-27T00:00:00"/>
    <s v="INV01148"/>
    <s v="Valve"/>
    <n v="40"/>
    <n v="30021"/>
    <n v="1200840"/>
    <s v="South"/>
    <s v="Skyline Ltd"/>
    <x v="2"/>
  </r>
  <r>
    <d v="2024-03-08T00:00:00"/>
    <s v="INV01151"/>
    <s v="Generator"/>
    <n v="3"/>
    <n v="18614"/>
    <n v="55842"/>
    <s v="North"/>
    <s v="Skyline Ltd"/>
    <x v="2"/>
  </r>
  <r>
    <d v="2024-03-14T00:00:00"/>
    <s v="INV01164"/>
    <s v="Compressor"/>
    <n v="34"/>
    <n v="12928"/>
    <n v="439552"/>
    <s v="East"/>
    <s v="Skyline Ltd"/>
    <x v="2"/>
  </r>
  <r>
    <d v="2024-03-11T00:00:00"/>
    <s v="INV01173"/>
    <s v="Generator"/>
    <n v="12"/>
    <n v="29532"/>
    <n v="354384"/>
    <s v="South"/>
    <s v="ABC Ltd"/>
    <x v="2"/>
  </r>
  <r>
    <d v="2024-03-23T00:00:00"/>
    <s v="INV01174"/>
    <s v="Valve"/>
    <n v="1"/>
    <n v="21875"/>
    <n v="21875"/>
    <s v="South"/>
    <s v="Prime Industries"/>
    <x v="2"/>
  </r>
  <r>
    <d v="2024-03-29T00:00:00"/>
    <s v="INV01180"/>
    <s v="Compressor"/>
    <n v="8"/>
    <n v="27220"/>
    <n v="217760"/>
    <s v="East"/>
    <s v="ABC Ltd"/>
    <x v="2"/>
  </r>
  <r>
    <d v="2024-03-07T00:00:00"/>
    <s v="INV01199"/>
    <s v="Compressor"/>
    <n v="24"/>
    <n v="22962"/>
    <n v="551088"/>
    <s v="South"/>
    <s v="XYZ Pvt Ltd"/>
    <x v="2"/>
  </r>
  <r>
    <d v="2024-03-30T00:00:00"/>
    <s v="INV01208"/>
    <s v="Compressor"/>
    <n v="25"/>
    <n v="22822"/>
    <n v="570550"/>
    <s v="South"/>
    <s v="Prime Industries"/>
    <x v="2"/>
  </r>
  <r>
    <d v="2024-03-09T00:00:00"/>
    <s v="INV01218"/>
    <s v="Generator"/>
    <n v="22"/>
    <n v="6302"/>
    <n v="138644"/>
    <s v="East"/>
    <s v="Prime Industries"/>
    <x v="2"/>
  </r>
  <r>
    <d v="2024-03-02T00:00:00"/>
    <s v="INV01223"/>
    <s v="Pump"/>
    <n v="39"/>
    <n v="32147"/>
    <n v="1253733"/>
    <s v="South"/>
    <s v="Skyline Ltd"/>
    <x v="2"/>
  </r>
  <r>
    <d v="2024-03-15T00:00:00"/>
    <s v="INV01226"/>
    <s v="Valve"/>
    <n v="11"/>
    <n v="37924"/>
    <n v="417164"/>
    <s v="East"/>
    <s v="ABC Ltd"/>
    <x v="2"/>
  </r>
  <r>
    <d v="2024-03-27T00:00:00"/>
    <s v="INV01237"/>
    <s v="Motor"/>
    <n v="37"/>
    <n v="27602"/>
    <n v="1021274"/>
    <s v="West"/>
    <s v="Global Corp"/>
    <x v="2"/>
  </r>
  <r>
    <d v="2024-03-17T00:00:00"/>
    <s v="INV01264"/>
    <s v="Motor"/>
    <n v="24"/>
    <n v="30393"/>
    <n v="729432"/>
    <s v="North"/>
    <s v="Prime Industries"/>
    <x v="2"/>
  </r>
  <r>
    <d v="2024-03-09T00:00:00"/>
    <s v="INV01268"/>
    <s v="Generator"/>
    <n v="31"/>
    <n v="41146"/>
    <n v="1275526"/>
    <s v="West"/>
    <s v="Prime Industries"/>
    <x v="2"/>
  </r>
  <r>
    <d v="2024-03-06T00:00:00"/>
    <s v="INV01282"/>
    <s v="Generator"/>
    <n v="32"/>
    <n v="17022"/>
    <n v="544704"/>
    <s v="West"/>
    <s v="XYZ Pvt Ltd"/>
    <x v="2"/>
  </r>
  <r>
    <d v="2024-03-28T00:00:00"/>
    <s v="INV01286"/>
    <s v="Generator"/>
    <n v="26"/>
    <n v="42835"/>
    <n v="1113710"/>
    <s v="South"/>
    <s v="Skyline Ltd"/>
    <x v="2"/>
  </r>
  <r>
    <d v="2024-03-30T00:00:00"/>
    <s v="INV01304"/>
    <s v="Valve"/>
    <n v="27"/>
    <n v="13874"/>
    <n v="374598"/>
    <s v="East"/>
    <s v="XYZ Pvt Ltd"/>
    <x v="2"/>
  </r>
  <r>
    <d v="2024-03-18T00:00:00"/>
    <s v="INV01314"/>
    <s v="Valve"/>
    <n v="23"/>
    <n v="26530"/>
    <n v="610190"/>
    <s v="North"/>
    <s v="Prime Industries"/>
    <x v="2"/>
  </r>
  <r>
    <d v="2024-03-11T00:00:00"/>
    <s v="INV01330"/>
    <s v="Pump"/>
    <n v="12"/>
    <n v="12813"/>
    <n v="153756"/>
    <s v="North"/>
    <s v="Prime Industries"/>
    <x v="2"/>
  </r>
  <r>
    <d v="2024-03-26T00:00:00"/>
    <s v="INV01331"/>
    <s v="Motor"/>
    <n v="3"/>
    <n v="12634"/>
    <n v="37902"/>
    <s v="North"/>
    <s v="Skyline Ltd"/>
    <x v="2"/>
  </r>
  <r>
    <d v="2024-03-07T00:00:00"/>
    <s v="INV01334"/>
    <s v="Compressor"/>
    <n v="7"/>
    <n v="44820"/>
    <n v="313740"/>
    <s v="North"/>
    <s v="ABC Ltd"/>
    <x v="2"/>
  </r>
  <r>
    <d v="2024-03-26T00:00:00"/>
    <s v="INV01349"/>
    <s v="Motor"/>
    <n v="32"/>
    <n v="7838"/>
    <n v="250816"/>
    <s v="West"/>
    <s v="Global Corp"/>
    <x v="2"/>
  </r>
  <r>
    <d v="2024-03-03T00:00:00"/>
    <s v="INV01363"/>
    <s v="Compressor"/>
    <n v="36"/>
    <n v="25185"/>
    <n v="906660"/>
    <s v="East"/>
    <s v="Prime Industries"/>
    <x v="2"/>
  </r>
  <r>
    <d v="2024-03-04T00:00:00"/>
    <s v="INV01370"/>
    <s v="Motor"/>
    <n v="20"/>
    <n v="41407"/>
    <n v="828140"/>
    <s v="East"/>
    <s v="Global Corp"/>
    <x v="2"/>
  </r>
  <r>
    <d v="2024-03-11T00:00:00"/>
    <s v="INV01393"/>
    <s v="Motor"/>
    <n v="20"/>
    <n v="17217"/>
    <n v="344340"/>
    <s v="East"/>
    <s v="Prime Industries"/>
    <x v="2"/>
  </r>
  <r>
    <d v="2024-03-06T00:00:00"/>
    <s v="INV01401"/>
    <s v="Valve"/>
    <n v="39"/>
    <n v="14219"/>
    <n v="554541"/>
    <s v="South"/>
    <s v="Prime Industries"/>
    <x v="2"/>
  </r>
  <r>
    <d v="2024-03-31T00:00:00"/>
    <s v="INV01415"/>
    <s v="Compressor"/>
    <n v="18"/>
    <n v="41387"/>
    <n v="744966"/>
    <s v="East"/>
    <s v="Prime Industries"/>
    <x v="2"/>
  </r>
  <r>
    <d v="2024-03-10T00:00:00"/>
    <s v="INV01433"/>
    <s v="Valve"/>
    <n v="12"/>
    <n v="28396"/>
    <n v="340752"/>
    <s v="West"/>
    <s v="Global Corp"/>
    <x v="2"/>
  </r>
  <r>
    <d v="2024-03-07T00:00:00"/>
    <s v="INV01436"/>
    <s v="Motor"/>
    <n v="6"/>
    <n v="25493"/>
    <n v="152958"/>
    <s v="North"/>
    <s v="Global Corp"/>
    <x v="2"/>
  </r>
  <r>
    <d v="2024-03-29T00:00:00"/>
    <s v="INV01444"/>
    <s v="Pump"/>
    <n v="11"/>
    <n v="31251"/>
    <n v="343761"/>
    <s v="East"/>
    <s v="Skyline Ltd"/>
    <x v="2"/>
  </r>
  <r>
    <d v="2024-04-12T00:00:00"/>
    <s v="INV00001"/>
    <s v="Compressor"/>
    <n v="13"/>
    <n v="29299"/>
    <n v="380887"/>
    <s v="West"/>
    <s v="XYZ Pvt Ltd"/>
    <x v="3"/>
  </r>
  <r>
    <d v="2024-04-15T00:00:00"/>
    <s v="INV00008"/>
    <s v="Pump"/>
    <n v="25"/>
    <n v="28802"/>
    <n v="720050"/>
    <s v="East"/>
    <s v="Prime Industries"/>
    <x v="3"/>
  </r>
  <r>
    <d v="2024-04-26T00:00:00"/>
    <s v="INV00016"/>
    <s v="Pump"/>
    <n v="14"/>
    <n v="8232"/>
    <n v="115248"/>
    <s v="East"/>
    <s v="Global Corp"/>
    <x v="3"/>
  </r>
  <r>
    <d v="2024-04-04T00:00:00"/>
    <s v="INV00020"/>
    <s v="Valve"/>
    <n v="1"/>
    <n v="25837"/>
    <n v="25837"/>
    <s v="North"/>
    <s v="XYZ Pvt Ltd"/>
    <x v="3"/>
  </r>
  <r>
    <d v="2024-04-20T00:00:00"/>
    <s v="INV00044"/>
    <s v="Motor"/>
    <n v="35"/>
    <n v="9886"/>
    <n v="346010"/>
    <s v="South"/>
    <s v="XYZ Pvt Ltd"/>
    <x v="3"/>
  </r>
  <r>
    <d v="2024-04-26T00:00:00"/>
    <s v="INV00050"/>
    <s v="Pump"/>
    <n v="1"/>
    <n v="10569"/>
    <n v="10569"/>
    <s v="East"/>
    <s v="Skyline Ltd"/>
    <x v="3"/>
  </r>
  <r>
    <d v="2024-04-16T00:00:00"/>
    <s v="INV00054"/>
    <s v="Generator"/>
    <n v="29"/>
    <n v="10259"/>
    <n v="297511"/>
    <s v="North"/>
    <s v="Global Corp"/>
    <x v="3"/>
  </r>
  <r>
    <d v="2024-04-06T00:00:00"/>
    <s v="INV00061"/>
    <s v="Valve"/>
    <n v="34"/>
    <n v="29349"/>
    <n v="997866"/>
    <s v="West"/>
    <s v="Skyline Ltd"/>
    <x v="3"/>
  </r>
  <r>
    <d v="2024-04-29T00:00:00"/>
    <s v="INV00078"/>
    <s v="Valve"/>
    <n v="28"/>
    <n v="42520"/>
    <n v="1190560"/>
    <s v="South"/>
    <s v="Prime Industries"/>
    <x v="3"/>
  </r>
  <r>
    <d v="2024-04-30T00:00:00"/>
    <s v="INV00081"/>
    <s v="Pump"/>
    <n v="27"/>
    <n v="43203"/>
    <n v="1166481"/>
    <s v="East"/>
    <s v="Skyline Ltd"/>
    <x v="3"/>
  </r>
  <r>
    <d v="2024-04-18T00:00:00"/>
    <s v="INV00082"/>
    <s v="Compressor"/>
    <n v="18"/>
    <n v="7400"/>
    <n v="133200"/>
    <s v="South"/>
    <s v="Skyline Ltd"/>
    <x v="3"/>
  </r>
  <r>
    <d v="2024-04-05T00:00:00"/>
    <s v="INV00084"/>
    <s v="Valve"/>
    <n v="18"/>
    <n v="38914"/>
    <n v="700452"/>
    <s v="East"/>
    <s v="ABC Ltd"/>
    <x v="3"/>
  </r>
  <r>
    <d v="2024-04-04T00:00:00"/>
    <s v="INV00089"/>
    <s v="Valve"/>
    <n v="9"/>
    <n v="12181"/>
    <n v="109629"/>
    <s v="North"/>
    <s v="Prime Industries"/>
    <x v="3"/>
  </r>
  <r>
    <d v="2024-04-22T00:00:00"/>
    <s v="INV00106"/>
    <s v="Motor"/>
    <n v="35"/>
    <n v="43249"/>
    <n v="1513715"/>
    <s v="North"/>
    <s v="Skyline Ltd"/>
    <x v="3"/>
  </r>
  <r>
    <d v="2024-04-23T00:00:00"/>
    <s v="INV00113"/>
    <s v="Compressor"/>
    <n v="34"/>
    <n v="11582"/>
    <n v="393788"/>
    <s v="East"/>
    <s v="ABC Ltd"/>
    <x v="3"/>
  </r>
  <r>
    <d v="2024-04-11T00:00:00"/>
    <s v="INV00126"/>
    <s v="Generator"/>
    <n v="8"/>
    <n v="14477"/>
    <n v="115816"/>
    <s v="West"/>
    <s v="Prime Industries"/>
    <x v="3"/>
  </r>
  <r>
    <d v="2024-04-25T00:00:00"/>
    <s v="INV00132"/>
    <s v="Valve"/>
    <n v="34"/>
    <n v="11675"/>
    <n v="396950"/>
    <s v="South"/>
    <s v="Skyline Ltd"/>
    <x v="3"/>
  </r>
  <r>
    <d v="2024-04-10T00:00:00"/>
    <s v="INV00142"/>
    <s v="Compressor"/>
    <n v="24"/>
    <n v="21073"/>
    <n v="505752"/>
    <s v="South"/>
    <s v="ABC Ltd"/>
    <x v="3"/>
  </r>
  <r>
    <d v="2024-04-25T00:00:00"/>
    <s v="INV00146"/>
    <s v="Generator"/>
    <n v="13"/>
    <n v="39758"/>
    <n v="516854"/>
    <s v="East"/>
    <s v="XYZ Pvt Ltd"/>
    <x v="3"/>
  </r>
  <r>
    <d v="2024-04-28T00:00:00"/>
    <s v="INV00148"/>
    <s v="Motor"/>
    <n v="22"/>
    <n v="35151"/>
    <n v="773322"/>
    <s v="West"/>
    <s v="Global Corp"/>
    <x v="3"/>
  </r>
  <r>
    <d v="2024-04-16T00:00:00"/>
    <s v="INV00160"/>
    <s v="Valve"/>
    <n v="9"/>
    <n v="21331"/>
    <n v="191979"/>
    <s v="South"/>
    <s v="XYZ Pvt Ltd"/>
    <x v="3"/>
  </r>
  <r>
    <d v="2024-04-02T00:00:00"/>
    <s v="INV00189"/>
    <s v="Motor"/>
    <n v="14"/>
    <n v="36233"/>
    <n v="507262"/>
    <s v="East"/>
    <s v="Skyline Ltd"/>
    <x v="3"/>
  </r>
  <r>
    <d v="2024-04-04T00:00:00"/>
    <s v="INV00215"/>
    <s v="Compressor"/>
    <n v="31"/>
    <n v="33538"/>
    <n v="1039678"/>
    <s v="North"/>
    <s v="XYZ Pvt Ltd"/>
    <x v="3"/>
  </r>
  <r>
    <d v="2024-04-05T00:00:00"/>
    <s v="INV00243"/>
    <s v="Compressor"/>
    <n v="31"/>
    <n v="16110"/>
    <n v="499410"/>
    <s v="East"/>
    <s v="Prime Industries"/>
    <x v="3"/>
  </r>
  <r>
    <d v="2024-04-28T00:00:00"/>
    <s v="INV00267"/>
    <s v="Valve"/>
    <n v="30"/>
    <n v="43370"/>
    <n v="1301100"/>
    <s v="North"/>
    <s v="Global Corp"/>
    <x v="3"/>
  </r>
  <r>
    <d v="2024-04-21T00:00:00"/>
    <s v="INV00294"/>
    <s v="Pump"/>
    <n v="15"/>
    <n v="29527"/>
    <n v="442905"/>
    <s v="North"/>
    <s v="Prime Industries"/>
    <x v="3"/>
  </r>
  <r>
    <d v="2024-04-09T00:00:00"/>
    <s v="INV00296"/>
    <s v="Generator"/>
    <n v="12"/>
    <n v="16914"/>
    <n v="202968"/>
    <s v="South"/>
    <s v="Global Corp"/>
    <x v="3"/>
  </r>
  <r>
    <d v="2024-04-19T00:00:00"/>
    <s v="INV00306"/>
    <s v="Pump"/>
    <n v="26"/>
    <n v="37854"/>
    <n v="984204"/>
    <s v="North"/>
    <s v="Global Corp"/>
    <x v="3"/>
  </r>
  <r>
    <d v="2024-04-15T00:00:00"/>
    <s v="INV00312"/>
    <s v="Valve"/>
    <n v="17"/>
    <n v="13335"/>
    <n v="226695"/>
    <s v="East"/>
    <s v="XYZ Pvt Ltd"/>
    <x v="3"/>
  </r>
  <r>
    <d v="2024-04-01T00:00:00"/>
    <s v="INV00330"/>
    <s v="Generator"/>
    <n v="11"/>
    <n v="44549"/>
    <n v="490039"/>
    <s v="East"/>
    <s v="Skyline Ltd"/>
    <x v="3"/>
  </r>
  <r>
    <d v="2024-04-21T00:00:00"/>
    <s v="INV00336"/>
    <s v="Generator"/>
    <n v="40"/>
    <n v="25313"/>
    <n v="1012520"/>
    <s v="South"/>
    <s v="XYZ Pvt Ltd"/>
    <x v="3"/>
  </r>
  <r>
    <d v="2024-04-19T00:00:00"/>
    <s v="INV00345"/>
    <s v="Generator"/>
    <n v="18"/>
    <n v="39116"/>
    <n v="704088"/>
    <s v="North"/>
    <s v="ABC Ltd"/>
    <x v="3"/>
  </r>
  <r>
    <d v="2024-04-27T00:00:00"/>
    <s v="INV00359"/>
    <s v="Valve"/>
    <n v="13"/>
    <n v="36675"/>
    <n v="476775"/>
    <s v="East"/>
    <s v="Skyline Ltd"/>
    <x v="3"/>
  </r>
  <r>
    <d v="2024-04-30T00:00:00"/>
    <s v="INV00388"/>
    <s v="Generator"/>
    <n v="15"/>
    <n v="20772"/>
    <n v="311580"/>
    <s v="South"/>
    <s v="Prime Industries"/>
    <x v="3"/>
  </r>
  <r>
    <d v="2024-04-21T00:00:00"/>
    <s v="INV00400"/>
    <s v="Valve"/>
    <n v="5"/>
    <n v="14051"/>
    <n v="70255"/>
    <s v="North"/>
    <s v="ABC Ltd"/>
    <x v="3"/>
  </r>
  <r>
    <d v="2024-04-13T00:00:00"/>
    <s v="INV00406"/>
    <s v="Generator"/>
    <n v="18"/>
    <n v="23076"/>
    <n v="415368"/>
    <s v="South"/>
    <s v="Prime Industries"/>
    <x v="3"/>
  </r>
  <r>
    <d v="2024-04-17T00:00:00"/>
    <s v="INV00415"/>
    <s v="Valve"/>
    <n v="7"/>
    <n v="36360"/>
    <n v="254520"/>
    <s v="East"/>
    <s v="Skyline Ltd"/>
    <x v="3"/>
  </r>
  <r>
    <d v="2024-04-13T00:00:00"/>
    <s v="INV00422"/>
    <s v="Motor"/>
    <n v="38"/>
    <n v="13994"/>
    <n v="531772"/>
    <s v="West"/>
    <s v="Global Corp"/>
    <x v="3"/>
  </r>
  <r>
    <d v="2024-04-04T00:00:00"/>
    <s v="INV00426"/>
    <s v="Pump"/>
    <n v="2"/>
    <n v="35836"/>
    <n v="71672"/>
    <s v="East"/>
    <s v="Global Corp"/>
    <x v="3"/>
  </r>
  <r>
    <d v="2024-04-30T00:00:00"/>
    <s v="INV00461"/>
    <s v="Pump"/>
    <n v="27"/>
    <n v="13128"/>
    <n v="354456"/>
    <s v="South"/>
    <s v="Global Corp"/>
    <x v="3"/>
  </r>
  <r>
    <d v="2024-04-11T00:00:00"/>
    <s v="INV00463"/>
    <s v="Valve"/>
    <n v="26"/>
    <n v="27796"/>
    <n v="722696"/>
    <s v="West"/>
    <s v="ABC Ltd"/>
    <x v="3"/>
  </r>
  <r>
    <d v="2024-04-07T00:00:00"/>
    <s v="INV00476"/>
    <s v="Generator"/>
    <n v="10"/>
    <n v="21072"/>
    <n v="210720"/>
    <s v="West"/>
    <s v="Global Corp"/>
    <x v="3"/>
  </r>
  <r>
    <d v="2024-04-07T00:00:00"/>
    <s v="INV00494"/>
    <s v="Generator"/>
    <n v="30"/>
    <n v="27614"/>
    <n v="828420"/>
    <s v="South"/>
    <s v="Skyline Ltd"/>
    <x v="3"/>
  </r>
  <r>
    <d v="2024-04-07T00:00:00"/>
    <s v="INV00503"/>
    <s v="Generator"/>
    <n v="1"/>
    <n v="19292"/>
    <n v="19292"/>
    <s v="South"/>
    <s v="Prime Industries"/>
    <x v="3"/>
  </r>
  <r>
    <d v="2024-04-19T00:00:00"/>
    <s v="INV00508"/>
    <s v="Valve"/>
    <n v="40"/>
    <n v="10901"/>
    <n v="436040"/>
    <s v="South"/>
    <s v="XYZ Pvt Ltd"/>
    <x v="3"/>
  </r>
  <r>
    <d v="2024-04-12T00:00:00"/>
    <s v="INV00545"/>
    <s v="Generator"/>
    <n v="20"/>
    <n v="6042"/>
    <n v="120840"/>
    <s v="West"/>
    <s v="Skyline Ltd"/>
    <x v="3"/>
  </r>
  <r>
    <d v="2024-04-20T00:00:00"/>
    <s v="INV00555"/>
    <s v="Motor"/>
    <n v="16"/>
    <n v="9008"/>
    <n v="144128"/>
    <s v="South"/>
    <s v="XYZ Pvt Ltd"/>
    <x v="3"/>
  </r>
  <r>
    <d v="2024-04-30T00:00:00"/>
    <s v="INV00570"/>
    <s v="Valve"/>
    <n v="16"/>
    <n v="22534"/>
    <n v="360544"/>
    <s v="West"/>
    <s v="XYZ Pvt Ltd"/>
    <x v="3"/>
  </r>
  <r>
    <d v="2024-04-27T00:00:00"/>
    <s v="INV00591"/>
    <s v="Generator"/>
    <n v="16"/>
    <n v="42168"/>
    <n v="674688"/>
    <s v="East"/>
    <s v="Prime Industries"/>
    <x v="3"/>
  </r>
  <r>
    <d v="2024-04-13T00:00:00"/>
    <s v="INV00614"/>
    <s v="Compressor"/>
    <n v="17"/>
    <n v="25570"/>
    <n v="434690"/>
    <s v="North"/>
    <s v="Skyline Ltd"/>
    <x v="3"/>
  </r>
  <r>
    <d v="2024-04-22T00:00:00"/>
    <s v="INV00640"/>
    <s v="Generator"/>
    <n v="6"/>
    <n v="13321"/>
    <n v="79926"/>
    <s v="North"/>
    <s v="Prime Industries"/>
    <x v="3"/>
  </r>
  <r>
    <d v="2024-04-14T00:00:00"/>
    <s v="INV00641"/>
    <s v="Pump"/>
    <n v="6"/>
    <n v="31828"/>
    <n v="190968"/>
    <s v="West"/>
    <s v="Prime Industries"/>
    <x v="3"/>
  </r>
  <r>
    <d v="2024-04-24T00:00:00"/>
    <s v="INV00651"/>
    <s v="Generator"/>
    <n v="29"/>
    <n v="30423"/>
    <n v="882267"/>
    <s v="East"/>
    <s v="Prime Industries"/>
    <x v="3"/>
  </r>
  <r>
    <d v="2024-04-22T00:00:00"/>
    <s v="INV00654"/>
    <s v="Valve"/>
    <n v="40"/>
    <n v="13227"/>
    <n v="529080"/>
    <s v="West"/>
    <s v="Prime Industries"/>
    <x v="3"/>
  </r>
  <r>
    <d v="2024-04-14T00:00:00"/>
    <s v="INV00662"/>
    <s v="Valve"/>
    <n v="3"/>
    <n v="9771"/>
    <n v="29313"/>
    <s v="North"/>
    <s v="ABC Ltd"/>
    <x v="3"/>
  </r>
  <r>
    <d v="2024-04-20T00:00:00"/>
    <s v="INV00665"/>
    <s v="Generator"/>
    <n v="5"/>
    <n v="26447"/>
    <n v="132235"/>
    <s v="East"/>
    <s v="Prime Industries"/>
    <x v="3"/>
  </r>
  <r>
    <d v="2024-04-28T00:00:00"/>
    <s v="INV00672"/>
    <s v="Generator"/>
    <n v="36"/>
    <n v="29272"/>
    <n v="1053792"/>
    <s v="South"/>
    <s v="ABC Ltd"/>
    <x v="3"/>
  </r>
  <r>
    <d v="2024-04-21T00:00:00"/>
    <s v="INV00674"/>
    <s v="Valve"/>
    <n v="9"/>
    <n v="15365"/>
    <n v="138285"/>
    <s v="West"/>
    <s v="Global Corp"/>
    <x v="3"/>
  </r>
  <r>
    <d v="2024-04-12T00:00:00"/>
    <s v="INV00677"/>
    <s v="Pump"/>
    <n v="12"/>
    <n v="42326"/>
    <n v="507912"/>
    <s v="North"/>
    <s v="ABC Ltd"/>
    <x v="3"/>
  </r>
  <r>
    <d v="2024-04-03T00:00:00"/>
    <s v="INV00700"/>
    <s v="Pump"/>
    <n v="23"/>
    <n v="13798"/>
    <n v="317354"/>
    <s v="West"/>
    <s v="ABC Ltd"/>
    <x v="3"/>
  </r>
  <r>
    <d v="2024-04-03T00:00:00"/>
    <s v="INV00713"/>
    <s v="Valve"/>
    <n v="28"/>
    <n v="17324"/>
    <n v="485072"/>
    <s v="East"/>
    <s v="ABC Ltd"/>
    <x v="3"/>
  </r>
  <r>
    <d v="2024-04-21T00:00:00"/>
    <s v="INV00730"/>
    <s v="Valve"/>
    <n v="37"/>
    <n v="32129"/>
    <n v="1188773"/>
    <s v="North"/>
    <s v="Prime Industries"/>
    <x v="3"/>
  </r>
  <r>
    <d v="2024-04-30T00:00:00"/>
    <s v="INV00750"/>
    <s v="Motor"/>
    <n v="36"/>
    <n v="20512"/>
    <n v="738432"/>
    <s v="West"/>
    <s v="ABC Ltd"/>
    <x v="3"/>
  </r>
  <r>
    <d v="2024-04-12T00:00:00"/>
    <s v="INV00765"/>
    <s v="Motor"/>
    <n v="32"/>
    <n v="7207"/>
    <n v="230624"/>
    <s v="North"/>
    <s v="Prime Industries"/>
    <x v="3"/>
  </r>
  <r>
    <d v="2024-04-19T00:00:00"/>
    <s v="INV00771"/>
    <s v="Motor"/>
    <n v="3"/>
    <n v="25471"/>
    <n v="76413"/>
    <s v="North"/>
    <s v="Prime Industries"/>
    <x v="3"/>
  </r>
  <r>
    <d v="2024-04-08T00:00:00"/>
    <s v="INV00775"/>
    <s v="Pump"/>
    <n v="25"/>
    <n v="14842"/>
    <n v="371050"/>
    <s v="South"/>
    <s v="ABC Ltd"/>
    <x v="3"/>
  </r>
  <r>
    <d v="2024-04-20T00:00:00"/>
    <s v="INV00776"/>
    <s v="Pump"/>
    <n v="22"/>
    <n v="17186"/>
    <n v="378092"/>
    <s v="South"/>
    <s v="Skyline Ltd"/>
    <x v="3"/>
  </r>
  <r>
    <d v="2024-04-03T00:00:00"/>
    <s v="INV00790"/>
    <s v="Pump"/>
    <n v="5"/>
    <n v="6077"/>
    <n v="30385"/>
    <s v="West"/>
    <s v="Global Corp"/>
    <x v="3"/>
  </r>
  <r>
    <d v="2024-04-17T00:00:00"/>
    <s v="INV00799"/>
    <s v="Motor"/>
    <n v="24"/>
    <n v="30099"/>
    <n v="722376"/>
    <s v="West"/>
    <s v="ABC Ltd"/>
    <x v="3"/>
  </r>
  <r>
    <d v="2024-04-23T00:00:00"/>
    <s v="INV00801"/>
    <s v="Motor"/>
    <n v="3"/>
    <n v="42893"/>
    <n v="128679"/>
    <s v="West"/>
    <s v="Global Corp"/>
    <x v="3"/>
  </r>
  <r>
    <d v="2024-04-18T00:00:00"/>
    <s v="INV00803"/>
    <s v="Pump"/>
    <n v="29"/>
    <n v="25525"/>
    <n v="740225"/>
    <s v="East"/>
    <s v="XYZ Pvt Ltd"/>
    <x v="3"/>
  </r>
  <r>
    <d v="2024-04-17T00:00:00"/>
    <s v="INV00826"/>
    <s v="Motor"/>
    <n v="10"/>
    <n v="40344"/>
    <n v="403440"/>
    <s v="West"/>
    <s v="Skyline Ltd"/>
    <x v="3"/>
  </r>
  <r>
    <d v="2024-04-27T00:00:00"/>
    <s v="INV00835"/>
    <s v="Valve"/>
    <n v="12"/>
    <n v="19523"/>
    <n v="234276"/>
    <s v="West"/>
    <s v="Prime Industries"/>
    <x v="3"/>
  </r>
  <r>
    <d v="2024-04-17T00:00:00"/>
    <s v="INV00836"/>
    <s v="Pump"/>
    <n v="22"/>
    <n v="10490"/>
    <n v="230780"/>
    <s v="West"/>
    <s v="Skyline Ltd"/>
    <x v="3"/>
  </r>
  <r>
    <d v="2024-04-20T00:00:00"/>
    <s v="INV00846"/>
    <s v="Motor"/>
    <n v="29"/>
    <n v="6279"/>
    <n v="182091"/>
    <s v="West"/>
    <s v="Skyline Ltd"/>
    <x v="3"/>
  </r>
  <r>
    <d v="2024-04-08T00:00:00"/>
    <s v="INV00850"/>
    <s v="Generator"/>
    <n v="24"/>
    <n v="14348"/>
    <n v="344352"/>
    <s v="North"/>
    <s v="Global Corp"/>
    <x v="3"/>
  </r>
  <r>
    <d v="2024-04-29T00:00:00"/>
    <s v="INV00865"/>
    <s v="Compressor"/>
    <n v="40"/>
    <n v="39298"/>
    <n v="1571920"/>
    <s v="West"/>
    <s v="Prime Industries"/>
    <x v="3"/>
  </r>
  <r>
    <d v="2024-04-29T00:00:00"/>
    <s v="INV00871"/>
    <s v="Compressor"/>
    <n v="36"/>
    <n v="36462"/>
    <n v="1312632"/>
    <s v="South"/>
    <s v="XYZ Pvt Ltd"/>
    <x v="3"/>
  </r>
  <r>
    <d v="2024-04-10T00:00:00"/>
    <s v="INV00888"/>
    <s v="Compressor"/>
    <n v="12"/>
    <n v="10513"/>
    <n v="126156"/>
    <s v="North"/>
    <s v="ABC Ltd"/>
    <x v="3"/>
  </r>
  <r>
    <d v="2024-04-17T00:00:00"/>
    <s v="INV00892"/>
    <s v="Valve"/>
    <n v="26"/>
    <n v="16659"/>
    <n v="433134"/>
    <s v="West"/>
    <s v="ABC Ltd"/>
    <x v="3"/>
  </r>
  <r>
    <d v="2024-04-03T00:00:00"/>
    <s v="INV00921"/>
    <s v="Valve"/>
    <n v="1"/>
    <n v="38569"/>
    <n v="38569"/>
    <s v="North"/>
    <s v="Global Corp"/>
    <x v="3"/>
  </r>
  <r>
    <d v="2024-04-04T00:00:00"/>
    <s v="INV00926"/>
    <s v="Generator"/>
    <n v="33"/>
    <n v="19363"/>
    <n v="638979"/>
    <s v="West"/>
    <s v="Prime Industries"/>
    <x v="3"/>
  </r>
  <r>
    <d v="2024-04-15T00:00:00"/>
    <s v="INV00929"/>
    <s v="Generator"/>
    <n v="7"/>
    <n v="38261"/>
    <n v="267827"/>
    <s v="North"/>
    <s v="Prime Industries"/>
    <x v="3"/>
  </r>
  <r>
    <d v="2024-04-01T00:00:00"/>
    <s v="INV00936"/>
    <s v="Motor"/>
    <n v="13"/>
    <n v="40792"/>
    <n v="530296"/>
    <s v="South"/>
    <s v="ABC Ltd"/>
    <x v="3"/>
  </r>
  <r>
    <d v="2024-04-15T00:00:00"/>
    <s v="INV00943"/>
    <s v="Motor"/>
    <n v="31"/>
    <n v="25430"/>
    <n v="788330"/>
    <s v="North"/>
    <s v="Global Corp"/>
    <x v="3"/>
  </r>
  <r>
    <d v="2024-04-28T00:00:00"/>
    <s v="INV00946"/>
    <s v="Compressor"/>
    <n v="29"/>
    <n v="41522"/>
    <n v="1204138"/>
    <s v="North"/>
    <s v="XYZ Pvt Ltd"/>
    <x v="3"/>
  </r>
  <r>
    <d v="2024-04-13T00:00:00"/>
    <s v="INV00950"/>
    <s v="Compressor"/>
    <n v="8"/>
    <n v="25817"/>
    <n v="206536"/>
    <s v="North"/>
    <s v="ABC Ltd"/>
    <x v="3"/>
  </r>
  <r>
    <d v="2024-04-14T00:00:00"/>
    <s v="INV00959"/>
    <s v="Motor"/>
    <n v="7"/>
    <n v="6873"/>
    <n v="48111"/>
    <s v="East"/>
    <s v="XYZ Pvt Ltd"/>
    <x v="3"/>
  </r>
  <r>
    <d v="2024-04-11T00:00:00"/>
    <s v="INV00970"/>
    <s v="Pump"/>
    <n v="7"/>
    <n v="7852"/>
    <n v="54964"/>
    <s v="East"/>
    <s v="Prime Industries"/>
    <x v="3"/>
  </r>
  <r>
    <d v="2024-04-06T00:00:00"/>
    <s v="INV00971"/>
    <s v="Generator"/>
    <n v="1"/>
    <n v="36043"/>
    <n v="36043"/>
    <s v="South"/>
    <s v="Global Corp"/>
    <x v="3"/>
  </r>
  <r>
    <d v="2024-04-13T00:00:00"/>
    <s v="INV00979"/>
    <s v="Compressor"/>
    <n v="6"/>
    <n v="19288"/>
    <n v="115728"/>
    <s v="West"/>
    <s v="XYZ Pvt Ltd"/>
    <x v="3"/>
  </r>
  <r>
    <d v="2024-04-25T00:00:00"/>
    <s v="INV00981"/>
    <s v="Pump"/>
    <n v="7"/>
    <n v="25036"/>
    <n v="175252"/>
    <s v="East"/>
    <s v="ABC Ltd"/>
    <x v="3"/>
  </r>
  <r>
    <d v="2024-04-17T00:00:00"/>
    <s v="INV00982"/>
    <s v="Valve"/>
    <n v="23"/>
    <n v="16669"/>
    <n v="383387"/>
    <s v="East"/>
    <s v="Skyline Ltd"/>
    <x v="3"/>
  </r>
  <r>
    <d v="2024-04-06T00:00:00"/>
    <s v="INV00997"/>
    <s v="Generator"/>
    <n v="17"/>
    <n v="14537"/>
    <n v="247129"/>
    <s v="West"/>
    <s v="Skyline Ltd"/>
    <x v="3"/>
  </r>
  <r>
    <d v="2024-04-02T00:00:00"/>
    <s v="INV01001"/>
    <s v="Valve"/>
    <n v="14"/>
    <n v="12969"/>
    <n v="181566"/>
    <s v="West"/>
    <s v="XYZ Pvt Ltd"/>
    <x v="3"/>
  </r>
  <r>
    <d v="2024-04-14T00:00:00"/>
    <s v="INV01013"/>
    <s v="Motor"/>
    <n v="22"/>
    <n v="34830"/>
    <n v="766260"/>
    <s v="East"/>
    <s v="Skyline Ltd"/>
    <x v="3"/>
  </r>
  <r>
    <d v="2024-04-27T00:00:00"/>
    <s v="INV01015"/>
    <s v="Compressor"/>
    <n v="12"/>
    <n v="17311"/>
    <n v="207732"/>
    <s v="North"/>
    <s v="Prime Industries"/>
    <x v="3"/>
  </r>
  <r>
    <d v="2024-04-18T00:00:00"/>
    <s v="INV01016"/>
    <s v="Generator"/>
    <n v="25"/>
    <n v="24914"/>
    <n v="622850"/>
    <s v="East"/>
    <s v="Global Corp"/>
    <x v="3"/>
  </r>
  <r>
    <d v="2024-04-09T00:00:00"/>
    <s v="INV01023"/>
    <s v="Valve"/>
    <n v="21"/>
    <n v="19538"/>
    <n v="410298"/>
    <s v="East"/>
    <s v="ABC Ltd"/>
    <x v="3"/>
  </r>
  <r>
    <d v="2024-04-06T00:00:00"/>
    <s v="INV01032"/>
    <s v="Valve"/>
    <n v="7"/>
    <n v="8787"/>
    <n v="61509"/>
    <s v="North"/>
    <s v="ABC Ltd"/>
    <x v="3"/>
  </r>
  <r>
    <d v="2024-04-22T00:00:00"/>
    <s v="INV01034"/>
    <s v="Pump"/>
    <n v="2"/>
    <n v="31862"/>
    <n v="63724"/>
    <s v="South"/>
    <s v="Global Corp"/>
    <x v="3"/>
  </r>
  <r>
    <d v="2024-04-08T00:00:00"/>
    <s v="INV01050"/>
    <s v="Generator"/>
    <n v="31"/>
    <n v="41096"/>
    <n v="1273976"/>
    <s v="East"/>
    <s v="Skyline Ltd"/>
    <x v="3"/>
  </r>
  <r>
    <d v="2024-04-19T00:00:00"/>
    <s v="INV01064"/>
    <s v="Compressor"/>
    <n v="27"/>
    <n v="33226"/>
    <n v="897102"/>
    <s v="South"/>
    <s v="ABC Ltd"/>
    <x v="3"/>
  </r>
  <r>
    <d v="2024-04-26T00:00:00"/>
    <s v="INV01075"/>
    <s v="Pump"/>
    <n v="30"/>
    <n v="18615"/>
    <n v="558450"/>
    <s v="West"/>
    <s v="Prime Industries"/>
    <x v="3"/>
  </r>
  <r>
    <d v="2024-04-14T00:00:00"/>
    <s v="INV01090"/>
    <s v="Valve"/>
    <n v="6"/>
    <n v="39375"/>
    <n v="236250"/>
    <s v="West"/>
    <s v="XYZ Pvt Ltd"/>
    <x v="3"/>
  </r>
  <r>
    <d v="2024-04-18T00:00:00"/>
    <s v="INV01099"/>
    <s v="Motor"/>
    <n v="35"/>
    <n v="22122"/>
    <n v="774270"/>
    <s v="North"/>
    <s v="XYZ Pvt Ltd"/>
    <x v="3"/>
  </r>
  <r>
    <d v="2024-04-12T00:00:00"/>
    <s v="INV01107"/>
    <s v="Compressor"/>
    <n v="27"/>
    <n v="41544"/>
    <n v="1121688"/>
    <s v="South"/>
    <s v="Global Corp"/>
    <x v="3"/>
  </r>
  <r>
    <d v="2024-04-16T00:00:00"/>
    <s v="INV01117"/>
    <s v="Pump"/>
    <n v="21"/>
    <n v="12026"/>
    <n v="252546"/>
    <s v="East"/>
    <s v="ABC Ltd"/>
    <x v="3"/>
  </r>
  <r>
    <d v="2024-04-27T00:00:00"/>
    <s v="INV01128"/>
    <s v="Generator"/>
    <n v="14"/>
    <n v="13191"/>
    <n v="184674"/>
    <s v="North"/>
    <s v="XYZ Pvt Ltd"/>
    <x v="3"/>
  </r>
  <r>
    <d v="2024-04-30T00:00:00"/>
    <s v="INV01131"/>
    <s v="Compressor"/>
    <n v="34"/>
    <n v="32293"/>
    <n v="1097962"/>
    <s v="North"/>
    <s v="Skyline Ltd"/>
    <x v="3"/>
  </r>
  <r>
    <d v="2024-04-27T00:00:00"/>
    <s v="INV01182"/>
    <s v="Valve"/>
    <n v="1"/>
    <n v="23797"/>
    <n v="23797"/>
    <s v="East"/>
    <s v="XYZ Pvt Ltd"/>
    <x v="3"/>
  </r>
  <r>
    <d v="2024-04-13T00:00:00"/>
    <s v="INV01206"/>
    <s v="Compressor"/>
    <n v="15"/>
    <n v="22883"/>
    <n v="343245"/>
    <s v="West"/>
    <s v="Global Corp"/>
    <x v="3"/>
  </r>
  <r>
    <d v="2024-04-20T00:00:00"/>
    <s v="INV01212"/>
    <s v="Valve"/>
    <n v="21"/>
    <n v="40701"/>
    <n v="854721"/>
    <s v="East"/>
    <s v="Skyline Ltd"/>
    <x v="3"/>
  </r>
  <r>
    <d v="2024-04-24T00:00:00"/>
    <s v="INV01234"/>
    <s v="Generator"/>
    <n v="39"/>
    <n v="37401"/>
    <n v="1458639"/>
    <s v="North"/>
    <s v="ABC Ltd"/>
    <x v="3"/>
  </r>
  <r>
    <d v="2024-04-28T00:00:00"/>
    <s v="INV01242"/>
    <s v="Motor"/>
    <n v="5"/>
    <n v="24939"/>
    <n v="124695"/>
    <s v="West"/>
    <s v="Skyline Ltd"/>
    <x v="3"/>
  </r>
  <r>
    <d v="2024-04-16T00:00:00"/>
    <s v="INV01243"/>
    <s v="Pump"/>
    <n v="38"/>
    <n v="38825"/>
    <n v="1475350"/>
    <s v="West"/>
    <s v="XYZ Pvt Ltd"/>
    <x v="3"/>
  </r>
  <r>
    <d v="2024-04-20T00:00:00"/>
    <s v="INV01249"/>
    <s v="Generator"/>
    <n v="21"/>
    <n v="22563"/>
    <n v="473823"/>
    <s v="West"/>
    <s v="XYZ Pvt Ltd"/>
    <x v="3"/>
  </r>
  <r>
    <d v="2024-04-07T00:00:00"/>
    <s v="INV01277"/>
    <s v="Generator"/>
    <n v="19"/>
    <n v="34563"/>
    <n v="656697"/>
    <s v="North"/>
    <s v="Global Corp"/>
    <x v="3"/>
  </r>
  <r>
    <d v="2024-04-25T00:00:00"/>
    <s v="INV01293"/>
    <s v="Valve"/>
    <n v="26"/>
    <n v="40238"/>
    <n v="1046188"/>
    <s v="North"/>
    <s v="XYZ Pvt Ltd"/>
    <x v="3"/>
  </r>
  <r>
    <d v="2024-04-05T00:00:00"/>
    <s v="INV01294"/>
    <s v="Valve"/>
    <n v="12"/>
    <n v="32308"/>
    <n v="387696"/>
    <s v="North"/>
    <s v="XYZ Pvt Ltd"/>
    <x v="3"/>
  </r>
  <r>
    <d v="2024-04-22T00:00:00"/>
    <s v="INV01332"/>
    <s v="Motor"/>
    <n v="29"/>
    <n v="35471"/>
    <n v="1028659"/>
    <s v="West"/>
    <s v="XYZ Pvt Ltd"/>
    <x v="3"/>
  </r>
  <r>
    <d v="2024-04-06T00:00:00"/>
    <s v="INV01335"/>
    <s v="Generator"/>
    <n v="37"/>
    <n v="24383"/>
    <n v="902171"/>
    <s v="South"/>
    <s v="Skyline Ltd"/>
    <x v="3"/>
  </r>
  <r>
    <d v="2024-04-30T00:00:00"/>
    <s v="INV01360"/>
    <s v="Compressor"/>
    <n v="30"/>
    <n v="27562"/>
    <n v="826860"/>
    <s v="East"/>
    <s v="Global Corp"/>
    <x v="3"/>
  </r>
  <r>
    <d v="2024-04-29T00:00:00"/>
    <s v="INV01365"/>
    <s v="Compressor"/>
    <n v="16"/>
    <n v="34688"/>
    <n v="555008"/>
    <s v="North"/>
    <s v="Skyline Ltd"/>
    <x v="3"/>
  </r>
  <r>
    <d v="2024-04-08T00:00:00"/>
    <s v="INV01386"/>
    <s v="Compressor"/>
    <n v="10"/>
    <n v="17178"/>
    <n v="171780"/>
    <s v="North"/>
    <s v="Global Corp"/>
    <x v="3"/>
  </r>
  <r>
    <d v="2024-04-01T00:00:00"/>
    <s v="INV01388"/>
    <s v="Motor"/>
    <n v="11"/>
    <n v="7565"/>
    <n v="83215"/>
    <s v="South"/>
    <s v="ABC Ltd"/>
    <x v="3"/>
  </r>
  <r>
    <d v="2024-04-03T00:00:00"/>
    <s v="INV01420"/>
    <s v="Valve"/>
    <n v="38"/>
    <n v="15139"/>
    <n v="575282"/>
    <s v="East"/>
    <s v="Skyline Ltd"/>
    <x v="3"/>
  </r>
  <r>
    <d v="2024-04-09T00:00:00"/>
    <s v="INV01427"/>
    <s v="Generator"/>
    <n v="27"/>
    <n v="7241"/>
    <n v="195507"/>
    <s v="West"/>
    <s v="Prime Industries"/>
    <x v="3"/>
  </r>
  <r>
    <d v="2024-04-20T00:00:00"/>
    <s v="INV01434"/>
    <s v="Valve"/>
    <n v="6"/>
    <n v="5242"/>
    <n v="31452"/>
    <s v="East"/>
    <s v="ABC Ltd"/>
    <x v="3"/>
  </r>
  <r>
    <d v="2024-04-03T00:00:00"/>
    <s v="INV01450"/>
    <s v="Valve"/>
    <n v="17"/>
    <n v="36742"/>
    <n v="624614"/>
    <s v="South"/>
    <s v="ABC Ltd"/>
    <x v="3"/>
  </r>
  <r>
    <d v="2024-04-12T00:00:00"/>
    <s v="INV01451"/>
    <s v="Generator"/>
    <n v="8"/>
    <n v="43149"/>
    <n v="345192"/>
    <s v="North"/>
    <s v="Global Corp"/>
    <x v="3"/>
  </r>
  <r>
    <d v="2024-04-16T00:00:00"/>
    <s v="INV01459"/>
    <s v="Compressor"/>
    <n v="26"/>
    <n v="35158"/>
    <n v="914108"/>
    <s v="West"/>
    <s v="Skyline Ltd"/>
    <x v="3"/>
  </r>
  <r>
    <d v="2024-04-08T00:00:00"/>
    <s v="INV01463"/>
    <s v="Compressor"/>
    <n v="4"/>
    <n v="32920"/>
    <n v="131680"/>
    <s v="North"/>
    <s v="ABC Ltd"/>
    <x v="3"/>
  </r>
  <r>
    <d v="2024-04-13T00:00:00"/>
    <s v="INV01465"/>
    <s v="Pump"/>
    <n v="8"/>
    <n v="28658"/>
    <n v="229264"/>
    <s v="North"/>
    <s v="Prime Industries"/>
    <x v="3"/>
  </r>
  <r>
    <d v="2024-04-25T00:00:00"/>
    <s v="INV01485"/>
    <s v="Pump"/>
    <n v="26"/>
    <n v="23657"/>
    <n v="615082"/>
    <s v="North"/>
    <s v="XYZ Pvt Ltd"/>
    <x v="3"/>
  </r>
  <r>
    <d v="2024-05-29T00:00:00"/>
    <s v="INV00017"/>
    <s v="Motor"/>
    <n v="21"/>
    <n v="41063"/>
    <n v="862323"/>
    <s v="East"/>
    <s v="Global Corp"/>
    <x v="4"/>
  </r>
  <r>
    <d v="2024-05-04T00:00:00"/>
    <s v="INV00023"/>
    <s v="Motor"/>
    <n v="39"/>
    <n v="11230"/>
    <n v="437970"/>
    <s v="West"/>
    <s v="Global Corp"/>
    <x v="4"/>
  </r>
  <r>
    <d v="2024-05-10T00:00:00"/>
    <s v="INV00025"/>
    <s v="Pump"/>
    <n v="14"/>
    <n v="32960"/>
    <n v="461440"/>
    <s v="East"/>
    <s v="Prime Industries"/>
    <x v="4"/>
  </r>
  <r>
    <d v="2024-05-16T00:00:00"/>
    <s v="INV00092"/>
    <s v="Motor"/>
    <n v="30"/>
    <n v="35999"/>
    <n v="1079970"/>
    <s v="South"/>
    <s v="ABC Ltd"/>
    <x v="4"/>
  </r>
  <r>
    <d v="2024-05-27T00:00:00"/>
    <s v="INV00155"/>
    <s v="Motor"/>
    <n v="40"/>
    <n v="41284"/>
    <n v="1651360"/>
    <s v="South"/>
    <s v="Skyline Ltd"/>
    <x v="4"/>
  </r>
  <r>
    <d v="2024-05-23T00:00:00"/>
    <s v="INV00158"/>
    <s v="Pump"/>
    <n v="17"/>
    <n v="17435"/>
    <n v="296395"/>
    <s v="East"/>
    <s v="Prime Industries"/>
    <x v="4"/>
  </r>
  <r>
    <d v="2024-05-24T00:00:00"/>
    <s v="INV00176"/>
    <s v="Generator"/>
    <n v="10"/>
    <n v="41680"/>
    <n v="416800"/>
    <s v="West"/>
    <s v="ABC Ltd"/>
    <x v="4"/>
  </r>
  <r>
    <d v="2024-05-23T00:00:00"/>
    <s v="INV00184"/>
    <s v="Pump"/>
    <n v="34"/>
    <n v="19899"/>
    <n v="676566"/>
    <s v="South"/>
    <s v="XYZ Pvt Ltd"/>
    <x v="4"/>
  </r>
  <r>
    <d v="2024-05-17T00:00:00"/>
    <s v="INV00192"/>
    <s v="Motor"/>
    <n v="38"/>
    <n v="8996"/>
    <n v="341848"/>
    <s v="South"/>
    <s v="ABC Ltd"/>
    <x v="4"/>
  </r>
  <r>
    <d v="2024-05-31T00:00:00"/>
    <s v="INV00228"/>
    <s v="Generator"/>
    <n v="38"/>
    <n v="36862"/>
    <n v="1400756"/>
    <s v="West"/>
    <s v="XYZ Pvt Ltd"/>
    <x v="4"/>
  </r>
  <r>
    <d v="2024-05-02T00:00:00"/>
    <s v="INV00234"/>
    <s v="Motor"/>
    <n v="15"/>
    <n v="25911"/>
    <n v="388665"/>
    <s v="South"/>
    <s v="XYZ Pvt Ltd"/>
    <x v="4"/>
  </r>
  <r>
    <d v="2024-05-15T00:00:00"/>
    <s v="INV00235"/>
    <s v="Motor"/>
    <n v="27"/>
    <n v="15303"/>
    <n v="413181"/>
    <s v="West"/>
    <s v="Global Corp"/>
    <x v="4"/>
  </r>
  <r>
    <d v="2024-05-04T00:00:00"/>
    <s v="INV00250"/>
    <s v="Pump"/>
    <n v="32"/>
    <n v="10892"/>
    <n v="348544"/>
    <s v="East"/>
    <s v="Skyline Ltd"/>
    <x v="4"/>
  </r>
  <r>
    <d v="2024-05-20T00:00:00"/>
    <s v="INV00254"/>
    <s v="Motor"/>
    <n v="13"/>
    <n v="29026"/>
    <n v="377338"/>
    <s v="South"/>
    <s v="Prime Industries"/>
    <x v="4"/>
  </r>
  <r>
    <d v="2024-05-10T00:00:00"/>
    <s v="INV00260"/>
    <s v="Motor"/>
    <n v="18"/>
    <n v="30992"/>
    <n v="557856"/>
    <s v="East"/>
    <s v="Global Corp"/>
    <x v="4"/>
  </r>
  <r>
    <d v="2024-05-18T00:00:00"/>
    <s v="INV00297"/>
    <s v="Compressor"/>
    <n v="39"/>
    <n v="31671"/>
    <n v="1235169"/>
    <s v="South"/>
    <s v="XYZ Pvt Ltd"/>
    <x v="4"/>
  </r>
  <r>
    <d v="2024-05-02T00:00:00"/>
    <s v="INV00305"/>
    <s v="Valve"/>
    <n v="40"/>
    <n v="7655"/>
    <n v="306200"/>
    <s v="South"/>
    <s v="Skyline Ltd"/>
    <x v="4"/>
  </r>
  <r>
    <d v="2024-05-29T00:00:00"/>
    <s v="INV00310"/>
    <s v="Motor"/>
    <n v="7"/>
    <n v="40866"/>
    <n v="286062"/>
    <s v="East"/>
    <s v="Prime Industries"/>
    <x v="4"/>
  </r>
  <r>
    <d v="2024-05-18T00:00:00"/>
    <s v="INV00318"/>
    <s v="Valve"/>
    <n v="4"/>
    <n v="29897"/>
    <n v="119588"/>
    <s v="East"/>
    <s v="XYZ Pvt Ltd"/>
    <x v="4"/>
  </r>
  <r>
    <d v="2024-05-21T00:00:00"/>
    <s v="INV00343"/>
    <s v="Generator"/>
    <n v="21"/>
    <n v="23888"/>
    <n v="501648"/>
    <s v="East"/>
    <s v="ABC Ltd"/>
    <x v="4"/>
  </r>
  <r>
    <d v="2024-05-03T00:00:00"/>
    <s v="INV00381"/>
    <s v="Motor"/>
    <n v="3"/>
    <n v="8442"/>
    <n v="25326"/>
    <s v="North"/>
    <s v="Prime Industries"/>
    <x v="4"/>
  </r>
  <r>
    <d v="2024-05-29T00:00:00"/>
    <s v="INV00394"/>
    <s v="Pump"/>
    <n v="9"/>
    <n v="33845"/>
    <n v="304605"/>
    <s v="East"/>
    <s v="Prime Industries"/>
    <x v="4"/>
  </r>
  <r>
    <d v="2024-05-11T00:00:00"/>
    <s v="INV00404"/>
    <s v="Valve"/>
    <n v="28"/>
    <n v="44868"/>
    <n v="1256304"/>
    <s v="East"/>
    <s v="Global Corp"/>
    <x v="4"/>
  </r>
  <r>
    <d v="2024-05-10T00:00:00"/>
    <s v="INV00419"/>
    <s v="Generator"/>
    <n v="27"/>
    <n v="20535"/>
    <n v="554445"/>
    <s v="East"/>
    <s v="Prime Industries"/>
    <x v="4"/>
  </r>
  <r>
    <d v="2024-05-19T00:00:00"/>
    <s v="INV00421"/>
    <s v="Motor"/>
    <n v="20"/>
    <n v="10285"/>
    <n v="205700"/>
    <s v="North"/>
    <s v="Prime Industries"/>
    <x v="4"/>
  </r>
  <r>
    <d v="2024-05-08T00:00:00"/>
    <s v="INV00429"/>
    <s v="Valve"/>
    <n v="4"/>
    <n v="22546"/>
    <n v="90184"/>
    <s v="West"/>
    <s v="Prime Industries"/>
    <x v="4"/>
  </r>
  <r>
    <d v="2024-05-21T00:00:00"/>
    <s v="INV00434"/>
    <s v="Valve"/>
    <n v="27"/>
    <n v="16800"/>
    <n v="453600"/>
    <s v="North"/>
    <s v="Global Corp"/>
    <x v="4"/>
  </r>
  <r>
    <d v="2024-05-04T00:00:00"/>
    <s v="INV00435"/>
    <s v="Valve"/>
    <n v="9"/>
    <n v="37638"/>
    <n v="338742"/>
    <s v="North"/>
    <s v="Global Corp"/>
    <x v="4"/>
  </r>
  <r>
    <d v="2024-05-14T00:00:00"/>
    <s v="INV00437"/>
    <s v="Motor"/>
    <n v="26"/>
    <n v="17052"/>
    <n v="443352"/>
    <s v="East"/>
    <s v="Prime Industries"/>
    <x v="4"/>
  </r>
  <r>
    <d v="2024-05-24T00:00:00"/>
    <s v="INV00479"/>
    <s v="Valve"/>
    <n v="18"/>
    <n v="12930"/>
    <n v="232740"/>
    <s v="West"/>
    <s v="Prime Industries"/>
    <x v="4"/>
  </r>
  <r>
    <d v="2024-05-21T00:00:00"/>
    <s v="INV00497"/>
    <s v="Valve"/>
    <n v="14"/>
    <n v="30175"/>
    <n v="422450"/>
    <s v="South"/>
    <s v="Skyline Ltd"/>
    <x v="4"/>
  </r>
  <r>
    <d v="2024-05-06T00:00:00"/>
    <s v="INV00518"/>
    <s v="Motor"/>
    <n v="30"/>
    <n v="15707"/>
    <n v="471210"/>
    <s v="West"/>
    <s v="Global Corp"/>
    <x v="4"/>
  </r>
  <r>
    <d v="2024-05-24T00:00:00"/>
    <s v="INV00531"/>
    <s v="Valve"/>
    <n v="4"/>
    <n v="44233"/>
    <n v="176932"/>
    <s v="North"/>
    <s v="ABC Ltd"/>
    <x v="4"/>
  </r>
  <r>
    <d v="2024-05-02T00:00:00"/>
    <s v="INV00532"/>
    <s v="Pump"/>
    <n v="38"/>
    <n v="35952"/>
    <n v="1366176"/>
    <s v="South"/>
    <s v="XYZ Pvt Ltd"/>
    <x v="4"/>
  </r>
  <r>
    <d v="2024-05-27T00:00:00"/>
    <s v="INV00549"/>
    <s v="Motor"/>
    <n v="1"/>
    <n v="27003"/>
    <n v="27003"/>
    <s v="North"/>
    <s v="XYZ Pvt Ltd"/>
    <x v="4"/>
  </r>
  <r>
    <d v="2024-05-25T00:00:00"/>
    <s v="INV00568"/>
    <s v="Pump"/>
    <n v="7"/>
    <n v="15708"/>
    <n v="109956"/>
    <s v="North"/>
    <s v="Global Corp"/>
    <x v="4"/>
  </r>
  <r>
    <d v="2024-05-05T00:00:00"/>
    <s v="INV00569"/>
    <s v="Pump"/>
    <n v="37"/>
    <n v="18489"/>
    <n v="684093"/>
    <s v="North"/>
    <s v="Prime Industries"/>
    <x v="4"/>
  </r>
  <r>
    <d v="2024-05-20T00:00:00"/>
    <s v="INV00578"/>
    <s v="Motor"/>
    <n v="17"/>
    <n v="26592"/>
    <n v="452064"/>
    <s v="West"/>
    <s v="Skyline Ltd"/>
    <x v="4"/>
  </r>
  <r>
    <d v="2024-05-29T00:00:00"/>
    <s v="INV00586"/>
    <s v="Generator"/>
    <n v="29"/>
    <n v="33987"/>
    <n v="985623"/>
    <s v="North"/>
    <s v="ABC Ltd"/>
    <x v="4"/>
  </r>
  <r>
    <d v="2024-05-17T00:00:00"/>
    <s v="INV00595"/>
    <s v="Pump"/>
    <n v="10"/>
    <n v="37796"/>
    <n v="377960"/>
    <s v="West"/>
    <s v="Skyline Ltd"/>
    <x v="4"/>
  </r>
  <r>
    <d v="2024-05-20T00:00:00"/>
    <s v="INV00598"/>
    <s v="Pump"/>
    <n v="11"/>
    <n v="26096"/>
    <n v="287056"/>
    <s v="East"/>
    <s v="ABC Ltd"/>
    <x v="4"/>
  </r>
  <r>
    <d v="2024-05-20T00:00:00"/>
    <s v="INV00617"/>
    <s v="Valve"/>
    <n v="31"/>
    <n v="11986"/>
    <n v="371566"/>
    <s v="South"/>
    <s v="ABC Ltd"/>
    <x v="4"/>
  </r>
  <r>
    <d v="2024-05-01T00:00:00"/>
    <s v="INV00628"/>
    <s v="Motor"/>
    <n v="23"/>
    <n v="10033"/>
    <n v="230759"/>
    <s v="West"/>
    <s v="XYZ Pvt Ltd"/>
    <x v="4"/>
  </r>
  <r>
    <d v="2024-05-29T00:00:00"/>
    <s v="INV00633"/>
    <s v="Generator"/>
    <n v="21"/>
    <n v="19204"/>
    <n v="403284"/>
    <s v="North"/>
    <s v="XYZ Pvt Ltd"/>
    <x v="4"/>
  </r>
  <r>
    <d v="2024-05-13T00:00:00"/>
    <s v="INV00642"/>
    <s v="Generator"/>
    <n v="35"/>
    <n v="30601"/>
    <n v="1071035"/>
    <s v="East"/>
    <s v="Skyline Ltd"/>
    <x v="4"/>
  </r>
  <r>
    <d v="2024-05-28T00:00:00"/>
    <s v="INV00712"/>
    <s v="Compressor"/>
    <n v="1"/>
    <n v="16185"/>
    <n v="16185"/>
    <s v="South"/>
    <s v="Skyline Ltd"/>
    <x v="4"/>
  </r>
  <r>
    <d v="2024-05-23T00:00:00"/>
    <s v="INV00714"/>
    <s v="Compressor"/>
    <n v="14"/>
    <n v="10857"/>
    <n v="151998"/>
    <s v="West"/>
    <s v="Global Corp"/>
    <x v="4"/>
  </r>
  <r>
    <d v="2024-05-15T00:00:00"/>
    <s v="INV00724"/>
    <s v="Pump"/>
    <n v="21"/>
    <n v="10054"/>
    <n v="211134"/>
    <s v="West"/>
    <s v="Prime Industries"/>
    <x v="4"/>
  </r>
  <r>
    <d v="2024-05-08T00:00:00"/>
    <s v="INV00754"/>
    <s v="Pump"/>
    <n v="3"/>
    <n v="40583"/>
    <n v="121749"/>
    <s v="North"/>
    <s v="Skyline Ltd"/>
    <x v="4"/>
  </r>
  <r>
    <d v="2024-05-27T00:00:00"/>
    <s v="INV00756"/>
    <s v="Motor"/>
    <n v="26"/>
    <n v="41769"/>
    <n v="1085994"/>
    <s v="North"/>
    <s v="Global Corp"/>
    <x v="4"/>
  </r>
  <r>
    <d v="2024-05-27T00:00:00"/>
    <s v="INV00764"/>
    <s v="Compressor"/>
    <n v="32"/>
    <n v="7862"/>
    <n v="251584"/>
    <s v="North"/>
    <s v="Prime Industries"/>
    <x v="4"/>
  </r>
  <r>
    <d v="2024-05-05T00:00:00"/>
    <s v="INV00792"/>
    <s v="Compressor"/>
    <n v="20"/>
    <n v="32328"/>
    <n v="646560"/>
    <s v="South"/>
    <s v="Skyline Ltd"/>
    <x v="4"/>
  </r>
  <r>
    <d v="2024-05-19T00:00:00"/>
    <s v="INV00794"/>
    <s v="Compressor"/>
    <n v="5"/>
    <n v="21701"/>
    <n v="108505"/>
    <s v="South"/>
    <s v="Skyline Ltd"/>
    <x v="4"/>
  </r>
  <r>
    <d v="2024-05-21T00:00:00"/>
    <s v="INV00796"/>
    <s v="Compressor"/>
    <n v="22"/>
    <n v="35962"/>
    <n v="791164"/>
    <s v="South"/>
    <s v="Prime Industries"/>
    <x v="4"/>
  </r>
  <r>
    <d v="2024-05-07T00:00:00"/>
    <s v="INV00833"/>
    <s v="Motor"/>
    <n v="10"/>
    <n v="22532"/>
    <n v="225320"/>
    <s v="East"/>
    <s v="Skyline Ltd"/>
    <x v="4"/>
  </r>
  <r>
    <d v="2024-05-19T00:00:00"/>
    <s v="INV00847"/>
    <s v="Motor"/>
    <n v="10"/>
    <n v="33493"/>
    <n v="334930"/>
    <s v="North"/>
    <s v="ABC Ltd"/>
    <x v="4"/>
  </r>
  <r>
    <d v="2024-05-08T00:00:00"/>
    <s v="INV00854"/>
    <s v="Valve"/>
    <n v="30"/>
    <n v="31106"/>
    <n v="933180"/>
    <s v="East"/>
    <s v="Skyline Ltd"/>
    <x v="4"/>
  </r>
  <r>
    <d v="2024-05-04T00:00:00"/>
    <s v="INV00861"/>
    <s v="Valve"/>
    <n v="6"/>
    <n v="39309"/>
    <n v="235854"/>
    <s v="East"/>
    <s v="Prime Industries"/>
    <x v="4"/>
  </r>
  <r>
    <d v="2024-05-28T00:00:00"/>
    <s v="INV00890"/>
    <s v="Valve"/>
    <n v="38"/>
    <n v="19085"/>
    <n v="725230"/>
    <s v="East"/>
    <s v="ABC Ltd"/>
    <x v="4"/>
  </r>
  <r>
    <d v="2024-05-18T00:00:00"/>
    <s v="INV00895"/>
    <s v="Compressor"/>
    <n v="15"/>
    <n v="29505"/>
    <n v="442575"/>
    <s v="West"/>
    <s v="Skyline Ltd"/>
    <x v="4"/>
  </r>
  <r>
    <d v="2024-05-06T00:00:00"/>
    <s v="INV00899"/>
    <s v="Motor"/>
    <n v="19"/>
    <n v="15247"/>
    <n v="289693"/>
    <s v="West"/>
    <s v="Global Corp"/>
    <x v="4"/>
  </r>
  <r>
    <d v="2024-05-12T00:00:00"/>
    <s v="INV00900"/>
    <s v="Pump"/>
    <n v="9"/>
    <n v="41254"/>
    <n v="371286"/>
    <s v="North"/>
    <s v="ABC Ltd"/>
    <x v="4"/>
  </r>
  <r>
    <d v="2024-05-01T00:00:00"/>
    <s v="INV00937"/>
    <s v="Valve"/>
    <n v="21"/>
    <n v="40070"/>
    <n v="841470"/>
    <s v="East"/>
    <s v="Prime Industries"/>
    <x v="4"/>
  </r>
  <r>
    <d v="2024-05-03T00:00:00"/>
    <s v="INV00941"/>
    <s v="Motor"/>
    <n v="39"/>
    <n v="11992"/>
    <n v="467688"/>
    <s v="South"/>
    <s v="XYZ Pvt Ltd"/>
    <x v="4"/>
  </r>
  <r>
    <d v="2024-05-03T00:00:00"/>
    <s v="INV00945"/>
    <s v="Pump"/>
    <n v="33"/>
    <n v="23157"/>
    <n v="764181"/>
    <s v="West"/>
    <s v="Prime Industries"/>
    <x v="4"/>
  </r>
  <r>
    <d v="2024-05-21T00:00:00"/>
    <s v="INV00953"/>
    <s v="Pump"/>
    <n v="8"/>
    <n v="40529"/>
    <n v="324232"/>
    <s v="East"/>
    <s v="Prime Industries"/>
    <x v="4"/>
  </r>
  <r>
    <d v="2024-05-30T00:00:00"/>
    <s v="INV00954"/>
    <s v="Motor"/>
    <n v="14"/>
    <n v="17400"/>
    <n v="243600"/>
    <s v="North"/>
    <s v="XYZ Pvt Ltd"/>
    <x v="4"/>
  </r>
  <r>
    <d v="2024-05-30T00:00:00"/>
    <s v="INV00956"/>
    <s v="Motor"/>
    <n v="30"/>
    <n v="16303"/>
    <n v="489090"/>
    <s v="West"/>
    <s v="Prime Industries"/>
    <x v="4"/>
  </r>
  <r>
    <d v="2024-05-09T00:00:00"/>
    <s v="INV00961"/>
    <s v="Pump"/>
    <n v="8"/>
    <n v="39519"/>
    <n v="316152"/>
    <s v="South"/>
    <s v="Skyline Ltd"/>
    <x v="4"/>
  </r>
  <r>
    <d v="2024-05-16T00:00:00"/>
    <s v="INV00962"/>
    <s v="Compressor"/>
    <n v="3"/>
    <n v="42457"/>
    <n v="127371"/>
    <s v="West"/>
    <s v="Prime Industries"/>
    <x v="4"/>
  </r>
  <r>
    <d v="2024-05-22T00:00:00"/>
    <s v="INV00984"/>
    <s v="Valve"/>
    <n v="20"/>
    <n v="27709"/>
    <n v="554180"/>
    <s v="South"/>
    <s v="Prime Industries"/>
    <x v="4"/>
  </r>
  <r>
    <d v="2024-05-09T00:00:00"/>
    <s v="INV00985"/>
    <s v="Valve"/>
    <n v="23"/>
    <n v="34553"/>
    <n v="794719"/>
    <s v="South"/>
    <s v="Prime Industries"/>
    <x v="4"/>
  </r>
  <r>
    <d v="2024-05-28T00:00:00"/>
    <s v="INV00991"/>
    <s v="Motor"/>
    <n v="40"/>
    <n v="28566"/>
    <n v="1142640"/>
    <s v="North"/>
    <s v="Global Corp"/>
    <x v="4"/>
  </r>
  <r>
    <d v="2024-05-08T00:00:00"/>
    <s v="INV01004"/>
    <s v="Valve"/>
    <n v="38"/>
    <n v="9319"/>
    <n v="354122"/>
    <s v="North"/>
    <s v="Global Corp"/>
    <x v="4"/>
  </r>
  <r>
    <d v="2024-05-09T00:00:00"/>
    <s v="INV01009"/>
    <s v="Valve"/>
    <n v="30"/>
    <n v="34185"/>
    <n v="1025550"/>
    <s v="North"/>
    <s v="Global Corp"/>
    <x v="4"/>
  </r>
  <r>
    <d v="2024-05-17T00:00:00"/>
    <s v="INV01011"/>
    <s v="Pump"/>
    <n v="7"/>
    <n v="25648"/>
    <n v="179536"/>
    <s v="East"/>
    <s v="Prime Industries"/>
    <x v="4"/>
  </r>
  <r>
    <d v="2024-05-27T00:00:00"/>
    <s v="INV01026"/>
    <s v="Motor"/>
    <n v="13"/>
    <n v="21273"/>
    <n v="276549"/>
    <s v="North"/>
    <s v="Global Corp"/>
    <x v="4"/>
  </r>
  <r>
    <d v="2024-05-27T00:00:00"/>
    <s v="INV01035"/>
    <s v="Compressor"/>
    <n v="13"/>
    <n v="22938"/>
    <n v="298194"/>
    <s v="East"/>
    <s v="Global Corp"/>
    <x v="4"/>
  </r>
  <r>
    <d v="2024-05-30T00:00:00"/>
    <s v="INV01042"/>
    <s v="Compressor"/>
    <n v="24"/>
    <n v="25208"/>
    <n v="604992"/>
    <s v="South"/>
    <s v="Prime Industries"/>
    <x v="4"/>
  </r>
  <r>
    <d v="2024-05-20T00:00:00"/>
    <s v="INV01044"/>
    <s v="Compressor"/>
    <n v="9"/>
    <n v="41167"/>
    <n v="370503"/>
    <s v="East"/>
    <s v="Global Corp"/>
    <x v="4"/>
  </r>
  <r>
    <d v="2024-05-17T00:00:00"/>
    <s v="INV01053"/>
    <s v="Generator"/>
    <n v="13"/>
    <n v="35243"/>
    <n v="458159"/>
    <s v="North"/>
    <s v="XYZ Pvt Ltd"/>
    <x v="4"/>
  </r>
  <r>
    <d v="2024-05-11T00:00:00"/>
    <s v="INV01058"/>
    <s v="Compressor"/>
    <n v="13"/>
    <n v="19197"/>
    <n v="249561"/>
    <s v="North"/>
    <s v="Global Corp"/>
    <x v="4"/>
  </r>
  <r>
    <d v="2024-05-11T00:00:00"/>
    <s v="INV01061"/>
    <s v="Compressor"/>
    <n v="16"/>
    <n v="41997"/>
    <n v="671952"/>
    <s v="West"/>
    <s v="ABC Ltd"/>
    <x v="4"/>
  </r>
  <r>
    <d v="2024-05-30T00:00:00"/>
    <s v="INV01069"/>
    <s v="Motor"/>
    <n v="25"/>
    <n v="24437"/>
    <n v="610925"/>
    <s v="West"/>
    <s v="XYZ Pvt Ltd"/>
    <x v="4"/>
  </r>
  <r>
    <d v="2024-05-13T00:00:00"/>
    <s v="INV01081"/>
    <s v="Pump"/>
    <n v="4"/>
    <n v="42697"/>
    <n v="170788"/>
    <s v="West"/>
    <s v="Prime Industries"/>
    <x v="4"/>
  </r>
  <r>
    <d v="2024-05-26T00:00:00"/>
    <s v="INV01098"/>
    <s v="Valve"/>
    <n v="17"/>
    <n v="17160"/>
    <n v="291720"/>
    <s v="West"/>
    <s v="Skyline Ltd"/>
    <x v="4"/>
  </r>
  <r>
    <d v="2024-05-04T00:00:00"/>
    <s v="INV01145"/>
    <s v="Motor"/>
    <n v="22"/>
    <n v="44779"/>
    <n v="985138"/>
    <s v="North"/>
    <s v="Global Corp"/>
    <x v="4"/>
  </r>
  <r>
    <d v="2024-05-10T00:00:00"/>
    <s v="INV01147"/>
    <s v="Valve"/>
    <n v="32"/>
    <n v="41779"/>
    <n v="1336928"/>
    <s v="East"/>
    <s v="XYZ Pvt Ltd"/>
    <x v="4"/>
  </r>
  <r>
    <d v="2024-05-26T00:00:00"/>
    <s v="INV01152"/>
    <s v="Valve"/>
    <n v="28"/>
    <n v="28987"/>
    <n v="811636"/>
    <s v="South"/>
    <s v="XYZ Pvt Ltd"/>
    <x v="4"/>
  </r>
  <r>
    <d v="2024-05-15T00:00:00"/>
    <s v="INV01154"/>
    <s v="Generator"/>
    <n v="9"/>
    <n v="40567"/>
    <n v="365103"/>
    <s v="South"/>
    <s v="Prime Industries"/>
    <x v="4"/>
  </r>
  <r>
    <d v="2024-05-26T00:00:00"/>
    <s v="INV01170"/>
    <s v="Generator"/>
    <n v="24"/>
    <n v="19316"/>
    <n v="463584"/>
    <s v="South"/>
    <s v="Skyline Ltd"/>
    <x v="4"/>
  </r>
  <r>
    <d v="2024-05-20T00:00:00"/>
    <s v="INV01176"/>
    <s v="Motor"/>
    <n v="28"/>
    <n v="32868"/>
    <n v="920304"/>
    <s v="West"/>
    <s v="Global Corp"/>
    <x v="4"/>
  </r>
  <r>
    <d v="2024-05-01T00:00:00"/>
    <s v="INV01198"/>
    <s v="Valve"/>
    <n v="21"/>
    <n v="17059"/>
    <n v="358239"/>
    <s v="South"/>
    <s v="ABC Ltd"/>
    <x v="4"/>
  </r>
  <r>
    <d v="2024-05-12T00:00:00"/>
    <s v="INV01201"/>
    <s v="Compressor"/>
    <n v="26"/>
    <n v="32410"/>
    <n v="842660"/>
    <s v="East"/>
    <s v="Skyline Ltd"/>
    <x v="4"/>
  </r>
  <r>
    <d v="2024-05-23T00:00:00"/>
    <s v="INV01204"/>
    <s v="Motor"/>
    <n v="27"/>
    <n v="33860"/>
    <n v="914220"/>
    <s v="South"/>
    <s v="ABC Ltd"/>
    <x v="4"/>
  </r>
  <r>
    <d v="2024-05-08T00:00:00"/>
    <s v="INV01219"/>
    <s v="Generator"/>
    <n v="15"/>
    <n v="43299"/>
    <n v="649485"/>
    <s v="East"/>
    <s v="XYZ Pvt Ltd"/>
    <x v="4"/>
  </r>
  <r>
    <d v="2024-05-02T00:00:00"/>
    <s v="INV01232"/>
    <s v="Motor"/>
    <n v="35"/>
    <n v="13850"/>
    <n v="484750"/>
    <s v="East"/>
    <s v="ABC Ltd"/>
    <x v="4"/>
  </r>
  <r>
    <d v="2024-05-08T00:00:00"/>
    <s v="INV01233"/>
    <s v="Pump"/>
    <n v="24"/>
    <n v="20120"/>
    <n v="482880"/>
    <s v="South"/>
    <s v="Skyline Ltd"/>
    <x v="4"/>
  </r>
  <r>
    <d v="2024-05-15T00:00:00"/>
    <s v="INV01238"/>
    <s v="Compressor"/>
    <n v="2"/>
    <n v="24694"/>
    <n v="49388"/>
    <s v="South"/>
    <s v="Skyline Ltd"/>
    <x v="4"/>
  </r>
  <r>
    <d v="2024-05-15T00:00:00"/>
    <s v="INV01241"/>
    <s v="Valve"/>
    <n v="29"/>
    <n v="43625"/>
    <n v="1265125"/>
    <s v="West"/>
    <s v="XYZ Pvt Ltd"/>
    <x v="4"/>
  </r>
  <r>
    <d v="2024-05-29T00:00:00"/>
    <s v="INV01253"/>
    <s v="Pump"/>
    <n v="29"/>
    <n v="22506"/>
    <n v="652674"/>
    <s v="West"/>
    <s v="Skyline Ltd"/>
    <x v="4"/>
  </r>
  <r>
    <d v="2024-05-13T00:00:00"/>
    <s v="INV01298"/>
    <s v="Pump"/>
    <n v="1"/>
    <n v="11142"/>
    <n v="11142"/>
    <s v="North"/>
    <s v="Global Corp"/>
    <x v="4"/>
  </r>
  <r>
    <d v="2024-05-05T00:00:00"/>
    <s v="INV01315"/>
    <s v="Pump"/>
    <n v="24"/>
    <n v="29920"/>
    <n v="718080"/>
    <s v="South"/>
    <s v="Prime Industries"/>
    <x v="4"/>
  </r>
  <r>
    <d v="2024-05-08T00:00:00"/>
    <s v="INV01317"/>
    <s v="Pump"/>
    <n v="40"/>
    <n v="32167"/>
    <n v="1286680"/>
    <s v="South"/>
    <s v="ABC Ltd"/>
    <x v="4"/>
  </r>
  <r>
    <d v="2024-05-01T00:00:00"/>
    <s v="INV01324"/>
    <s v="Motor"/>
    <n v="13"/>
    <n v="14244"/>
    <n v="185172"/>
    <s v="North"/>
    <s v="Prime Industries"/>
    <x v="4"/>
  </r>
  <r>
    <d v="2024-05-30T00:00:00"/>
    <s v="INV01329"/>
    <s v="Valve"/>
    <n v="38"/>
    <n v="19483"/>
    <n v="740354"/>
    <s v="East"/>
    <s v="Prime Industries"/>
    <x v="4"/>
  </r>
  <r>
    <d v="2024-05-29T00:00:00"/>
    <s v="INV01353"/>
    <s v="Valve"/>
    <n v="1"/>
    <n v="14490"/>
    <n v="14490"/>
    <s v="North"/>
    <s v="Prime Industries"/>
    <x v="4"/>
  </r>
  <r>
    <d v="2024-05-26T00:00:00"/>
    <s v="INV01366"/>
    <s v="Pump"/>
    <n v="35"/>
    <n v="16450"/>
    <n v="575750"/>
    <s v="East"/>
    <s v="Global Corp"/>
    <x v="4"/>
  </r>
  <r>
    <d v="2024-05-18T00:00:00"/>
    <s v="INV01367"/>
    <s v="Pump"/>
    <n v="30"/>
    <n v="11683"/>
    <n v="350490"/>
    <s v="North"/>
    <s v="XYZ Pvt Ltd"/>
    <x v="4"/>
  </r>
  <r>
    <d v="2024-05-13T00:00:00"/>
    <s v="INV01376"/>
    <s v="Generator"/>
    <n v="19"/>
    <n v="21487"/>
    <n v="408253"/>
    <s v="West"/>
    <s v="Skyline Ltd"/>
    <x v="4"/>
  </r>
  <r>
    <d v="2024-05-10T00:00:00"/>
    <s v="INV01381"/>
    <s v="Pump"/>
    <n v="38"/>
    <n v="31488"/>
    <n v="1196544"/>
    <s v="South"/>
    <s v="Skyline Ltd"/>
    <x v="4"/>
  </r>
  <r>
    <d v="2024-05-10T00:00:00"/>
    <s v="INV01382"/>
    <s v="Compressor"/>
    <n v="39"/>
    <n v="10452"/>
    <n v="407628"/>
    <s v="South"/>
    <s v="Global Corp"/>
    <x v="4"/>
  </r>
  <r>
    <d v="2024-05-29T00:00:00"/>
    <s v="INV01403"/>
    <s v="Generator"/>
    <n v="10"/>
    <n v="12665"/>
    <n v="126650"/>
    <s v="West"/>
    <s v="Global Corp"/>
    <x v="4"/>
  </r>
  <r>
    <d v="2024-05-11T00:00:00"/>
    <s v="INV01431"/>
    <s v="Motor"/>
    <n v="39"/>
    <n v="11771"/>
    <n v="459069"/>
    <s v="West"/>
    <s v="Prime Industries"/>
    <x v="4"/>
  </r>
  <r>
    <d v="2024-05-17T00:00:00"/>
    <s v="INV01458"/>
    <s v="Generator"/>
    <n v="36"/>
    <n v="44610"/>
    <n v="1605960"/>
    <s v="North"/>
    <s v="Global Corp"/>
    <x v="4"/>
  </r>
  <r>
    <d v="2024-06-12T00:00:00"/>
    <s v="INV00002"/>
    <s v="Generator"/>
    <n v="38"/>
    <n v="19393"/>
    <n v="736934"/>
    <s v="East"/>
    <s v="Skyline Ltd"/>
    <x v="5"/>
  </r>
  <r>
    <d v="2024-06-19T00:00:00"/>
    <s v="INV00007"/>
    <s v="Motor"/>
    <n v="4"/>
    <n v="10918"/>
    <n v="43672"/>
    <s v="South"/>
    <s v="ABC Ltd"/>
    <x v="5"/>
  </r>
  <r>
    <d v="2024-06-12T00:00:00"/>
    <s v="INV00079"/>
    <s v="Valve"/>
    <n v="22"/>
    <n v="24626"/>
    <n v="541772"/>
    <s v="South"/>
    <s v="XYZ Pvt Ltd"/>
    <x v="5"/>
  </r>
  <r>
    <d v="2024-06-06T00:00:00"/>
    <s v="INV00090"/>
    <s v="Pump"/>
    <n v="27"/>
    <n v="42007"/>
    <n v="1134189"/>
    <s v="East"/>
    <s v="ABC Ltd"/>
    <x v="5"/>
  </r>
  <r>
    <d v="2024-06-07T00:00:00"/>
    <s v="INV00093"/>
    <s v="Motor"/>
    <n v="11"/>
    <n v="40426"/>
    <n v="444686"/>
    <s v="North"/>
    <s v="Skyline Ltd"/>
    <x v="5"/>
  </r>
  <r>
    <d v="2024-06-16T00:00:00"/>
    <s v="INV00111"/>
    <s v="Valve"/>
    <n v="26"/>
    <n v="29416"/>
    <n v="764816"/>
    <s v="South"/>
    <s v="XYZ Pvt Ltd"/>
    <x v="5"/>
  </r>
  <r>
    <d v="2024-06-18T00:00:00"/>
    <s v="INV00122"/>
    <s v="Generator"/>
    <n v="18"/>
    <n v="10872"/>
    <n v="195696"/>
    <s v="North"/>
    <s v="ABC Ltd"/>
    <x v="5"/>
  </r>
  <r>
    <d v="2024-06-17T00:00:00"/>
    <s v="INV00129"/>
    <s v="Compressor"/>
    <n v="37"/>
    <n v="43204"/>
    <n v="1598548"/>
    <s v="South"/>
    <s v="Prime Industries"/>
    <x v="5"/>
  </r>
  <r>
    <d v="2024-06-18T00:00:00"/>
    <s v="INV00144"/>
    <s v="Generator"/>
    <n v="28"/>
    <n v="5884"/>
    <n v="164752"/>
    <s v="West"/>
    <s v="Global Corp"/>
    <x v="5"/>
  </r>
  <r>
    <d v="2024-06-24T00:00:00"/>
    <s v="INV00159"/>
    <s v="Pump"/>
    <n v="8"/>
    <n v="22022"/>
    <n v="176176"/>
    <s v="South"/>
    <s v="Skyline Ltd"/>
    <x v="5"/>
  </r>
  <r>
    <d v="2024-06-20T00:00:00"/>
    <s v="INV00169"/>
    <s v="Compressor"/>
    <n v="5"/>
    <n v="28702"/>
    <n v="143510"/>
    <s v="West"/>
    <s v="ABC Ltd"/>
    <x v="5"/>
  </r>
  <r>
    <d v="2024-06-05T00:00:00"/>
    <s v="INV00171"/>
    <s v="Generator"/>
    <n v="14"/>
    <n v="15324"/>
    <n v="214536"/>
    <s v="West"/>
    <s v="XYZ Pvt Ltd"/>
    <x v="5"/>
  </r>
  <r>
    <d v="2024-06-12T00:00:00"/>
    <s v="INV00177"/>
    <s v="Compressor"/>
    <n v="10"/>
    <n v="36753"/>
    <n v="367530"/>
    <s v="South"/>
    <s v="ABC Ltd"/>
    <x v="5"/>
  </r>
  <r>
    <d v="2024-06-29T00:00:00"/>
    <s v="INV00185"/>
    <s v="Pump"/>
    <n v="22"/>
    <n v="15232"/>
    <n v="335104"/>
    <s v="South"/>
    <s v="Global Corp"/>
    <x v="5"/>
  </r>
  <r>
    <d v="2024-06-29T00:00:00"/>
    <s v="INV00191"/>
    <s v="Generator"/>
    <n v="16"/>
    <n v="16360"/>
    <n v="261760"/>
    <s v="North"/>
    <s v="ABC Ltd"/>
    <x v="5"/>
  </r>
  <r>
    <d v="2024-06-09T00:00:00"/>
    <s v="INV00231"/>
    <s v="Pump"/>
    <n v="1"/>
    <n v="10212"/>
    <n v="10212"/>
    <s v="North"/>
    <s v="XYZ Pvt Ltd"/>
    <x v="5"/>
  </r>
  <r>
    <d v="2024-06-10T00:00:00"/>
    <s v="INV00266"/>
    <s v="Pump"/>
    <n v="27"/>
    <n v="44710"/>
    <n v="1207170"/>
    <s v="South"/>
    <s v="ABC Ltd"/>
    <x v="5"/>
  </r>
  <r>
    <d v="2024-06-16T00:00:00"/>
    <s v="INV00271"/>
    <s v="Motor"/>
    <n v="34"/>
    <n v="13944"/>
    <n v="474096"/>
    <s v="South"/>
    <s v="Skyline Ltd"/>
    <x v="5"/>
  </r>
  <r>
    <d v="2024-06-16T00:00:00"/>
    <s v="INV00275"/>
    <s v="Generator"/>
    <n v="8"/>
    <n v="27988"/>
    <n v="223904"/>
    <s v="East"/>
    <s v="Prime Industries"/>
    <x v="5"/>
  </r>
  <r>
    <d v="2024-06-19T00:00:00"/>
    <s v="INV00286"/>
    <s v="Pump"/>
    <n v="12"/>
    <n v="25621"/>
    <n v="307452"/>
    <s v="South"/>
    <s v="Prime Industries"/>
    <x v="5"/>
  </r>
  <r>
    <d v="2024-06-20T00:00:00"/>
    <s v="INV00317"/>
    <s v="Valve"/>
    <n v="11"/>
    <n v="38403"/>
    <n v="422433"/>
    <s v="North"/>
    <s v="Prime Industries"/>
    <x v="5"/>
  </r>
  <r>
    <d v="2024-06-22T00:00:00"/>
    <s v="INV00329"/>
    <s v="Valve"/>
    <n v="19"/>
    <n v="38844"/>
    <n v="738036"/>
    <s v="North"/>
    <s v="Prime Industries"/>
    <x v="5"/>
  </r>
  <r>
    <d v="2024-06-07T00:00:00"/>
    <s v="INV00350"/>
    <s v="Compressor"/>
    <n v="37"/>
    <n v="34181"/>
    <n v="1264697"/>
    <s v="East"/>
    <s v="XYZ Pvt Ltd"/>
    <x v="5"/>
  </r>
  <r>
    <d v="2024-06-03T00:00:00"/>
    <s v="INV00352"/>
    <s v="Motor"/>
    <n v="28"/>
    <n v="20037"/>
    <n v="561036"/>
    <s v="North"/>
    <s v="ABC Ltd"/>
    <x v="5"/>
  </r>
  <r>
    <d v="2024-06-08T00:00:00"/>
    <s v="INV00361"/>
    <s v="Pump"/>
    <n v="24"/>
    <n v="23181"/>
    <n v="556344"/>
    <s v="North"/>
    <s v="XYZ Pvt Ltd"/>
    <x v="5"/>
  </r>
  <r>
    <d v="2024-06-26T00:00:00"/>
    <s v="INV00364"/>
    <s v="Generator"/>
    <n v="26"/>
    <n v="35666"/>
    <n v="927316"/>
    <s v="North"/>
    <s v="ABC Ltd"/>
    <x v="5"/>
  </r>
  <r>
    <d v="2024-06-01T00:00:00"/>
    <s v="INV00371"/>
    <s v="Compressor"/>
    <n v="13"/>
    <n v="39158"/>
    <n v="509054"/>
    <s v="East"/>
    <s v="ABC Ltd"/>
    <x v="5"/>
  </r>
  <r>
    <d v="2024-06-08T00:00:00"/>
    <s v="INV00382"/>
    <s v="Valve"/>
    <n v="22"/>
    <n v="21510"/>
    <n v="473220"/>
    <s v="East"/>
    <s v="XYZ Pvt Ltd"/>
    <x v="5"/>
  </r>
  <r>
    <d v="2024-06-17T00:00:00"/>
    <s v="INV00399"/>
    <s v="Motor"/>
    <n v="3"/>
    <n v="15741"/>
    <n v="47223"/>
    <s v="South"/>
    <s v="Skyline Ltd"/>
    <x v="5"/>
  </r>
  <r>
    <d v="2024-06-09T00:00:00"/>
    <s v="INV00403"/>
    <s v="Motor"/>
    <n v="34"/>
    <n v="25405"/>
    <n v="863770"/>
    <s v="South"/>
    <s v="Global Corp"/>
    <x v="5"/>
  </r>
  <r>
    <d v="2024-06-28T00:00:00"/>
    <s v="INV00407"/>
    <s v="Valve"/>
    <n v="3"/>
    <n v="42406"/>
    <n v="127218"/>
    <s v="East"/>
    <s v="ABC Ltd"/>
    <x v="5"/>
  </r>
  <r>
    <d v="2024-06-16T00:00:00"/>
    <s v="INV00457"/>
    <s v="Generator"/>
    <n v="16"/>
    <n v="21125"/>
    <n v="338000"/>
    <s v="East"/>
    <s v="Skyline Ltd"/>
    <x v="5"/>
  </r>
  <r>
    <d v="2024-06-20T00:00:00"/>
    <s v="INV00488"/>
    <s v="Generator"/>
    <n v="3"/>
    <n v="35370"/>
    <n v="106110"/>
    <s v="West"/>
    <s v="Prime Industries"/>
    <x v="5"/>
  </r>
  <r>
    <d v="2024-06-17T00:00:00"/>
    <s v="INV00495"/>
    <s v="Motor"/>
    <n v="20"/>
    <n v="8489"/>
    <n v="169780"/>
    <s v="North"/>
    <s v="Global Corp"/>
    <x v="5"/>
  </r>
  <r>
    <d v="2024-06-23T00:00:00"/>
    <s v="INV00500"/>
    <s v="Motor"/>
    <n v="24"/>
    <n v="5875"/>
    <n v="141000"/>
    <s v="East"/>
    <s v="Skyline Ltd"/>
    <x v="5"/>
  </r>
  <r>
    <d v="2024-06-19T00:00:00"/>
    <s v="INV00506"/>
    <s v="Motor"/>
    <n v="18"/>
    <n v="9920"/>
    <n v="178560"/>
    <s v="West"/>
    <s v="Global Corp"/>
    <x v="5"/>
  </r>
  <r>
    <d v="2024-06-10T00:00:00"/>
    <s v="INV00521"/>
    <s v="Motor"/>
    <n v="26"/>
    <n v="8917"/>
    <n v="231842"/>
    <s v="South"/>
    <s v="XYZ Pvt Ltd"/>
    <x v="5"/>
  </r>
  <r>
    <d v="2024-06-08T00:00:00"/>
    <s v="INV00530"/>
    <s v="Motor"/>
    <n v="39"/>
    <n v="42227"/>
    <n v="1646853"/>
    <s v="West"/>
    <s v="Prime Industries"/>
    <x v="5"/>
  </r>
  <r>
    <d v="2024-06-02T00:00:00"/>
    <s v="INV00541"/>
    <s v="Compressor"/>
    <n v="8"/>
    <n v="6884"/>
    <n v="55072"/>
    <s v="North"/>
    <s v="ABC Ltd"/>
    <x v="5"/>
  </r>
  <r>
    <d v="2024-06-30T00:00:00"/>
    <s v="INV00544"/>
    <s v="Motor"/>
    <n v="27"/>
    <n v="9849"/>
    <n v="265923"/>
    <s v="North"/>
    <s v="Skyline Ltd"/>
    <x v="5"/>
  </r>
  <r>
    <d v="2024-06-27T00:00:00"/>
    <s v="INV00546"/>
    <s v="Generator"/>
    <n v="8"/>
    <n v="42194"/>
    <n v="337552"/>
    <s v="South"/>
    <s v="Global Corp"/>
    <x v="5"/>
  </r>
  <r>
    <d v="2024-06-28T00:00:00"/>
    <s v="INV00559"/>
    <s v="Compressor"/>
    <n v="28"/>
    <n v="30270"/>
    <n v="847560"/>
    <s v="North"/>
    <s v="ABC Ltd"/>
    <x v="5"/>
  </r>
  <r>
    <d v="2024-06-21T00:00:00"/>
    <s v="INV00580"/>
    <s v="Motor"/>
    <n v="37"/>
    <n v="11705"/>
    <n v="433085"/>
    <s v="East"/>
    <s v="Global Corp"/>
    <x v="5"/>
  </r>
  <r>
    <d v="2024-06-18T00:00:00"/>
    <s v="INV00592"/>
    <s v="Valve"/>
    <n v="6"/>
    <n v="38549"/>
    <n v="231294"/>
    <s v="West"/>
    <s v="Global Corp"/>
    <x v="5"/>
  </r>
  <r>
    <d v="2024-06-02T00:00:00"/>
    <s v="INV00605"/>
    <s v="Generator"/>
    <n v="22"/>
    <n v="34226"/>
    <n v="752972"/>
    <s v="West"/>
    <s v="ABC Ltd"/>
    <x v="5"/>
  </r>
  <r>
    <d v="2024-06-24T00:00:00"/>
    <s v="INV00607"/>
    <s v="Pump"/>
    <n v="9"/>
    <n v="27840"/>
    <n v="250560"/>
    <s v="South"/>
    <s v="Global Corp"/>
    <x v="5"/>
  </r>
  <r>
    <d v="2024-06-17T00:00:00"/>
    <s v="INV00620"/>
    <s v="Valve"/>
    <n v="28"/>
    <n v="39895"/>
    <n v="1117060"/>
    <s v="South"/>
    <s v="Skyline Ltd"/>
    <x v="5"/>
  </r>
  <r>
    <d v="2024-06-25T00:00:00"/>
    <s v="INV00631"/>
    <s v="Compressor"/>
    <n v="14"/>
    <n v="11747"/>
    <n v="164458"/>
    <s v="South"/>
    <s v="ABC Ltd"/>
    <x v="5"/>
  </r>
  <r>
    <d v="2024-06-01T00:00:00"/>
    <s v="INV00632"/>
    <s v="Compressor"/>
    <n v="2"/>
    <n v="32635"/>
    <n v="65270"/>
    <s v="West"/>
    <s v="Global Corp"/>
    <x v="5"/>
  </r>
  <r>
    <d v="2024-06-17T00:00:00"/>
    <s v="INV00643"/>
    <s v="Valve"/>
    <n v="37"/>
    <n v="34532"/>
    <n v="1277684"/>
    <s v="North"/>
    <s v="XYZ Pvt Ltd"/>
    <x v="5"/>
  </r>
  <r>
    <d v="2024-06-16T00:00:00"/>
    <s v="INV00660"/>
    <s v="Generator"/>
    <n v="36"/>
    <n v="14042"/>
    <n v="505512"/>
    <s v="West"/>
    <s v="XYZ Pvt Ltd"/>
    <x v="5"/>
  </r>
  <r>
    <d v="2024-06-20T00:00:00"/>
    <s v="INV00673"/>
    <s v="Pump"/>
    <n v="18"/>
    <n v="20059"/>
    <n v="361062"/>
    <s v="East"/>
    <s v="Global Corp"/>
    <x v="5"/>
  </r>
  <r>
    <d v="2024-06-17T00:00:00"/>
    <s v="INV00678"/>
    <s v="Generator"/>
    <n v="6"/>
    <n v="40979"/>
    <n v="245874"/>
    <s v="South"/>
    <s v="XYZ Pvt Ltd"/>
    <x v="5"/>
  </r>
  <r>
    <d v="2024-06-22T00:00:00"/>
    <s v="INV00681"/>
    <s v="Compressor"/>
    <n v="9"/>
    <n v="30490"/>
    <n v="274410"/>
    <s v="West"/>
    <s v="XYZ Pvt Ltd"/>
    <x v="5"/>
  </r>
  <r>
    <d v="2024-06-13T00:00:00"/>
    <s v="INV00684"/>
    <s v="Valve"/>
    <n v="35"/>
    <n v="24859"/>
    <n v="870065"/>
    <s v="North"/>
    <s v="Prime Industries"/>
    <x v="5"/>
  </r>
  <r>
    <d v="2024-06-25T00:00:00"/>
    <s v="INV00696"/>
    <s v="Motor"/>
    <n v="24"/>
    <n v="16454"/>
    <n v="394896"/>
    <s v="East"/>
    <s v="XYZ Pvt Ltd"/>
    <x v="5"/>
  </r>
  <r>
    <d v="2024-06-23T00:00:00"/>
    <s v="INV00699"/>
    <s v="Motor"/>
    <n v="8"/>
    <n v="9467"/>
    <n v="75736"/>
    <s v="East"/>
    <s v="ABC Ltd"/>
    <x v="5"/>
  </r>
  <r>
    <d v="2024-06-02T00:00:00"/>
    <s v="INV00701"/>
    <s v="Compressor"/>
    <n v="20"/>
    <n v="20629"/>
    <n v="412580"/>
    <s v="East"/>
    <s v="Global Corp"/>
    <x v="5"/>
  </r>
  <r>
    <d v="2024-06-28T00:00:00"/>
    <s v="INV00703"/>
    <s v="Compressor"/>
    <n v="36"/>
    <n v="12433"/>
    <n v="447588"/>
    <s v="East"/>
    <s v="XYZ Pvt Ltd"/>
    <x v="5"/>
  </r>
  <r>
    <d v="2024-06-26T00:00:00"/>
    <s v="INV00707"/>
    <s v="Motor"/>
    <n v="15"/>
    <n v="23965"/>
    <n v="359475"/>
    <s v="North"/>
    <s v="Skyline Ltd"/>
    <x v="5"/>
  </r>
  <r>
    <d v="2024-06-12T00:00:00"/>
    <s v="INV00711"/>
    <s v="Valve"/>
    <n v="24"/>
    <n v="44821"/>
    <n v="1075704"/>
    <s v="West"/>
    <s v="Global Corp"/>
    <x v="5"/>
  </r>
  <r>
    <d v="2024-06-08T00:00:00"/>
    <s v="INV00728"/>
    <s v="Valve"/>
    <n v="39"/>
    <n v="39915"/>
    <n v="1556685"/>
    <s v="East"/>
    <s v="Skyline Ltd"/>
    <x v="5"/>
  </r>
  <r>
    <d v="2024-06-27T00:00:00"/>
    <s v="INV00749"/>
    <s v="Generator"/>
    <n v="22"/>
    <n v="20680"/>
    <n v="454960"/>
    <s v="West"/>
    <s v="ABC Ltd"/>
    <x v="5"/>
  </r>
  <r>
    <d v="2024-06-03T00:00:00"/>
    <s v="INV00781"/>
    <s v="Motor"/>
    <n v="34"/>
    <n v="26454"/>
    <n v="899436"/>
    <s v="North"/>
    <s v="Skyline Ltd"/>
    <x v="5"/>
  </r>
  <r>
    <d v="2024-06-20T00:00:00"/>
    <s v="INV00793"/>
    <s v="Motor"/>
    <n v="6"/>
    <n v="32216"/>
    <n v="193296"/>
    <s v="North"/>
    <s v="Skyline Ltd"/>
    <x v="5"/>
  </r>
  <r>
    <d v="2024-06-09T00:00:00"/>
    <s v="INV00870"/>
    <s v="Pump"/>
    <n v="36"/>
    <n v="33384"/>
    <n v="1201824"/>
    <s v="North"/>
    <s v="Global Corp"/>
    <x v="5"/>
  </r>
  <r>
    <d v="2024-06-06T00:00:00"/>
    <s v="INV00874"/>
    <s v="Valve"/>
    <n v="2"/>
    <n v="43544"/>
    <n v="87088"/>
    <s v="South"/>
    <s v="XYZ Pvt Ltd"/>
    <x v="5"/>
  </r>
  <r>
    <d v="2024-06-30T00:00:00"/>
    <s v="INV00909"/>
    <s v="Motor"/>
    <n v="3"/>
    <n v="43380"/>
    <n v="130140"/>
    <s v="West"/>
    <s v="Global Corp"/>
    <x v="5"/>
  </r>
  <r>
    <d v="2024-06-27T00:00:00"/>
    <s v="INV00917"/>
    <s v="Compressor"/>
    <n v="2"/>
    <n v="22507"/>
    <n v="45014"/>
    <s v="South"/>
    <s v="XYZ Pvt Ltd"/>
    <x v="5"/>
  </r>
  <r>
    <d v="2024-06-20T00:00:00"/>
    <s v="INV00930"/>
    <s v="Compressor"/>
    <n v="29"/>
    <n v="34387"/>
    <n v="997223"/>
    <s v="South"/>
    <s v="Prime Industries"/>
    <x v="5"/>
  </r>
  <r>
    <d v="2024-06-08T00:00:00"/>
    <s v="INV00944"/>
    <s v="Generator"/>
    <n v="34"/>
    <n v="10043"/>
    <n v="341462"/>
    <s v="South"/>
    <s v="Prime Industries"/>
    <x v="5"/>
  </r>
  <r>
    <d v="2024-06-26T00:00:00"/>
    <s v="INV01005"/>
    <s v="Generator"/>
    <n v="6"/>
    <n v="9783"/>
    <n v="58698"/>
    <s v="North"/>
    <s v="XYZ Pvt Ltd"/>
    <x v="5"/>
  </r>
  <r>
    <d v="2024-06-11T00:00:00"/>
    <s v="INV01008"/>
    <s v="Generator"/>
    <n v="12"/>
    <n v="14164"/>
    <n v="169968"/>
    <s v="East"/>
    <s v="ABC Ltd"/>
    <x v="5"/>
  </r>
  <r>
    <d v="2024-06-04T00:00:00"/>
    <s v="INV01038"/>
    <s v="Motor"/>
    <n v="20"/>
    <n v="22456"/>
    <n v="449120"/>
    <s v="South"/>
    <s v="Prime Industries"/>
    <x v="5"/>
  </r>
  <r>
    <d v="2024-06-04T00:00:00"/>
    <s v="INV01054"/>
    <s v="Generator"/>
    <n v="32"/>
    <n v="14073"/>
    <n v="450336"/>
    <s v="East"/>
    <s v="Prime Industries"/>
    <x v="5"/>
  </r>
  <r>
    <d v="2024-06-10T00:00:00"/>
    <s v="INV01067"/>
    <s v="Valve"/>
    <n v="5"/>
    <n v="5378"/>
    <n v="26890"/>
    <s v="West"/>
    <s v="ABC Ltd"/>
    <x v="5"/>
  </r>
  <r>
    <d v="2024-06-04T00:00:00"/>
    <s v="INV01070"/>
    <s v="Valve"/>
    <n v="27"/>
    <n v="12958"/>
    <n v="349866"/>
    <s v="South"/>
    <s v="Skyline Ltd"/>
    <x v="5"/>
  </r>
  <r>
    <d v="2024-06-05T00:00:00"/>
    <s v="INV01076"/>
    <s v="Motor"/>
    <n v="8"/>
    <n v="27746"/>
    <n v="221968"/>
    <s v="South"/>
    <s v="Skyline Ltd"/>
    <x v="5"/>
  </r>
  <r>
    <d v="2024-06-29T00:00:00"/>
    <s v="INV01087"/>
    <s v="Generator"/>
    <n v="33"/>
    <n v="26341"/>
    <n v="869253"/>
    <s v="North"/>
    <s v="Global Corp"/>
    <x v="5"/>
  </r>
  <r>
    <d v="2024-06-10T00:00:00"/>
    <s v="INV01096"/>
    <s v="Pump"/>
    <n v="17"/>
    <n v="7336"/>
    <n v="124712"/>
    <s v="South"/>
    <s v="Prime Industries"/>
    <x v="5"/>
  </r>
  <r>
    <d v="2024-06-17T00:00:00"/>
    <s v="INV01097"/>
    <s v="Generator"/>
    <n v="15"/>
    <n v="32090"/>
    <n v="481350"/>
    <s v="South"/>
    <s v="ABC Ltd"/>
    <x v="5"/>
  </r>
  <r>
    <d v="2024-06-28T00:00:00"/>
    <s v="INV01109"/>
    <s v="Valve"/>
    <n v="27"/>
    <n v="11544"/>
    <n v="311688"/>
    <s v="North"/>
    <s v="Prime Industries"/>
    <x v="5"/>
  </r>
  <r>
    <d v="2024-06-29T00:00:00"/>
    <s v="INV01112"/>
    <s v="Pump"/>
    <n v="22"/>
    <n v="9092"/>
    <n v="200024"/>
    <s v="South"/>
    <s v="Global Corp"/>
    <x v="5"/>
  </r>
  <r>
    <d v="2024-06-04T00:00:00"/>
    <s v="INV01125"/>
    <s v="Pump"/>
    <n v="7"/>
    <n v="20793"/>
    <n v="145551"/>
    <s v="North"/>
    <s v="Prime Industries"/>
    <x v="5"/>
  </r>
  <r>
    <d v="2024-06-17T00:00:00"/>
    <s v="INV01127"/>
    <s v="Pump"/>
    <n v="13"/>
    <n v="33215"/>
    <n v="431795"/>
    <s v="East"/>
    <s v="Global Corp"/>
    <x v="5"/>
  </r>
  <r>
    <d v="2024-06-09T00:00:00"/>
    <s v="INV01146"/>
    <s v="Compressor"/>
    <n v="10"/>
    <n v="19434"/>
    <n v="194340"/>
    <s v="North"/>
    <s v="Skyline Ltd"/>
    <x v="5"/>
  </r>
  <r>
    <d v="2024-06-01T00:00:00"/>
    <s v="INV01150"/>
    <s v="Compressor"/>
    <n v="21"/>
    <n v="20981"/>
    <n v="440601"/>
    <s v="South"/>
    <s v="ABC Ltd"/>
    <x v="5"/>
  </r>
  <r>
    <d v="2024-06-26T00:00:00"/>
    <s v="INV01153"/>
    <s v="Motor"/>
    <n v="13"/>
    <n v="43896"/>
    <n v="570648"/>
    <s v="South"/>
    <s v="Prime Industries"/>
    <x v="5"/>
  </r>
  <r>
    <d v="2024-06-13T00:00:00"/>
    <s v="INV01155"/>
    <s v="Pump"/>
    <n v="25"/>
    <n v="17973"/>
    <n v="449325"/>
    <s v="North"/>
    <s v="Prime Industries"/>
    <x v="5"/>
  </r>
  <r>
    <d v="2024-06-23T00:00:00"/>
    <s v="INV01160"/>
    <s v="Generator"/>
    <n v="22"/>
    <n v="26886"/>
    <n v="591492"/>
    <s v="East"/>
    <s v="ABC Ltd"/>
    <x v="5"/>
  </r>
  <r>
    <d v="2024-06-12T00:00:00"/>
    <s v="INV01162"/>
    <s v="Motor"/>
    <n v="13"/>
    <n v="34202"/>
    <n v="444626"/>
    <s v="East"/>
    <s v="Prime Industries"/>
    <x v="5"/>
  </r>
  <r>
    <d v="2024-06-01T00:00:00"/>
    <s v="INV01168"/>
    <s v="Valve"/>
    <n v="15"/>
    <n v="42032"/>
    <n v="630480"/>
    <s v="South"/>
    <s v="Skyline Ltd"/>
    <x v="5"/>
  </r>
  <r>
    <d v="2024-06-14T00:00:00"/>
    <s v="INV01177"/>
    <s v="Pump"/>
    <n v="8"/>
    <n v="14615"/>
    <n v="116920"/>
    <s v="West"/>
    <s v="Skyline Ltd"/>
    <x v="5"/>
  </r>
  <r>
    <d v="2024-06-29T00:00:00"/>
    <s v="INV01186"/>
    <s v="Generator"/>
    <n v="7"/>
    <n v="7017"/>
    <n v="49119"/>
    <s v="West"/>
    <s v="Global Corp"/>
    <x v="5"/>
  </r>
  <r>
    <d v="2024-06-28T00:00:00"/>
    <s v="INV01214"/>
    <s v="Valve"/>
    <n v="19"/>
    <n v="11510"/>
    <n v="218690"/>
    <s v="East"/>
    <s v="ABC Ltd"/>
    <x v="5"/>
  </r>
  <r>
    <d v="2024-06-15T00:00:00"/>
    <s v="INV01230"/>
    <s v="Compressor"/>
    <n v="37"/>
    <n v="36088"/>
    <n v="1335256"/>
    <s v="South"/>
    <s v="Global Corp"/>
    <x v="5"/>
  </r>
  <r>
    <d v="2024-06-26T00:00:00"/>
    <s v="INV01251"/>
    <s v="Compressor"/>
    <n v="26"/>
    <n v="29255"/>
    <n v="760630"/>
    <s v="East"/>
    <s v="XYZ Pvt Ltd"/>
    <x v="5"/>
  </r>
  <r>
    <d v="2024-06-20T00:00:00"/>
    <s v="INV01254"/>
    <s v="Compressor"/>
    <n v="32"/>
    <n v="5157"/>
    <n v="165024"/>
    <s v="East"/>
    <s v="Skyline Ltd"/>
    <x v="5"/>
  </r>
  <r>
    <d v="2024-06-12T00:00:00"/>
    <s v="INV01257"/>
    <s v="Generator"/>
    <n v="9"/>
    <n v="27584"/>
    <n v="248256"/>
    <s v="West"/>
    <s v="XYZ Pvt Ltd"/>
    <x v="5"/>
  </r>
  <r>
    <d v="2024-06-09T00:00:00"/>
    <s v="INV01259"/>
    <s v="Generator"/>
    <n v="38"/>
    <n v="37732"/>
    <n v="1433816"/>
    <s v="North"/>
    <s v="Global Corp"/>
    <x v="5"/>
  </r>
  <r>
    <d v="2024-06-01T00:00:00"/>
    <s v="INV01266"/>
    <s v="Compressor"/>
    <n v="15"/>
    <n v="22721"/>
    <n v="340815"/>
    <s v="North"/>
    <s v="XYZ Pvt Ltd"/>
    <x v="5"/>
  </r>
  <r>
    <d v="2024-06-28T00:00:00"/>
    <s v="INV01269"/>
    <s v="Compressor"/>
    <n v="38"/>
    <n v="34013"/>
    <n v="1292494"/>
    <s v="West"/>
    <s v="Skyline Ltd"/>
    <x v="5"/>
  </r>
  <r>
    <d v="2024-06-26T00:00:00"/>
    <s v="INV01274"/>
    <s v="Pump"/>
    <n v="7"/>
    <n v="18232"/>
    <n v="127624"/>
    <s v="North"/>
    <s v="XYZ Pvt Ltd"/>
    <x v="5"/>
  </r>
  <r>
    <d v="2024-06-06T00:00:00"/>
    <s v="INV01281"/>
    <s v="Valve"/>
    <n v="6"/>
    <n v="33751"/>
    <n v="202506"/>
    <s v="East"/>
    <s v="Prime Industries"/>
    <x v="5"/>
  </r>
  <r>
    <d v="2024-06-09T00:00:00"/>
    <s v="INV01297"/>
    <s v="Compressor"/>
    <n v="32"/>
    <n v="6458"/>
    <n v="206656"/>
    <s v="West"/>
    <s v="ABC Ltd"/>
    <x v="5"/>
  </r>
  <r>
    <d v="2024-06-13T00:00:00"/>
    <s v="INV01309"/>
    <s v="Valve"/>
    <n v="28"/>
    <n v="21890"/>
    <n v="612920"/>
    <s v="West"/>
    <s v="ABC Ltd"/>
    <x v="5"/>
  </r>
  <r>
    <d v="2024-06-28T00:00:00"/>
    <s v="INV01320"/>
    <s v="Generator"/>
    <n v="27"/>
    <n v="38749"/>
    <n v="1046223"/>
    <s v="South"/>
    <s v="Prime Industries"/>
    <x v="5"/>
  </r>
  <r>
    <d v="2024-06-30T00:00:00"/>
    <s v="INV01343"/>
    <s v="Motor"/>
    <n v="23"/>
    <n v="27520"/>
    <n v="632960"/>
    <s v="North"/>
    <s v="Prime Industries"/>
    <x v="5"/>
  </r>
  <r>
    <d v="2024-06-23T00:00:00"/>
    <s v="INV01346"/>
    <s v="Pump"/>
    <n v="38"/>
    <n v="30364"/>
    <n v="1153832"/>
    <s v="East"/>
    <s v="Skyline Ltd"/>
    <x v="5"/>
  </r>
  <r>
    <d v="2024-06-23T00:00:00"/>
    <s v="INV01355"/>
    <s v="Generator"/>
    <n v="26"/>
    <n v="43037"/>
    <n v="1118962"/>
    <s v="South"/>
    <s v="Skyline Ltd"/>
    <x v="5"/>
  </r>
  <r>
    <d v="2024-06-11T00:00:00"/>
    <s v="INV01359"/>
    <s v="Pump"/>
    <n v="13"/>
    <n v="41533"/>
    <n v="539929"/>
    <s v="North"/>
    <s v="Global Corp"/>
    <x v="5"/>
  </r>
  <r>
    <d v="2024-06-10T00:00:00"/>
    <s v="INV01371"/>
    <s v="Motor"/>
    <n v="39"/>
    <n v="21903"/>
    <n v="854217"/>
    <s v="South"/>
    <s v="Prime Industries"/>
    <x v="5"/>
  </r>
  <r>
    <d v="2024-06-06T00:00:00"/>
    <s v="INV01375"/>
    <s v="Generator"/>
    <n v="37"/>
    <n v="11481"/>
    <n v="424797"/>
    <s v="North"/>
    <s v="XYZ Pvt Ltd"/>
    <x v="5"/>
  </r>
  <r>
    <d v="2024-06-21T00:00:00"/>
    <s v="INV01392"/>
    <s v="Motor"/>
    <n v="12"/>
    <n v="6305"/>
    <n v="75660"/>
    <s v="North"/>
    <s v="Global Corp"/>
    <x v="5"/>
  </r>
  <r>
    <d v="2024-06-22T00:00:00"/>
    <s v="INV01399"/>
    <s v="Compressor"/>
    <n v="32"/>
    <n v="8143"/>
    <n v="260576"/>
    <s v="West"/>
    <s v="Global Corp"/>
    <x v="5"/>
  </r>
  <r>
    <d v="2024-06-01T00:00:00"/>
    <s v="INV01402"/>
    <s v="Compressor"/>
    <n v="28"/>
    <n v="6741"/>
    <n v="188748"/>
    <s v="North"/>
    <s v="XYZ Pvt Ltd"/>
    <x v="5"/>
  </r>
  <r>
    <d v="2024-06-04T00:00:00"/>
    <s v="INV01408"/>
    <s v="Generator"/>
    <n v="7"/>
    <n v="20674"/>
    <n v="144718"/>
    <s v="North"/>
    <s v="XYZ Pvt Ltd"/>
    <x v="5"/>
  </r>
  <r>
    <d v="2024-06-11T00:00:00"/>
    <s v="INV01411"/>
    <s v="Pump"/>
    <n v="7"/>
    <n v="16812"/>
    <n v="117684"/>
    <s v="North"/>
    <s v="Prime Industries"/>
    <x v="5"/>
  </r>
  <r>
    <d v="2024-06-04T00:00:00"/>
    <s v="INV01425"/>
    <s v="Motor"/>
    <n v="37"/>
    <n v="20413"/>
    <n v="755281"/>
    <s v="South"/>
    <s v="ABC Ltd"/>
    <x v="5"/>
  </r>
  <r>
    <d v="2024-06-02T00:00:00"/>
    <s v="INV01439"/>
    <s v="Motor"/>
    <n v="5"/>
    <n v="22145"/>
    <n v="110725"/>
    <s v="East"/>
    <s v="Global Corp"/>
    <x v="5"/>
  </r>
  <r>
    <d v="2024-06-18T00:00:00"/>
    <s v="INV01446"/>
    <s v="Valve"/>
    <n v="20"/>
    <n v="9984"/>
    <n v="199680"/>
    <s v="East"/>
    <s v="Prime Industries"/>
    <x v="5"/>
  </r>
  <r>
    <d v="2024-06-06T00:00:00"/>
    <s v="INV01460"/>
    <s v="Pump"/>
    <n v="23"/>
    <n v="31966"/>
    <n v="735218"/>
    <s v="North"/>
    <s v="Prime Industries"/>
    <x v="5"/>
  </r>
  <r>
    <d v="2024-06-06T00:00:00"/>
    <s v="INV01480"/>
    <s v="Pump"/>
    <n v="11"/>
    <n v="35315"/>
    <n v="388465"/>
    <s v="North"/>
    <s v="Skyline Ltd"/>
    <x v="5"/>
  </r>
  <r>
    <d v="2024-07-18T00:00:00"/>
    <s v="INV00003"/>
    <s v="Generator"/>
    <n v="11"/>
    <n v="14736"/>
    <n v="162096"/>
    <s v="West"/>
    <s v="ABC Ltd"/>
    <x v="6"/>
  </r>
  <r>
    <d v="2024-07-11T00:00:00"/>
    <s v="INV00012"/>
    <s v="Pump"/>
    <n v="38"/>
    <n v="25084"/>
    <n v="953192"/>
    <s v="West"/>
    <s v="XYZ Pvt Ltd"/>
    <x v="6"/>
  </r>
  <r>
    <d v="2024-07-22T00:00:00"/>
    <s v="INV00018"/>
    <s v="Pump"/>
    <n v="14"/>
    <n v="42649"/>
    <n v="597086"/>
    <s v="East"/>
    <s v="ABC Ltd"/>
    <x v="6"/>
  </r>
  <r>
    <d v="2024-07-11T00:00:00"/>
    <s v="INV00019"/>
    <s v="Valve"/>
    <n v="21"/>
    <n v="29702"/>
    <n v="623742"/>
    <s v="South"/>
    <s v="ABC Ltd"/>
    <x v="6"/>
  </r>
  <r>
    <d v="2024-07-12T00:00:00"/>
    <s v="INV00040"/>
    <s v="Motor"/>
    <n v="30"/>
    <n v="39511"/>
    <n v="1185330"/>
    <s v="North"/>
    <s v="Prime Industries"/>
    <x v="6"/>
  </r>
  <r>
    <d v="2024-07-26T00:00:00"/>
    <s v="INV00043"/>
    <s v="Pump"/>
    <n v="7"/>
    <n v="18233"/>
    <n v="127631"/>
    <s v="East"/>
    <s v="ABC Ltd"/>
    <x v="6"/>
  </r>
  <r>
    <d v="2024-07-17T00:00:00"/>
    <s v="INV00047"/>
    <s v="Valve"/>
    <n v="9"/>
    <n v="22821"/>
    <n v="205389"/>
    <s v="East"/>
    <s v="ABC Ltd"/>
    <x v="6"/>
  </r>
  <r>
    <d v="2024-07-18T00:00:00"/>
    <s v="INV00049"/>
    <s v="Valve"/>
    <n v="32"/>
    <n v="28917"/>
    <n v="925344"/>
    <s v="North"/>
    <s v="Skyline Ltd"/>
    <x v="6"/>
  </r>
  <r>
    <d v="2024-07-09T00:00:00"/>
    <s v="INV00059"/>
    <s v="Valve"/>
    <n v="39"/>
    <n v="27121"/>
    <n v="1057719"/>
    <s v="North"/>
    <s v="Global Corp"/>
    <x v="6"/>
  </r>
  <r>
    <d v="2024-07-19T00:00:00"/>
    <s v="INV00074"/>
    <s v="Pump"/>
    <n v="15"/>
    <n v="8586"/>
    <n v="128790"/>
    <s v="North"/>
    <s v="Global Corp"/>
    <x v="6"/>
  </r>
  <r>
    <d v="2024-07-12T00:00:00"/>
    <s v="INV00100"/>
    <s v="Motor"/>
    <n v="23"/>
    <n v="8431"/>
    <n v="193913"/>
    <s v="West"/>
    <s v="XYZ Pvt Ltd"/>
    <x v="6"/>
  </r>
  <r>
    <d v="2024-07-11T00:00:00"/>
    <s v="INV00104"/>
    <s v="Valve"/>
    <n v="28"/>
    <n v="28314"/>
    <n v="792792"/>
    <s v="West"/>
    <s v="Global Corp"/>
    <x v="6"/>
  </r>
  <r>
    <d v="2024-07-03T00:00:00"/>
    <s v="INV00127"/>
    <s v="Pump"/>
    <n v="20"/>
    <n v="28212"/>
    <n v="564240"/>
    <s v="West"/>
    <s v="Global Corp"/>
    <x v="6"/>
  </r>
  <r>
    <d v="2024-07-02T00:00:00"/>
    <s v="INV00130"/>
    <s v="Pump"/>
    <n v="19"/>
    <n v="22058"/>
    <n v="419102"/>
    <s v="North"/>
    <s v="ABC Ltd"/>
    <x v="6"/>
  </r>
  <r>
    <d v="2024-07-16T00:00:00"/>
    <s v="INV00131"/>
    <s v="Compressor"/>
    <n v="7"/>
    <n v="33785"/>
    <n v="236495"/>
    <s v="North"/>
    <s v="Global Corp"/>
    <x v="6"/>
  </r>
  <r>
    <d v="2024-07-11T00:00:00"/>
    <s v="INV00133"/>
    <s v="Pump"/>
    <n v="16"/>
    <n v="31466"/>
    <n v="503456"/>
    <s v="North"/>
    <s v="ABC Ltd"/>
    <x v="6"/>
  </r>
  <r>
    <d v="2024-07-02T00:00:00"/>
    <s v="INV00134"/>
    <s v="Compressor"/>
    <n v="21"/>
    <n v="18569"/>
    <n v="389949"/>
    <s v="East"/>
    <s v="Skyline Ltd"/>
    <x v="6"/>
  </r>
  <r>
    <d v="2024-07-15T00:00:00"/>
    <s v="INV00145"/>
    <s v="Generator"/>
    <n v="38"/>
    <n v="35104"/>
    <n v="1333952"/>
    <s v="East"/>
    <s v="Prime Industries"/>
    <x v="6"/>
  </r>
  <r>
    <d v="2024-07-19T00:00:00"/>
    <s v="INV00187"/>
    <s v="Valve"/>
    <n v="26"/>
    <n v="8508"/>
    <n v="221208"/>
    <s v="North"/>
    <s v="ABC Ltd"/>
    <x v="6"/>
  </r>
  <r>
    <d v="2024-07-18T00:00:00"/>
    <s v="INV00188"/>
    <s v="Motor"/>
    <n v="24"/>
    <n v="33045"/>
    <n v="793080"/>
    <s v="North"/>
    <s v="XYZ Pvt Ltd"/>
    <x v="6"/>
  </r>
  <r>
    <d v="2024-07-08T00:00:00"/>
    <s v="INV00195"/>
    <s v="Compressor"/>
    <n v="18"/>
    <n v="28822"/>
    <n v="518796"/>
    <s v="North"/>
    <s v="Prime Industries"/>
    <x v="6"/>
  </r>
  <r>
    <d v="2024-07-08T00:00:00"/>
    <s v="INV00201"/>
    <s v="Compressor"/>
    <n v="1"/>
    <n v="9266"/>
    <n v="9266"/>
    <s v="North"/>
    <s v="Skyline Ltd"/>
    <x v="6"/>
  </r>
  <r>
    <d v="2024-07-10T00:00:00"/>
    <s v="INV00204"/>
    <s v="Compressor"/>
    <n v="8"/>
    <n v="39779"/>
    <n v="318232"/>
    <s v="East"/>
    <s v="Prime Industries"/>
    <x v="6"/>
  </r>
  <r>
    <d v="2024-07-29T00:00:00"/>
    <s v="INV00210"/>
    <s v="Motor"/>
    <n v="6"/>
    <n v="12683"/>
    <n v="76098"/>
    <s v="North"/>
    <s v="XYZ Pvt Ltd"/>
    <x v="6"/>
  </r>
  <r>
    <d v="2024-07-29T00:00:00"/>
    <s v="INV00217"/>
    <s v="Motor"/>
    <n v="30"/>
    <n v="18361"/>
    <n v="550830"/>
    <s v="North"/>
    <s v="Skyline Ltd"/>
    <x v="6"/>
  </r>
  <r>
    <d v="2024-07-07T00:00:00"/>
    <s v="INV00237"/>
    <s v="Generator"/>
    <n v="24"/>
    <n v="29219"/>
    <n v="701256"/>
    <s v="West"/>
    <s v="Prime Industries"/>
    <x v="6"/>
  </r>
  <r>
    <d v="2024-07-02T00:00:00"/>
    <s v="INV00244"/>
    <s v="Motor"/>
    <n v="39"/>
    <n v="26775"/>
    <n v="1044225"/>
    <s v="East"/>
    <s v="XYZ Pvt Ltd"/>
    <x v="6"/>
  </r>
  <r>
    <d v="2024-07-20T00:00:00"/>
    <s v="INV00246"/>
    <s v="Generator"/>
    <n v="38"/>
    <n v="43167"/>
    <n v="1640346"/>
    <s v="West"/>
    <s v="Global Corp"/>
    <x v="6"/>
  </r>
  <r>
    <d v="2024-07-01T00:00:00"/>
    <s v="INV00247"/>
    <s v="Pump"/>
    <n v="25"/>
    <n v="41073"/>
    <n v="1026825"/>
    <s v="North"/>
    <s v="Skyline Ltd"/>
    <x v="6"/>
  </r>
  <r>
    <d v="2024-07-03T00:00:00"/>
    <s v="INV00276"/>
    <s v="Motor"/>
    <n v="13"/>
    <n v="43570"/>
    <n v="566410"/>
    <s v="West"/>
    <s v="XYZ Pvt Ltd"/>
    <x v="6"/>
  </r>
  <r>
    <d v="2024-07-27T00:00:00"/>
    <s v="INV00289"/>
    <s v="Pump"/>
    <n v="13"/>
    <n v="31826"/>
    <n v="413738"/>
    <s v="North"/>
    <s v="Skyline Ltd"/>
    <x v="6"/>
  </r>
  <r>
    <d v="2024-07-30T00:00:00"/>
    <s v="INV00293"/>
    <s v="Pump"/>
    <n v="1"/>
    <n v="5060"/>
    <n v="5060"/>
    <s v="East"/>
    <s v="Prime Industries"/>
    <x v="6"/>
  </r>
  <r>
    <d v="2024-07-06T00:00:00"/>
    <s v="INV00301"/>
    <s v="Compressor"/>
    <n v="30"/>
    <n v="17521"/>
    <n v="525630"/>
    <s v="North"/>
    <s v="Skyline Ltd"/>
    <x v="6"/>
  </r>
  <r>
    <d v="2024-07-29T00:00:00"/>
    <s v="INV00307"/>
    <s v="Valve"/>
    <n v="27"/>
    <n v="37158"/>
    <n v="1003266"/>
    <s v="South"/>
    <s v="XYZ Pvt Ltd"/>
    <x v="6"/>
  </r>
  <r>
    <d v="2024-07-07T00:00:00"/>
    <s v="INV00315"/>
    <s v="Valve"/>
    <n v="33"/>
    <n v="44931"/>
    <n v="1482723"/>
    <s v="East"/>
    <s v="Prime Industries"/>
    <x v="6"/>
  </r>
  <r>
    <d v="2024-07-06T00:00:00"/>
    <s v="INV00332"/>
    <s v="Pump"/>
    <n v="7"/>
    <n v="7761"/>
    <n v="54327"/>
    <s v="East"/>
    <s v="XYZ Pvt Ltd"/>
    <x v="6"/>
  </r>
  <r>
    <d v="2024-07-04T00:00:00"/>
    <s v="INV00333"/>
    <s v="Generator"/>
    <n v="38"/>
    <n v="14267"/>
    <n v="542146"/>
    <s v="East"/>
    <s v="XYZ Pvt Ltd"/>
    <x v="6"/>
  </r>
  <r>
    <d v="2024-07-16T00:00:00"/>
    <s v="INV00335"/>
    <s v="Valve"/>
    <n v="14"/>
    <n v="32455"/>
    <n v="454370"/>
    <s v="North"/>
    <s v="XYZ Pvt Ltd"/>
    <x v="6"/>
  </r>
  <r>
    <d v="2024-07-14T00:00:00"/>
    <s v="INV00344"/>
    <s v="Valve"/>
    <n v="38"/>
    <n v="38488"/>
    <n v="1462544"/>
    <s v="West"/>
    <s v="Global Corp"/>
    <x v="6"/>
  </r>
  <r>
    <d v="2024-07-24T00:00:00"/>
    <s v="INV00378"/>
    <s v="Generator"/>
    <n v="2"/>
    <n v="27463"/>
    <n v="54926"/>
    <s v="South"/>
    <s v="ABC Ltd"/>
    <x v="6"/>
  </r>
  <r>
    <d v="2024-07-29T00:00:00"/>
    <s v="INV00411"/>
    <s v="Motor"/>
    <n v="12"/>
    <n v="28684"/>
    <n v="344208"/>
    <s v="South"/>
    <s v="Prime Industries"/>
    <x v="6"/>
  </r>
  <r>
    <d v="2024-07-23T00:00:00"/>
    <s v="INV00416"/>
    <s v="Valve"/>
    <n v="18"/>
    <n v="12416"/>
    <n v="223488"/>
    <s v="South"/>
    <s v="XYZ Pvt Ltd"/>
    <x v="6"/>
  </r>
  <r>
    <d v="2024-07-20T00:00:00"/>
    <s v="INV00432"/>
    <s v="Pump"/>
    <n v="32"/>
    <n v="43370"/>
    <n v="1387840"/>
    <s v="West"/>
    <s v="Global Corp"/>
    <x v="6"/>
  </r>
  <r>
    <d v="2024-07-24T00:00:00"/>
    <s v="INV00433"/>
    <s v="Compressor"/>
    <n v="38"/>
    <n v="10858"/>
    <n v="412604"/>
    <s v="West"/>
    <s v="XYZ Pvt Ltd"/>
    <x v="6"/>
  </r>
  <r>
    <d v="2024-07-17T00:00:00"/>
    <s v="INV00439"/>
    <s v="Valve"/>
    <n v="11"/>
    <n v="38892"/>
    <n v="427812"/>
    <s v="North"/>
    <s v="Global Corp"/>
    <x v="6"/>
  </r>
  <r>
    <d v="2024-07-12T00:00:00"/>
    <s v="INV00440"/>
    <s v="Compressor"/>
    <n v="1"/>
    <n v="44496"/>
    <n v="44496"/>
    <s v="East"/>
    <s v="Prime Industries"/>
    <x v="6"/>
  </r>
  <r>
    <d v="2024-07-02T00:00:00"/>
    <s v="INV00444"/>
    <s v="Valve"/>
    <n v="15"/>
    <n v="43602"/>
    <n v="654030"/>
    <s v="South"/>
    <s v="XYZ Pvt Ltd"/>
    <x v="6"/>
  </r>
  <r>
    <d v="2024-07-10T00:00:00"/>
    <s v="INV00455"/>
    <s v="Pump"/>
    <n v="6"/>
    <n v="9063"/>
    <n v="54378"/>
    <s v="West"/>
    <s v="ABC Ltd"/>
    <x v="6"/>
  </r>
  <r>
    <d v="2024-07-19T00:00:00"/>
    <s v="INV00459"/>
    <s v="Compressor"/>
    <n v="30"/>
    <n v="44786"/>
    <n v="1343580"/>
    <s v="West"/>
    <s v="Skyline Ltd"/>
    <x v="6"/>
  </r>
  <r>
    <d v="2024-07-29T00:00:00"/>
    <s v="INV00464"/>
    <s v="Motor"/>
    <n v="22"/>
    <n v="24789"/>
    <n v="545358"/>
    <s v="East"/>
    <s v="Prime Industries"/>
    <x v="6"/>
  </r>
  <r>
    <d v="2024-07-21T00:00:00"/>
    <s v="INV00478"/>
    <s v="Motor"/>
    <n v="38"/>
    <n v="9401"/>
    <n v="357238"/>
    <s v="East"/>
    <s v="Prime Industries"/>
    <x v="6"/>
  </r>
  <r>
    <d v="2024-07-09T00:00:00"/>
    <s v="INV00486"/>
    <s v="Pump"/>
    <n v="4"/>
    <n v="15994"/>
    <n v="63976"/>
    <s v="South"/>
    <s v="Global Corp"/>
    <x v="6"/>
  </r>
  <r>
    <d v="2024-07-12T00:00:00"/>
    <s v="INV00499"/>
    <s v="Motor"/>
    <n v="40"/>
    <n v="19682"/>
    <n v="787280"/>
    <s v="East"/>
    <s v="Prime Industries"/>
    <x v="6"/>
  </r>
  <r>
    <d v="2024-07-14T00:00:00"/>
    <s v="INV00507"/>
    <s v="Motor"/>
    <n v="36"/>
    <n v="41208"/>
    <n v="1483488"/>
    <s v="North"/>
    <s v="Prime Industries"/>
    <x v="6"/>
  </r>
  <r>
    <d v="2024-07-03T00:00:00"/>
    <s v="INV00510"/>
    <s v="Pump"/>
    <n v="5"/>
    <n v="44231"/>
    <n v="221155"/>
    <s v="West"/>
    <s v="Global Corp"/>
    <x v="6"/>
  </r>
  <r>
    <d v="2024-07-17T00:00:00"/>
    <s v="INV00514"/>
    <s v="Compressor"/>
    <n v="9"/>
    <n v="12588"/>
    <n v="113292"/>
    <s v="South"/>
    <s v="XYZ Pvt Ltd"/>
    <x v="6"/>
  </r>
  <r>
    <d v="2024-07-01T00:00:00"/>
    <s v="INV00519"/>
    <s v="Pump"/>
    <n v="25"/>
    <n v="11841"/>
    <n v="296025"/>
    <s v="West"/>
    <s v="Prime Industries"/>
    <x v="6"/>
  </r>
  <r>
    <d v="2024-07-24T00:00:00"/>
    <s v="INV00535"/>
    <s v="Motor"/>
    <n v="38"/>
    <n v="36714"/>
    <n v="1395132"/>
    <s v="North"/>
    <s v="ABC Ltd"/>
    <x v="6"/>
  </r>
  <r>
    <d v="2024-07-29T00:00:00"/>
    <s v="INV00551"/>
    <s v="Compressor"/>
    <n v="9"/>
    <n v="8866"/>
    <n v="79794"/>
    <s v="North"/>
    <s v="Global Corp"/>
    <x v="6"/>
  </r>
  <r>
    <d v="2024-07-18T00:00:00"/>
    <s v="INV00565"/>
    <s v="Generator"/>
    <n v="2"/>
    <n v="22331"/>
    <n v="44662"/>
    <s v="West"/>
    <s v="Skyline Ltd"/>
    <x v="6"/>
  </r>
  <r>
    <d v="2024-07-02T00:00:00"/>
    <s v="INV00571"/>
    <s v="Motor"/>
    <n v="8"/>
    <n v="11399"/>
    <n v="91192"/>
    <s v="North"/>
    <s v="ABC Ltd"/>
    <x v="6"/>
  </r>
  <r>
    <d v="2024-07-20T00:00:00"/>
    <s v="INV00577"/>
    <s v="Pump"/>
    <n v="37"/>
    <n v="28082"/>
    <n v="1039034"/>
    <s v="North"/>
    <s v="Skyline Ltd"/>
    <x v="6"/>
  </r>
  <r>
    <d v="2024-07-29T00:00:00"/>
    <s v="INV00599"/>
    <s v="Compressor"/>
    <n v="34"/>
    <n v="29348"/>
    <n v="997832"/>
    <s v="East"/>
    <s v="XYZ Pvt Ltd"/>
    <x v="6"/>
  </r>
  <r>
    <d v="2024-07-13T00:00:00"/>
    <s v="INV00627"/>
    <s v="Motor"/>
    <n v="6"/>
    <n v="23821"/>
    <n v="142926"/>
    <s v="East"/>
    <s v="Global Corp"/>
    <x v="6"/>
  </r>
  <r>
    <d v="2024-07-21T00:00:00"/>
    <s v="INV00644"/>
    <s v="Compressor"/>
    <n v="27"/>
    <n v="17179"/>
    <n v="463833"/>
    <s v="West"/>
    <s v="ABC Ltd"/>
    <x v="6"/>
  </r>
  <r>
    <d v="2024-07-26T00:00:00"/>
    <s v="INV00659"/>
    <s v="Pump"/>
    <n v="2"/>
    <n v="24107"/>
    <n v="48214"/>
    <s v="North"/>
    <s v="Skyline Ltd"/>
    <x v="6"/>
  </r>
  <r>
    <d v="2024-07-29T00:00:00"/>
    <s v="INV00663"/>
    <s v="Compressor"/>
    <n v="24"/>
    <n v="19495"/>
    <n v="467880"/>
    <s v="North"/>
    <s v="Global Corp"/>
    <x v="6"/>
  </r>
  <r>
    <d v="2024-07-16T00:00:00"/>
    <s v="INV00679"/>
    <s v="Motor"/>
    <n v="32"/>
    <n v="36850"/>
    <n v="1179200"/>
    <s v="West"/>
    <s v="ABC Ltd"/>
    <x v="6"/>
  </r>
  <r>
    <d v="2024-07-16T00:00:00"/>
    <s v="INV00695"/>
    <s v="Generator"/>
    <n v="22"/>
    <n v="30220"/>
    <n v="664840"/>
    <s v="North"/>
    <s v="Prime Industries"/>
    <x v="6"/>
  </r>
  <r>
    <d v="2024-07-30T00:00:00"/>
    <s v="INV00704"/>
    <s v="Generator"/>
    <n v="21"/>
    <n v="44821"/>
    <n v="941241"/>
    <s v="East"/>
    <s v="Prime Industries"/>
    <x v="6"/>
  </r>
  <r>
    <d v="2024-07-02T00:00:00"/>
    <s v="INV00735"/>
    <s v="Generator"/>
    <n v="16"/>
    <n v="13637"/>
    <n v="218192"/>
    <s v="East"/>
    <s v="Prime Industries"/>
    <x v="6"/>
  </r>
  <r>
    <d v="2024-07-13T00:00:00"/>
    <s v="INV00739"/>
    <s v="Generator"/>
    <n v="40"/>
    <n v="40070"/>
    <n v="1602800"/>
    <s v="North"/>
    <s v="Global Corp"/>
    <x v="6"/>
  </r>
  <r>
    <d v="2024-07-07T00:00:00"/>
    <s v="INV00743"/>
    <s v="Generator"/>
    <n v="15"/>
    <n v="21934"/>
    <n v="329010"/>
    <s v="East"/>
    <s v="XYZ Pvt Ltd"/>
    <x v="6"/>
  </r>
  <r>
    <d v="2024-07-25T00:00:00"/>
    <s v="INV00748"/>
    <s v="Compressor"/>
    <n v="15"/>
    <n v="11945"/>
    <n v="179175"/>
    <s v="East"/>
    <s v="Skyline Ltd"/>
    <x v="6"/>
  </r>
  <r>
    <d v="2024-07-22T00:00:00"/>
    <s v="INV00758"/>
    <s v="Pump"/>
    <n v="17"/>
    <n v="40896"/>
    <n v="695232"/>
    <s v="East"/>
    <s v="Global Corp"/>
    <x v="6"/>
  </r>
  <r>
    <d v="2024-07-22T00:00:00"/>
    <s v="INV00759"/>
    <s v="Pump"/>
    <n v="37"/>
    <n v="12598"/>
    <n v="466126"/>
    <s v="East"/>
    <s v="Skyline Ltd"/>
    <x v="6"/>
  </r>
  <r>
    <d v="2024-07-19T00:00:00"/>
    <s v="INV00768"/>
    <s v="Valve"/>
    <n v="34"/>
    <n v="28879"/>
    <n v="981886"/>
    <s v="East"/>
    <s v="Skyline Ltd"/>
    <x v="6"/>
  </r>
  <r>
    <d v="2024-07-13T00:00:00"/>
    <s v="INV00769"/>
    <s v="Motor"/>
    <n v="20"/>
    <n v="12711"/>
    <n v="254220"/>
    <s v="West"/>
    <s v="XYZ Pvt Ltd"/>
    <x v="6"/>
  </r>
  <r>
    <d v="2024-07-22T00:00:00"/>
    <s v="INV00773"/>
    <s v="Generator"/>
    <n v="33"/>
    <n v="44076"/>
    <n v="1454508"/>
    <s v="West"/>
    <s v="ABC Ltd"/>
    <x v="6"/>
  </r>
  <r>
    <d v="2024-07-18T00:00:00"/>
    <s v="INV00813"/>
    <s v="Motor"/>
    <n v="38"/>
    <n v="42026"/>
    <n v="1596988"/>
    <s v="North"/>
    <s v="Global Corp"/>
    <x v="6"/>
  </r>
  <r>
    <d v="2024-07-27T00:00:00"/>
    <s v="INV00849"/>
    <s v="Compressor"/>
    <n v="21"/>
    <n v="13102"/>
    <n v="275142"/>
    <s v="West"/>
    <s v="Prime Industries"/>
    <x v="6"/>
  </r>
  <r>
    <d v="2024-07-26T00:00:00"/>
    <s v="INV00856"/>
    <s v="Generator"/>
    <n v="26"/>
    <n v="10929"/>
    <n v="284154"/>
    <s v="South"/>
    <s v="Prime Industries"/>
    <x v="6"/>
  </r>
  <r>
    <d v="2024-07-17T00:00:00"/>
    <s v="INV00873"/>
    <s v="Generator"/>
    <n v="5"/>
    <n v="32503"/>
    <n v="162515"/>
    <s v="South"/>
    <s v="Prime Industries"/>
    <x v="6"/>
  </r>
  <r>
    <d v="2024-07-01T00:00:00"/>
    <s v="INV00877"/>
    <s v="Pump"/>
    <n v="19"/>
    <n v="39268"/>
    <n v="746092"/>
    <s v="East"/>
    <s v="Prime Industries"/>
    <x v="6"/>
  </r>
  <r>
    <d v="2024-07-12T00:00:00"/>
    <s v="INV00904"/>
    <s v="Pump"/>
    <n v="13"/>
    <n v="26774"/>
    <n v="348062"/>
    <s v="North"/>
    <s v="Prime Industries"/>
    <x v="6"/>
  </r>
  <r>
    <d v="2024-07-19T00:00:00"/>
    <s v="INV00908"/>
    <s v="Compressor"/>
    <n v="14"/>
    <n v="27823"/>
    <n v="389522"/>
    <s v="West"/>
    <s v="ABC Ltd"/>
    <x v="6"/>
  </r>
  <r>
    <d v="2024-07-19T00:00:00"/>
    <s v="INV00910"/>
    <s v="Valve"/>
    <n v="19"/>
    <n v="37658"/>
    <n v="715502"/>
    <s v="East"/>
    <s v="Skyline Ltd"/>
    <x v="6"/>
  </r>
  <r>
    <d v="2024-07-19T00:00:00"/>
    <s v="INV00947"/>
    <s v="Generator"/>
    <n v="12"/>
    <n v="37662"/>
    <n v="451944"/>
    <s v="West"/>
    <s v="Prime Industries"/>
    <x v="6"/>
  </r>
  <r>
    <d v="2024-07-04T00:00:00"/>
    <s v="INV00952"/>
    <s v="Motor"/>
    <n v="7"/>
    <n v="15423"/>
    <n v="107961"/>
    <s v="North"/>
    <s v="Prime Industries"/>
    <x v="6"/>
  </r>
  <r>
    <d v="2024-07-24T00:00:00"/>
    <s v="INV00983"/>
    <s v="Valve"/>
    <n v="2"/>
    <n v="24360"/>
    <n v="48720"/>
    <s v="North"/>
    <s v="XYZ Pvt Ltd"/>
    <x v="6"/>
  </r>
  <r>
    <d v="2024-07-23T00:00:00"/>
    <s v="INV00987"/>
    <s v="Compressor"/>
    <n v="37"/>
    <n v="32823"/>
    <n v="1214451"/>
    <s v="East"/>
    <s v="XYZ Pvt Ltd"/>
    <x v="6"/>
  </r>
  <r>
    <d v="2024-07-10T00:00:00"/>
    <s v="INV00992"/>
    <s v="Compressor"/>
    <n v="10"/>
    <n v="27424"/>
    <n v="274240"/>
    <s v="South"/>
    <s v="Global Corp"/>
    <x v="6"/>
  </r>
  <r>
    <d v="2024-07-01T00:00:00"/>
    <s v="INV01006"/>
    <s v="Valve"/>
    <n v="40"/>
    <n v="24012"/>
    <n v="960480"/>
    <s v="West"/>
    <s v="Skyline Ltd"/>
    <x v="6"/>
  </r>
  <r>
    <d v="2024-07-25T00:00:00"/>
    <s v="INV01007"/>
    <s v="Pump"/>
    <n v="37"/>
    <n v="18768"/>
    <n v="694416"/>
    <s v="South"/>
    <s v="Prime Industries"/>
    <x v="6"/>
  </r>
  <r>
    <d v="2024-07-16T00:00:00"/>
    <s v="INV01022"/>
    <s v="Compressor"/>
    <n v="4"/>
    <n v="12344"/>
    <n v="49376"/>
    <s v="North"/>
    <s v="XYZ Pvt Ltd"/>
    <x v="6"/>
  </r>
  <r>
    <d v="2024-07-14T00:00:00"/>
    <s v="INV01033"/>
    <s v="Generator"/>
    <n v="12"/>
    <n v="8901"/>
    <n v="106812"/>
    <s v="West"/>
    <s v="XYZ Pvt Ltd"/>
    <x v="6"/>
  </r>
  <r>
    <d v="2024-07-21T00:00:00"/>
    <s v="INV01057"/>
    <s v="Compressor"/>
    <n v="3"/>
    <n v="16554"/>
    <n v="49662"/>
    <s v="East"/>
    <s v="Skyline Ltd"/>
    <x v="6"/>
  </r>
  <r>
    <d v="2024-07-10T00:00:00"/>
    <s v="INV01073"/>
    <s v="Generator"/>
    <n v="3"/>
    <n v="31655"/>
    <n v="94965"/>
    <s v="South"/>
    <s v="ABC Ltd"/>
    <x v="6"/>
  </r>
  <r>
    <d v="2024-07-20T00:00:00"/>
    <s v="INV01092"/>
    <s v="Generator"/>
    <n v="26"/>
    <n v="40556"/>
    <n v="1054456"/>
    <s v="South"/>
    <s v="Prime Industries"/>
    <x v="6"/>
  </r>
  <r>
    <d v="2024-07-02T00:00:00"/>
    <s v="INV01114"/>
    <s v="Motor"/>
    <n v="30"/>
    <n v="38362"/>
    <n v="1150860"/>
    <s v="East"/>
    <s v="XYZ Pvt Ltd"/>
    <x v="6"/>
  </r>
  <r>
    <d v="2024-07-08T00:00:00"/>
    <s v="INV01159"/>
    <s v="Compressor"/>
    <n v="35"/>
    <n v="43951"/>
    <n v="1538285"/>
    <s v="South"/>
    <s v="Global Corp"/>
    <x v="6"/>
  </r>
  <r>
    <d v="2024-07-27T00:00:00"/>
    <s v="INV01166"/>
    <s v="Pump"/>
    <n v="40"/>
    <n v="11978"/>
    <n v="479120"/>
    <s v="South"/>
    <s v="ABC Ltd"/>
    <x v="6"/>
  </r>
  <r>
    <d v="2024-07-01T00:00:00"/>
    <s v="INV01172"/>
    <s v="Generator"/>
    <n v="38"/>
    <n v="28290"/>
    <n v="1075020"/>
    <s v="West"/>
    <s v="Global Corp"/>
    <x v="6"/>
  </r>
  <r>
    <d v="2024-07-14T00:00:00"/>
    <s v="INV01178"/>
    <s v="Generator"/>
    <n v="6"/>
    <n v="43095"/>
    <n v="258570"/>
    <s v="West"/>
    <s v="Prime Industries"/>
    <x v="6"/>
  </r>
  <r>
    <d v="2024-07-09T00:00:00"/>
    <s v="INV01190"/>
    <s v="Pump"/>
    <n v="13"/>
    <n v="9971"/>
    <n v="129623"/>
    <s v="West"/>
    <s v="ABC Ltd"/>
    <x v="6"/>
  </r>
  <r>
    <d v="2024-07-02T00:00:00"/>
    <s v="INV01192"/>
    <s v="Valve"/>
    <n v="35"/>
    <n v="33790"/>
    <n v="1182650"/>
    <s v="North"/>
    <s v="ABC Ltd"/>
    <x v="6"/>
  </r>
  <r>
    <d v="2024-07-26T00:00:00"/>
    <s v="INV01228"/>
    <s v="Valve"/>
    <n v="8"/>
    <n v="44627"/>
    <n v="357016"/>
    <s v="South"/>
    <s v="ABC Ltd"/>
    <x v="6"/>
  </r>
  <r>
    <d v="2024-07-08T00:00:00"/>
    <s v="INV01235"/>
    <s v="Valve"/>
    <n v="28"/>
    <n v="30372"/>
    <n v="850416"/>
    <s v="East"/>
    <s v="Global Corp"/>
    <x v="6"/>
  </r>
  <r>
    <d v="2024-07-14T00:00:00"/>
    <s v="INV01265"/>
    <s v="Compressor"/>
    <n v="27"/>
    <n v="22718"/>
    <n v="613386"/>
    <s v="North"/>
    <s v="XYZ Pvt Ltd"/>
    <x v="6"/>
  </r>
  <r>
    <d v="2024-07-12T00:00:00"/>
    <s v="INV01270"/>
    <s v="Valve"/>
    <n v="3"/>
    <n v="27365"/>
    <n v="82095"/>
    <s v="East"/>
    <s v="Global Corp"/>
    <x v="6"/>
  </r>
  <r>
    <d v="2024-07-04T00:00:00"/>
    <s v="INV01272"/>
    <s v="Pump"/>
    <n v="16"/>
    <n v="32021"/>
    <n v="512336"/>
    <s v="West"/>
    <s v="Global Corp"/>
    <x v="6"/>
  </r>
  <r>
    <d v="2024-07-23T00:00:00"/>
    <s v="INV01285"/>
    <s v="Generator"/>
    <n v="18"/>
    <n v="41780"/>
    <n v="752040"/>
    <s v="West"/>
    <s v="Global Corp"/>
    <x v="6"/>
  </r>
  <r>
    <d v="2024-07-02T00:00:00"/>
    <s v="INV01312"/>
    <s v="Motor"/>
    <n v="19"/>
    <n v="29157"/>
    <n v="553983"/>
    <s v="East"/>
    <s v="Skyline Ltd"/>
    <x v="6"/>
  </r>
  <r>
    <d v="2024-07-17T00:00:00"/>
    <s v="INV01333"/>
    <s v="Motor"/>
    <n v="9"/>
    <n v="26572"/>
    <n v="239148"/>
    <s v="South"/>
    <s v="ABC Ltd"/>
    <x v="6"/>
  </r>
  <r>
    <d v="2024-07-03T00:00:00"/>
    <s v="INV01337"/>
    <s v="Pump"/>
    <n v="22"/>
    <n v="13916"/>
    <n v="306152"/>
    <s v="North"/>
    <s v="Prime Industries"/>
    <x v="6"/>
  </r>
  <r>
    <d v="2024-07-28T00:00:00"/>
    <s v="INV01356"/>
    <s v="Motor"/>
    <n v="20"/>
    <n v="10179"/>
    <n v="203580"/>
    <s v="East"/>
    <s v="Prime Industries"/>
    <x v="6"/>
  </r>
  <r>
    <d v="2024-07-19T00:00:00"/>
    <s v="INV01358"/>
    <s v="Motor"/>
    <n v="13"/>
    <n v="19639"/>
    <n v="255307"/>
    <s v="West"/>
    <s v="Prime Industries"/>
    <x v="6"/>
  </r>
  <r>
    <d v="2024-07-03T00:00:00"/>
    <s v="INV01369"/>
    <s v="Motor"/>
    <n v="5"/>
    <n v="10021"/>
    <n v="50105"/>
    <s v="North"/>
    <s v="Global Corp"/>
    <x v="6"/>
  </r>
  <r>
    <d v="2024-07-23T00:00:00"/>
    <s v="INV01383"/>
    <s v="Valve"/>
    <n v="40"/>
    <n v="25929"/>
    <n v="1037160"/>
    <s v="North"/>
    <s v="Skyline Ltd"/>
    <x v="6"/>
  </r>
  <r>
    <d v="2024-07-09T00:00:00"/>
    <s v="INV01384"/>
    <s v="Pump"/>
    <n v="35"/>
    <n v="34988"/>
    <n v="1224580"/>
    <s v="West"/>
    <s v="XYZ Pvt Ltd"/>
    <x v="6"/>
  </r>
  <r>
    <d v="2024-07-21T00:00:00"/>
    <s v="INV01396"/>
    <s v="Generator"/>
    <n v="39"/>
    <n v="27327"/>
    <n v="1065753"/>
    <s v="West"/>
    <s v="Prime Industries"/>
    <x v="6"/>
  </r>
  <r>
    <d v="2024-07-09T00:00:00"/>
    <s v="INV01400"/>
    <s v="Generator"/>
    <n v="38"/>
    <n v="12939"/>
    <n v="491682"/>
    <s v="West"/>
    <s v="Skyline Ltd"/>
    <x v="6"/>
  </r>
  <r>
    <d v="2024-07-19T00:00:00"/>
    <s v="INV01413"/>
    <s v="Compressor"/>
    <n v="35"/>
    <n v="12479"/>
    <n v="436765"/>
    <s v="North"/>
    <s v="XYZ Pvt Ltd"/>
    <x v="6"/>
  </r>
  <r>
    <d v="2024-07-27T00:00:00"/>
    <s v="INV01422"/>
    <s v="Pump"/>
    <n v="40"/>
    <n v="19034"/>
    <n v="761360"/>
    <s v="East"/>
    <s v="ABC Ltd"/>
    <x v="6"/>
  </r>
  <r>
    <d v="2024-07-23T00:00:00"/>
    <s v="INV01435"/>
    <s v="Generator"/>
    <n v="3"/>
    <n v="28757"/>
    <n v="86271"/>
    <s v="East"/>
    <s v="ABC Ltd"/>
    <x v="6"/>
  </r>
  <r>
    <d v="2024-07-10T00:00:00"/>
    <s v="INV01453"/>
    <s v="Generator"/>
    <n v="20"/>
    <n v="24600"/>
    <n v="492000"/>
    <s v="North"/>
    <s v="ABC Ltd"/>
    <x v="6"/>
  </r>
  <r>
    <d v="2024-07-04T00:00:00"/>
    <s v="INV01454"/>
    <s v="Generator"/>
    <n v="11"/>
    <n v="40428"/>
    <n v="444708"/>
    <s v="West"/>
    <s v="Skyline Ltd"/>
    <x v="6"/>
  </r>
  <r>
    <d v="2024-07-27T00:00:00"/>
    <s v="INV01455"/>
    <s v="Pump"/>
    <n v="19"/>
    <n v="33385"/>
    <n v="634315"/>
    <s v="West"/>
    <s v="Global Corp"/>
    <x v="6"/>
  </r>
  <r>
    <d v="2024-07-03T00:00:00"/>
    <s v="INV01457"/>
    <s v="Motor"/>
    <n v="40"/>
    <n v="23418"/>
    <n v="936720"/>
    <s v="West"/>
    <s v="Skyline Ltd"/>
    <x v="6"/>
  </r>
  <r>
    <d v="2024-07-12T00:00:00"/>
    <s v="INV01472"/>
    <s v="Generator"/>
    <n v="33"/>
    <n v="25198"/>
    <n v="831534"/>
    <s v="South"/>
    <s v="XYZ Pvt Ltd"/>
    <x v="6"/>
  </r>
  <r>
    <d v="2024-07-11T00:00:00"/>
    <s v="INV01479"/>
    <s v="Compressor"/>
    <n v="15"/>
    <n v="40629"/>
    <n v="609435"/>
    <s v="West"/>
    <s v="Global Corp"/>
    <x v="6"/>
  </r>
  <r>
    <d v="2024-07-19T00:00:00"/>
    <s v="INV01487"/>
    <s v="Generator"/>
    <n v="30"/>
    <n v="8432"/>
    <n v="252960"/>
    <s v="East"/>
    <s v="Skyline Ltd"/>
    <x v="6"/>
  </r>
  <r>
    <d v="2024-07-11T00:00:00"/>
    <s v="INV01491"/>
    <s v="Generator"/>
    <n v="14"/>
    <n v="38257"/>
    <n v="535598"/>
    <s v="East"/>
    <s v="Global Corp"/>
    <x v="6"/>
  </r>
  <r>
    <d v="2024-08-04T00:00:00"/>
    <s v="INV00029"/>
    <s v="Compressor"/>
    <n v="34"/>
    <n v="25552"/>
    <n v="868768"/>
    <s v="East"/>
    <s v="Global Corp"/>
    <x v="7"/>
  </r>
  <r>
    <d v="2024-08-29T00:00:00"/>
    <s v="INV00034"/>
    <s v="Pump"/>
    <n v="27"/>
    <n v="19802"/>
    <n v="534654"/>
    <s v="South"/>
    <s v="Skyline Ltd"/>
    <x v="7"/>
  </r>
  <r>
    <d v="2024-08-10T00:00:00"/>
    <s v="INV00039"/>
    <s v="Generator"/>
    <n v="36"/>
    <n v="32854"/>
    <n v="1182744"/>
    <s v="West"/>
    <s v="ABC Ltd"/>
    <x v="7"/>
  </r>
  <r>
    <d v="2024-08-27T00:00:00"/>
    <s v="INV00048"/>
    <s v="Valve"/>
    <n v="40"/>
    <n v="29230"/>
    <n v="1169200"/>
    <s v="West"/>
    <s v="ABC Ltd"/>
    <x v="7"/>
  </r>
  <r>
    <d v="2024-08-15T00:00:00"/>
    <s v="INV00051"/>
    <s v="Pump"/>
    <n v="16"/>
    <n v="26659"/>
    <n v="426544"/>
    <s v="North"/>
    <s v="Prime Industries"/>
    <x v="7"/>
  </r>
  <r>
    <d v="2024-08-03T00:00:00"/>
    <s v="INV00052"/>
    <s v="Compressor"/>
    <n v="39"/>
    <n v="43496"/>
    <n v="1696344"/>
    <s v="East"/>
    <s v="Global Corp"/>
    <x v="7"/>
  </r>
  <r>
    <d v="2024-08-03T00:00:00"/>
    <s v="INV00056"/>
    <s v="Compressor"/>
    <n v="34"/>
    <n v="29179"/>
    <n v="992086"/>
    <s v="North"/>
    <s v="Skyline Ltd"/>
    <x v="7"/>
  </r>
  <r>
    <d v="2024-08-28T00:00:00"/>
    <s v="INV00066"/>
    <s v="Compressor"/>
    <n v="22"/>
    <n v="15669"/>
    <n v="344718"/>
    <s v="North"/>
    <s v="XYZ Pvt Ltd"/>
    <x v="7"/>
  </r>
  <r>
    <d v="2024-08-22T00:00:00"/>
    <s v="INV00072"/>
    <s v="Valve"/>
    <n v="33"/>
    <n v="7728"/>
    <n v="255024"/>
    <s v="South"/>
    <s v="XYZ Pvt Ltd"/>
    <x v="7"/>
  </r>
  <r>
    <d v="2024-08-27T00:00:00"/>
    <s v="INV00073"/>
    <s v="Generator"/>
    <n v="26"/>
    <n v="32924"/>
    <n v="856024"/>
    <s v="East"/>
    <s v="ABC Ltd"/>
    <x v="7"/>
  </r>
  <r>
    <d v="2024-08-20T00:00:00"/>
    <s v="INV00107"/>
    <s v="Motor"/>
    <n v="4"/>
    <n v="30503"/>
    <n v="122012"/>
    <s v="East"/>
    <s v="Prime Industries"/>
    <x v="7"/>
  </r>
  <r>
    <d v="2024-08-24T00:00:00"/>
    <s v="INV00108"/>
    <s v="Motor"/>
    <n v="12"/>
    <n v="36831"/>
    <n v="441972"/>
    <s v="East"/>
    <s v="Skyline Ltd"/>
    <x v="7"/>
  </r>
  <r>
    <d v="2024-08-16T00:00:00"/>
    <s v="INV00114"/>
    <s v="Generator"/>
    <n v="14"/>
    <n v="35130"/>
    <n v="491820"/>
    <s v="South"/>
    <s v="Prime Industries"/>
    <x v="7"/>
  </r>
  <r>
    <d v="2024-08-22T00:00:00"/>
    <s v="INV00115"/>
    <s v="Compressor"/>
    <n v="36"/>
    <n v="39539"/>
    <n v="1423404"/>
    <s v="East"/>
    <s v="Skyline Ltd"/>
    <x v="7"/>
  </r>
  <r>
    <d v="2024-08-31T00:00:00"/>
    <s v="INV00139"/>
    <s v="Motor"/>
    <n v="27"/>
    <n v="34137"/>
    <n v="921699"/>
    <s v="South"/>
    <s v="Prime Industries"/>
    <x v="7"/>
  </r>
  <r>
    <d v="2024-08-19T00:00:00"/>
    <s v="INV00147"/>
    <s v="Compressor"/>
    <n v="34"/>
    <n v="31023"/>
    <n v="1054782"/>
    <s v="South"/>
    <s v="ABC Ltd"/>
    <x v="7"/>
  </r>
  <r>
    <d v="2024-08-10T00:00:00"/>
    <s v="INV00166"/>
    <s v="Generator"/>
    <n v="12"/>
    <n v="9227"/>
    <n v="110724"/>
    <s v="South"/>
    <s v="Global Corp"/>
    <x v="7"/>
  </r>
  <r>
    <d v="2024-08-25T00:00:00"/>
    <s v="INV00168"/>
    <s v="Motor"/>
    <n v="6"/>
    <n v="44707"/>
    <n v="268242"/>
    <s v="West"/>
    <s v="ABC Ltd"/>
    <x v="7"/>
  </r>
  <r>
    <d v="2024-08-06T00:00:00"/>
    <s v="INV00199"/>
    <s v="Valve"/>
    <n v="33"/>
    <n v="44266"/>
    <n v="1460778"/>
    <s v="East"/>
    <s v="Prime Industries"/>
    <x v="7"/>
  </r>
  <r>
    <d v="2024-08-13T00:00:00"/>
    <s v="INV00205"/>
    <s v="Generator"/>
    <n v="23"/>
    <n v="40069"/>
    <n v="921587"/>
    <s v="North"/>
    <s v="Global Corp"/>
    <x v="7"/>
  </r>
  <r>
    <d v="2024-08-16T00:00:00"/>
    <s v="INV00207"/>
    <s v="Pump"/>
    <n v="35"/>
    <n v="9457"/>
    <n v="330995"/>
    <s v="East"/>
    <s v="XYZ Pvt Ltd"/>
    <x v="7"/>
  </r>
  <r>
    <d v="2024-08-28T00:00:00"/>
    <s v="INV00211"/>
    <s v="Valve"/>
    <n v="38"/>
    <n v="11083"/>
    <n v="421154"/>
    <s v="North"/>
    <s v="Skyline Ltd"/>
    <x v="7"/>
  </r>
  <r>
    <d v="2024-08-10T00:00:00"/>
    <s v="INV00226"/>
    <s v="Valve"/>
    <n v="13"/>
    <n v="23222"/>
    <n v="301886"/>
    <s v="East"/>
    <s v="Global Corp"/>
    <x v="7"/>
  </r>
  <r>
    <d v="2024-08-23T00:00:00"/>
    <s v="INV00229"/>
    <s v="Motor"/>
    <n v="27"/>
    <n v="9455"/>
    <n v="255285"/>
    <s v="North"/>
    <s v="Prime Industries"/>
    <x v="7"/>
  </r>
  <r>
    <d v="2024-08-04T00:00:00"/>
    <s v="INV00257"/>
    <s v="Compressor"/>
    <n v="16"/>
    <n v="10466"/>
    <n v="167456"/>
    <s v="North"/>
    <s v="Prime Industries"/>
    <x v="7"/>
  </r>
  <r>
    <d v="2024-08-15T00:00:00"/>
    <s v="INV00268"/>
    <s v="Compressor"/>
    <n v="34"/>
    <n v="6033"/>
    <n v="205122"/>
    <s v="North"/>
    <s v="Global Corp"/>
    <x v="7"/>
  </r>
  <r>
    <d v="2024-08-06T00:00:00"/>
    <s v="INV00279"/>
    <s v="Compressor"/>
    <n v="23"/>
    <n v="18272"/>
    <n v="420256"/>
    <s v="West"/>
    <s v="XYZ Pvt Ltd"/>
    <x v="7"/>
  </r>
  <r>
    <d v="2024-08-22T00:00:00"/>
    <s v="INV00282"/>
    <s v="Compressor"/>
    <n v="31"/>
    <n v="44154"/>
    <n v="1368774"/>
    <s v="North"/>
    <s v="Skyline Ltd"/>
    <x v="7"/>
  </r>
  <r>
    <d v="2024-08-07T00:00:00"/>
    <s v="INV00295"/>
    <s v="Pump"/>
    <n v="5"/>
    <n v="10117"/>
    <n v="50585"/>
    <s v="South"/>
    <s v="XYZ Pvt Ltd"/>
    <x v="7"/>
  </r>
  <r>
    <d v="2024-08-20T00:00:00"/>
    <s v="INV00309"/>
    <s v="Pump"/>
    <n v="8"/>
    <n v="23926"/>
    <n v="191408"/>
    <s v="North"/>
    <s v="Prime Industries"/>
    <x v="7"/>
  </r>
  <r>
    <d v="2024-08-13T00:00:00"/>
    <s v="INV00311"/>
    <s v="Motor"/>
    <n v="1"/>
    <n v="43225"/>
    <n v="43225"/>
    <s v="North"/>
    <s v="Prime Industries"/>
    <x v="7"/>
  </r>
  <r>
    <d v="2024-08-16T00:00:00"/>
    <s v="INV00321"/>
    <s v="Motor"/>
    <n v="38"/>
    <n v="14301"/>
    <n v="543438"/>
    <s v="East"/>
    <s v="ABC Ltd"/>
    <x v="7"/>
  </r>
  <r>
    <d v="2024-08-11T00:00:00"/>
    <s v="INV00337"/>
    <s v="Generator"/>
    <n v="35"/>
    <n v="6501"/>
    <n v="227535"/>
    <s v="East"/>
    <s v="Skyline Ltd"/>
    <x v="7"/>
  </r>
  <r>
    <d v="2024-08-05T00:00:00"/>
    <s v="INV00339"/>
    <s v="Generator"/>
    <n v="16"/>
    <n v="35933"/>
    <n v="574928"/>
    <s v="North"/>
    <s v="ABC Ltd"/>
    <x v="7"/>
  </r>
  <r>
    <d v="2024-08-03T00:00:00"/>
    <s v="INV00366"/>
    <s v="Generator"/>
    <n v="11"/>
    <n v="31569"/>
    <n v="347259"/>
    <s v="South"/>
    <s v="XYZ Pvt Ltd"/>
    <x v="7"/>
  </r>
  <r>
    <d v="2024-08-03T00:00:00"/>
    <s v="INV00370"/>
    <s v="Motor"/>
    <n v="39"/>
    <n v="12010"/>
    <n v="468390"/>
    <s v="South"/>
    <s v="Global Corp"/>
    <x v="7"/>
  </r>
  <r>
    <d v="2024-08-31T00:00:00"/>
    <s v="INV00380"/>
    <s v="Motor"/>
    <n v="21"/>
    <n v="20493"/>
    <n v="430353"/>
    <s v="East"/>
    <s v="Global Corp"/>
    <x v="7"/>
  </r>
  <r>
    <d v="2024-08-16T00:00:00"/>
    <s v="INV00389"/>
    <s v="Pump"/>
    <n v="10"/>
    <n v="43823"/>
    <n v="438230"/>
    <s v="South"/>
    <s v="XYZ Pvt Ltd"/>
    <x v="7"/>
  </r>
  <r>
    <d v="2024-08-12T00:00:00"/>
    <s v="INV00401"/>
    <s v="Generator"/>
    <n v="13"/>
    <n v="17258"/>
    <n v="224354"/>
    <s v="East"/>
    <s v="ABC Ltd"/>
    <x v="7"/>
  </r>
  <r>
    <d v="2024-08-30T00:00:00"/>
    <s v="INV00405"/>
    <s v="Generator"/>
    <n v="38"/>
    <n v="10136"/>
    <n v="385168"/>
    <s v="West"/>
    <s v="ABC Ltd"/>
    <x v="7"/>
  </r>
  <r>
    <d v="2024-08-03T00:00:00"/>
    <s v="INV00412"/>
    <s v="Generator"/>
    <n v="12"/>
    <n v="8200"/>
    <n v="98400"/>
    <s v="North"/>
    <s v="ABC Ltd"/>
    <x v="7"/>
  </r>
  <r>
    <d v="2024-08-11T00:00:00"/>
    <s v="INV00417"/>
    <s v="Generator"/>
    <n v="28"/>
    <n v="21112"/>
    <n v="591136"/>
    <s v="East"/>
    <s v="XYZ Pvt Ltd"/>
    <x v="7"/>
  </r>
  <r>
    <d v="2024-08-15T00:00:00"/>
    <s v="INV00431"/>
    <s v="Compressor"/>
    <n v="2"/>
    <n v="38904"/>
    <n v="77808"/>
    <s v="East"/>
    <s v="Prime Industries"/>
    <x v="7"/>
  </r>
  <r>
    <d v="2024-08-23T00:00:00"/>
    <s v="INV00436"/>
    <s v="Valve"/>
    <n v="34"/>
    <n v="34711"/>
    <n v="1180174"/>
    <s v="West"/>
    <s v="Global Corp"/>
    <x v="7"/>
  </r>
  <r>
    <d v="2024-08-26T00:00:00"/>
    <s v="INV00438"/>
    <s v="Compressor"/>
    <n v="12"/>
    <n v="38915"/>
    <n v="466980"/>
    <s v="South"/>
    <s v="Prime Industries"/>
    <x v="7"/>
  </r>
  <r>
    <d v="2024-08-02T00:00:00"/>
    <s v="INV00445"/>
    <s v="Compressor"/>
    <n v="37"/>
    <n v="26983"/>
    <n v="998371"/>
    <s v="South"/>
    <s v="Prime Industries"/>
    <x v="7"/>
  </r>
  <r>
    <d v="2024-08-20T00:00:00"/>
    <s v="INV00451"/>
    <s v="Motor"/>
    <n v="23"/>
    <n v="10707"/>
    <n v="246261"/>
    <s v="North"/>
    <s v="Global Corp"/>
    <x v="7"/>
  </r>
  <r>
    <d v="2024-08-11T00:00:00"/>
    <s v="INV00466"/>
    <s v="Generator"/>
    <n v="17"/>
    <n v="42413"/>
    <n v="721021"/>
    <s v="East"/>
    <s v="ABC Ltd"/>
    <x v="7"/>
  </r>
  <r>
    <d v="2024-08-24T00:00:00"/>
    <s v="INV00470"/>
    <s v="Generator"/>
    <n v="13"/>
    <n v="14944"/>
    <n v="194272"/>
    <s v="South"/>
    <s v="Skyline Ltd"/>
    <x v="7"/>
  </r>
  <r>
    <d v="2024-08-13T00:00:00"/>
    <s v="INV00475"/>
    <s v="Pump"/>
    <n v="13"/>
    <n v="34430"/>
    <n v="447590"/>
    <s v="South"/>
    <s v="Global Corp"/>
    <x v="7"/>
  </r>
  <r>
    <d v="2024-08-20T00:00:00"/>
    <s v="INV00489"/>
    <s v="Motor"/>
    <n v="33"/>
    <n v="44871"/>
    <n v="1480743"/>
    <s v="East"/>
    <s v="Global Corp"/>
    <x v="7"/>
  </r>
  <r>
    <d v="2024-08-31T00:00:00"/>
    <s v="INV00498"/>
    <s v="Generator"/>
    <n v="4"/>
    <n v="6865"/>
    <n v="27460"/>
    <s v="East"/>
    <s v="XYZ Pvt Ltd"/>
    <x v="7"/>
  </r>
  <r>
    <d v="2024-08-21T00:00:00"/>
    <s v="INV00501"/>
    <s v="Compressor"/>
    <n v="31"/>
    <n v="41815"/>
    <n v="1296265"/>
    <s v="West"/>
    <s v="Prime Industries"/>
    <x v="7"/>
  </r>
  <r>
    <d v="2024-08-02T00:00:00"/>
    <s v="INV00505"/>
    <s v="Compressor"/>
    <n v="38"/>
    <n v="29605"/>
    <n v="1124990"/>
    <s v="East"/>
    <s v="XYZ Pvt Ltd"/>
    <x v="7"/>
  </r>
  <r>
    <d v="2024-08-01T00:00:00"/>
    <s v="INV00513"/>
    <s v="Motor"/>
    <n v="10"/>
    <n v="30670"/>
    <n v="306700"/>
    <s v="South"/>
    <s v="Prime Industries"/>
    <x v="7"/>
  </r>
  <r>
    <d v="2024-08-12T00:00:00"/>
    <s v="INV00516"/>
    <s v="Generator"/>
    <n v="23"/>
    <n v="19331"/>
    <n v="444613"/>
    <s v="East"/>
    <s v="Global Corp"/>
    <x v="7"/>
  </r>
  <r>
    <d v="2024-08-06T00:00:00"/>
    <s v="INV00523"/>
    <s v="Generator"/>
    <n v="35"/>
    <n v="28148"/>
    <n v="985180"/>
    <s v="West"/>
    <s v="Global Corp"/>
    <x v="7"/>
  </r>
  <r>
    <d v="2024-08-09T00:00:00"/>
    <s v="INV00537"/>
    <s v="Generator"/>
    <n v="22"/>
    <n v="25181"/>
    <n v="553982"/>
    <s v="North"/>
    <s v="ABC Ltd"/>
    <x v="7"/>
  </r>
  <r>
    <d v="2024-08-19T00:00:00"/>
    <s v="INV00573"/>
    <s v="Motor"/>
    <n v="6"/>
    <n v="22716"/>
    <n v="136296"/>
    <s v="North"/>
    <s v="ABC Ltd"/>
    <x v="7"/>
  </r>
  <r>
    <d v="2024-08-06T00:00:00"/>
    <s v="INV00603"/>
    <s v="Valve"/>
    <n v="34"/>
    <n v="8624"/>
    <n v="293216"/>
    <s v="East"/>
    <s v="Global Corp"/>
    <x v="7"/>
  </r>
  <r>
    <d v="2024-08-02T00:00:00"/>
    <s v="INV00639"/>
    <s v="Motor"/>
    <n v="24"/>
    <n v="17715"/>
    <n v="425160"/>
    <s v="South"/>
    <s v="ABC Ltd"/>
    <x v="7"/>
  </r>
  <r>
    <d v="2024-08-07T00:00:00"/>
    <s v="INV00645"/>
    <s v="Valve"/>
    <n v="28"/>
    <n v="44739"/>
    <n v="1252692"/>
    <s v="East"/>
    <s v="ABC Ltd"/>
    <x v="7"/>
  </r>
  <r>
    <d v="2024-08-13T00:00:00"/>
    <s v="INV00649"/>
    <s v="Motor"/>
    <n v="2"/>
    <n v="42266"/>
    <n v="84532"/>
    <s v="East"/>
    <s v="ABC Ltd"/>
    <x v="7"/>
  </r>
  <r>
    <d v="2024-08-09T00:00:00"/>
    <s v="INV00666"/>
    <s v="Motor"/>
    <n v="15"/>
    <n v="38439"/>
    <n v="576585"/>
    <s v="South"/>
    <s v="Prime Industries"/>
    <x v="7"/>
  </r>
  <r>
    <d v="2024-08-05T00:00:00"/>
    <s v="INV00669"/>
    <s v="Generator"/>
    <n v="16"/>
    <n v="24667"/>
    <n v="394672"/>
    <s v="West"/>
    <s v="Prime Industries"/>
    <x v="7"/>
  </r>
  <r>
    <d v="2024-08-09T00:00:00"/>
    <s v="INV00722"/>
    <s v="Motor"/>
    <n v="7"/>
    <n v="31620"/>
    <n v="221340"/>
    <s v="West"/>
    <s v="Prime Industries"/>
    <x v="7"/>
  </r>
  <r>
    <d v="2024-08-28T00:00:00"/>
    <s v="INV00723"/>
    <s v="Valve"/>
    <n v="18"/>
    <n v="9261"/>
    <n v="166698"/>
    <s v="East"/>
    <s v="Skyline Ltd"/>
    <x v="7"/>
  </r>
  <r>
    <d v="2024-08-25T00:00:00"/>
    <s v="INV00744"/>
    <s v="Motor"/>
    <n v="6"/>
    <n v="19113"/>
    <n v="114678"/>
    <s v="North"/>
    <s v="ABC Ltd"/>
    <x v="7"/>
  </r>
  <r>
    <d v="2024-08-06T00:00:00"/>
    <s v="INV00755"/>
    <s v="Valve"/>
    <n v="5"/>
    <n v="17482"/>
    <n v="87410"/>
    <s v="North"/>
    <s v="Skyline Ltd"/>
    <x v="7"/>
  </r>
  <r>
    <d v="2024-08-05T00:00:00"/>
    <s v="INV00757"/>
    <s v="Generator"/>
    <n v="21"/>
    <n v="29274"/>
    <n v="614754"/>
    <s v="South"/>
    <s v="ABC Ltd"/>
    <x v="7"/>
  </r>
  <r>
    <d v="2024-08-25T00:00:00"/>
    <s v="INV00783"/>
    <s v="Generator"/>
    <n v="3"/>
    <n v="8844"/>
    <n v="26532"/>
    <s v="South"/>
    <s v="Skyline Ltd"/>
    <x v="7"/>
  </r>
  <r>
    <d v="2024-08-24T00:00:00"/>
    <s v="INV00784"/>
    <s v="Valve"/>
    <n v="9"/>
    <n v="9976"/>
    <n v="89784"/>
    <s v="West"/>
    <s v="Prime Industries"/>
    <x v="7"/>
  </r>
  <r>
    <d v="2024-08-17T00:00:00"/>
    <s v="INV00788"/>
    <s v="Compressor"/>
    <n v="16"/>
    <n v="25728"/>
    <n v="411648"/>
    <s v="West"/>
    <s v="Global Corp"/>
    <x v="7"/>
  </r>
  <r>
    <d v="2024-08-30T00:00:00"/>
    <s v="INV00795"/>
    <s v="Motor"/>
    <n v="4"/>
    <n v="22925"/>
    <n v="91700"/>
    <s v="East"/>
    <s v="ABC Ltd"/>
    <x v="7"/>
  </r>
  <r>
    <d v="2024-08-13T00:00:00"/>
    <s v="INV00798"/>
    <s v="Valve"/>
    <n v="18"/>
    <n v="20888"/>
    <n v="375984"/>
    <s v="West"/>
    <s v="ABC Ltd"/>
    <x v="7"/>
  </r>
  <r>
    <d v="2024-08-23T00:00:00"/>
    <s v="INV00808"/>
    <s v="Valve"/>
    <n v="25"/>
    <n v="14268"/>
    <n v="356700"/>
    <s v="East"/>
    <s v="XYZ Pvt Ltd"/>
    <x v="7"/>
  </r>
  <r>
    <d v="2024-08-05T00:00:00"/>
    <s v="INV00829"/>
    <s v="Pump"/>
    <n v="37"/>
    <n v="12713"/>
    <n v="470381"/>
    <s v="South"/>
    <s v="XYZ Pvt Ltd"/>
    <x v="7"/>
  </r>
  <r>
    <d v="2024-08-07T00:00:00"/>
    <s v="INV00832"/>
    <s v="Generator"/>
    <n v="1"/>
    <n v="29839"/>
    <n v="29839"/>
    <s v="South"/>
    <s v="ABC Ltd"/>
    <x v="7"/>
  </r>
  <r>
    <d v="2024-08-16T00:00:00"/>
    <s v="INV00859"/>
    <s v="Compressor"/>
    <n v="24"/>
    <n v="11293"/>
    <n v="271032"/>
    <s v="North"/>
    <s v="Prime Industries"/>
    <x v="7"/>
  </r>
  <r>
    <d v="2024-08-31T00:00:00"/>
    <s v="INV00878"/>
    <s v="Motor"/>
    <n v="35"/>
    <n v="32993"/>
    <n v="1154755"/>
    <s v="South"/>
    <s v="ABC Ltd"/>
    <x v="7"/>
  </r>
  <r>
    <d v="2024-08-12T00:00:00"/>
    <s v="INV00893"/>
    <s v="Motor"/>
    <n v="2"/>
    <n v="32839"/>
    <n v="65678"/>
    <s v="North"/>
    <s v="ABC Ltd"/>
    <x v="7"/>
  </r>
  <r>
    <d v="2024-08-25T00:00:00"/>
    <s v="INV00924"/>
    <s v="Compressor"/>
    <n v="4"/>
    <n v="36545"/>
    <n v="146180"/>
    <s v="North"/>
    <s v="Prime Industries"/>
    <x v="7"/>
  </r>
  <r>
    <d v="2024-08-06T00:00:00"/>
    <s v="INV00948"/>
    <s v="Motor"/>
    <n v="18"/>
    <n v="31248"/>
    <n v="562464"/>
    <s v="West"/>
    <s v="Prime Industries"/>
    <x v="7"/>
  </r>
  <r>
    <d v="2024-08-09T00:00:00"/>
    <s v="INV00949"/>
    <s v="Valve"/>
    <n v="31"/>
    <n v="20327"/>
    <n v="630137"/>
    <s v="South"/>
    <s v="Skyline Ltd"/>
    <x v="7"/>
  </r>
  <r>
    <d v="2024-08-21T00:00:00"/>
    <s v="INV00957"/>
    <s v="Compressor"/>
    <n v="22"/>
    <n v="14676"/>
    <n v="322872"/>
    <s v="West"/>
    <s v="Global Corp"/>
    <x v="7"/>
  </r>
  <r>
    <d v="2024-08-17T00:00:00"/>
    <s v="INV00988"/>
    <s v="Compressor"/>
    <n v="5"/>
    <n v="40518"/>
    <n v="202590"/>
    <s v="West"/>
    <s v="XYZ Pvt Ltd"/>
    <x v="7"/>
  </r>
  <r>
    <d v="2024-08-31T00:00:00"/>
    <s v="INV00994"/>
    <s v="Compressor"/>
    <n v="23"/>
    <n v="14848"/>
    <n v="341504"/>
    <s v="South"/>
    <s v="Global Corp"/>
    <x v="7"/>
  </r>
  <r>
    <d v="2024-08-25T00:00:00"/>
    <s v="INV00999"/>
    <s v="Pump"/>
    <n v="2"/>
    <n v="37766"/>
    <n v="75532"/>
    <s v="South"/>
    <s v="Global Corp"/>
    <x v="7"/>
  </r>
  <r>
    <d v="2024-08-31T00:00:00"/>
    <s v="INV01045"/>
    <s v="Generator"/>
    <n v="4"/>
    <n v="34213"/>
    <n v="136852"/>
    <s v="North"/>
    <s v="ABC Ltd"/>
    <x v="7"/>
  </r>
  <r>
    <d v="2024-08-23T00:00:00"/>
    <s v="INV01047"/>
    <s v="Motor"/>
    <n v="1"/>
    <n v="31998"/>
    <n v="31998"/>
    <s v="North"/>
    <s v="ABC Ltd"/>
    <x v="7"/>
  </r>
  <r>
    <d v="2024-08-06T00:00:00"/>
    <s v="INV01084"/>
    <s v="Generator"/>
    <n v="33"/>
    <n v="30622"/>
    <n v="1010526"/>
    <s v="West"/>
    <s v="Skyline Ltd"/>
    <x v="7"/>
  </r>
  <r>
    <d v="2024-08-25T00:00:00"/>
    <s v="INV01089"/>
    <s v="Pump"/>
    <n v="38"/>
    <n v="17131"/>
    <n v="650978"/>
    <s v="South"/>
    <s v="Skyline Ltd"/>
    <x v="7"/>
  </r>
  <r>
    <d v="2024-08-13T00:00:00"/>
    <s v="INV01122"/>
    <s v="Motor"/>
    <n v="16"/>
    <n v="31257"/>
    <n v="500112"/>
    <s v="West"/>
    <s v="Global Corp"/>
    <x v="7"/>
  </r>
  <r>
    <d v="2024-08-27T00:00:00"/>
    <s v="INV01132"/>
    <s v="Valve"/>
    <n v="3"/>
    <n v="19967"/>
    <n v="59901"/>
    <s v="North"/>
    <s v="Skyline Ltd"/>
    <x v="7"/>
  </r>
  <r>
    <d v="2024-08-07T00:00:00"/>
    <s v="INV01134"/>
    <s v="Generator"/>
    <n v="26"/>
    <n v="13548"/>
    <n v="352248"/>
    <s v="West"/>
    <s v="XYZ Pvt Ltd"/>
    <x v="7"/>
  </r>
  <r>
    <d v="2024-08-21T00:00:00"/>
    <s v="INV01138"/>
    <s v="Compressor"/>
    <n v="32"/>
    <n v="26028"/>
    <n v="832896"/>
    <s v="North"/>
    <s v="Global Corp"/>
    <x v="7"/>
  </r>
  <r>
    <d v="2024-08-13T00:00:00"/>
    <s v="INV01143"/>
    <s v="Generator"/>
    <n v="8"/>
    <n v="37855"/>
    <n v="302840"/>
    <s v="North"/>
    <s v="XYZ Pvt Ltd"/>
    <x v="7"/>
  </r>
  <r>
    <d v="2024-08-16T00:00:00"/>
    <s v="INV01158"/>
    <s v="Pump"/>
    <n v="37"/>
    <n v="30503"/>
    <n v="1128611"/>
    <s v="South"/>
    <s v="Global Corp"/>
    <x v="7"/>
  </r>
  <r>
    <d v="2024-08-05T00:00:00"/>
    <s v="INV01167"/>
    <s v="Motor"/>
    <n v="35"/>
    <n v="26777"/>
    <n v="937195"/>
    <s v="North"/>
    <s v="Global Corp"/>
    <x v="7"/>
  </r>
  <r>
    <d v="2024-08-16T00:00:00"/>
    <s v="INV01175"/>
    <s v="Valve"/>
    <n v="34"/>
    <n v="43620"/>
    <n v="1483080"/>
    <s v="South"/>
    <s v="Prime Industries"/>
    <x v="7"/>
  </r>
  <r>
    <d v="2024-08-24T00:00:00"/>
    <s v="INV01189"/>
    <s v="Generator"/>
    <n v="9"/>
    <n v="41436"/>
    <n v="372924"/>
    <s v="West"/>
    <s v="XYZ Pvt Ltd"/>
    <x v="7"/>
  </r>
  <r>
    <d v="2024-08-07T00:00:00"/>
    <s v="INV01193"/>
    <s v="Compressor"/>
    <n v="20"/>
    <n v="43930"/>
    <n v="878600"/>
    <s v="North"/>
    <s v="Prime Industries"/>
    <x v="7"/>
  </r>
  <r>
    <d v="2024-08-10T00:00:00"/>
    <s v="INV01202"/>
    <s v="Pump"/>
    <n v="8"/>
    <n v="31156"/>
    <n v="249248"/>
    <s v="South"/>
    <s v="Prime Industries"/>
    <x v="7"/>
  </r>
  <r>
    <d v="2024-08-18T00:00:00"/>
    <s v="INV01205"/>
    <s v="Motor"/>
    <n v="6"/>
    <n v="25748"/>
    <n v="154488"/>
    <s v="East"/>
    <s v="Global Corp"/>
    <x v="7"/>
  </r>
  <r>
    <d v="2024-08-29T00:00:00"/>
    <s v="INV01207"/>
    <s v="Compressor"/>
    <n v="37"/>
    <n v="41589"/>
    <n v="1538793"/>
    <s v="South"/>
    <s v="ABC Ltd"/>
    <x v="7"/>
  </r>
  <r>
    <d v="2024-08-25T00:00:00"/>
    <s v="INV01211"/>
    <s v="Motor"/>
    <n v="3"/>
    <n v="39721"/>
    <n v="119163"/>
    <s v="West"/>
    <s v="XYZ Pvt Ltd"/>
    <x v="7"/>
  </r>
  <r>
    <d v="2024-08-07T00:00:00"/>
    <s v="INV01216"/>
    <s v="Compressor"/>
    <n v="24"/>
    <n v="21167"/>
    <n v="508008"/>
    <s v="North"/>
    <s v="ABC Ltd"/>
    <x v="7"/>
  </r>
  <r>
    <d v="2024-08-31T00:00:00"/>
    <s v="INV01224"/>
    <s v="Valve"/>
    <n v="27"/>
    <n v="40655"/>
    <n v="1097685"/>
    <s v="South"/>
    <s v="Skyline Ltd"/>
    <x v="7"/>
  </r>
  <r>
    <d v="2024-08-14T00:00:00"/>
    <s v="INV01227"/>
    <s v="Pump"/>
    <n v="27"/>
    <n v="27705"/>
    <n v="748035"/>
    <s v="East"/>
    <s v="ABC Ltd"/>
    <x v="7"/>
  </r>
  <r>
    <d v="2024-08-16T00:00:00"/>
    <s v="INV01236"/>
    <s v="Valve"/>
    <n v="29"/>
    <n v="28056"/>
    <n v="813624"/>
    <s v="South"/>
    <s v="Skyline Ltd"/>
    <x v="7"/>
  </r>
  <r>
    <d v="2024-08-25T00:00:00"/>
    <s v="INV01244"/>
    <s v="Compressor"/>
    <n v="17"/>
    <n v="28016"/>
    <n v="476272"/>
    <s v="North"/>
    <s v="XYZ Pvt Ltd"/>
    <x v="7"/>
  </r>
  <r>
    <d v="2024-08-24T00:00:00"/>
    <s v="INV01245"/>
    <s v="Valve"/>
    <n v="29"/>
    <n v="30679"/>
    <n v="889691"/>
    <s v="East"/>
    <s v="Prime Industries"/>
    <x v="7"/>
  </r>
  <r>
    <d v="2024-08-19T00:00:00"/>
    <s v="INV01275"/>
    <s v="Pump"/>
    <n v="23"/>
    <n v="24795"/>
    <n v="570285"/>
    <s v="East"/>
    <s v="XYZ Pvt Ltd"/>
    <x v="7"/>
  </r>
  <r>
    <d v="2024-08-21T00:00:00"/>
    <s v="INV01287"/>
    <s v="Pump"/>
    <n v="26"/>
    <n v="34568"/>
    <n v="898768"/>
    <s v="North"/>
    <s v="ABC Ltd"/>
    <x v="7"/>
  </r>
  <r>
    <d v="2024-08-21T00:00:00"/>
    <s v="INV01310"/>
    <s v="Motor"/>
    <n v="19"/>
    <n v="28595"/>
    <n v="543305"/>
    <s v="South"/>
    <s v="Prime Industries"/>
    <x v="7"/>
  </r>
  <r>
    <d v="2024-08-13T00:00:00"/>
    <s v="INV01319"/>
    <s v="Pump"/>
    <n v="11"/>
    <n v="31494"/>
    <n v="346434"/>
    <s v="South"/>
    <s v="Global Corp"/>
    <x v="7"/>
  </r>
  <r>
    <d v="2024-08-26T00:00:00"/>
    <s v="INV01325"/>
    <s v="Pump"/>
    <n v="8"/>
    <n v="19521"/>
    <n v="156168"/>
    <s v="South"/>
    <s v="Global Corp"/>
    <x v="7"/>
  </r>
  <r>
    <d v="2024-08-20T00:00:00"/>
    <s v="INV01340"/>
    <s v="Motor"/>
    <n v="26"/>
    <n v="17819"/>
    <n v="463294"/>
    <s v="North"/>
    <s v="Prime Industries"/>
    <x v="7"/>
  </r>
  <r>
    <d v="2024-08-13T00:00:00"/>
    <s v="INV01351"/>
    <s v="Compressor"/>
    <n v="25"/>
    <n v="40309"/>
    <n v="1007725"/>
    <s v="East"/>
    <s v="Global Corp"/>
    <x v="7"/>
  </r>
  <r>
    <d v="2024-08-06T00:00:00"/>
    <s v="INV01354"/>
    <s v="Generator"/>
    <n v="7"/>
    <n v="17077"/>
    <n v="119539"/>
    <s v="East"/>
    <s v="Global Corp"/>
    <x v="7"/>
  </r>
  <r>
    <d v="2024-08-10T00:00:00"/>
    <s v="INV01377"/>
    <s v="Generator"/>
    <n v="19"/>
    <n v="16475"/>
    <n v="313025"/>
    <s v="South"/>
    <s v="Skyline Ltd"/>
    <x v="7"/>
  </r>
  <r>
    <d v="2024-08-30T00:00:00"/>
    <s v="INV01389"/>
    <s v="Pump"/>
    <n v="22"/>
    <n v="42405"/>
    <n v="932910"/>
    <s v="East"/>
    <s v="Skyline Ltd"/>
    <x v="7"/>
  </r>
  <r>
    <d v="2024-08-19T00:00:00"/>
    <s v="INV01397"/>
    <s v="Compressor"/>
    <n v="2"/>
    <n v="30402"/>
    <n v="60804"/>
    <s v="North"/>
    <s v="Skyline Ltd"/>
    <x v="7"/>
  </r>
  <r>
    <d v="2024-08-31T00:00:00"/>
    <s v="INV01416"/>
    <s v="Valve"/>
    <n v="4"/>
    <n v="26093"/>
    <n v="104372"/>
    <s v="North"/>
    <s v="ABC Ltd"/>
    <x v="7"/>
  </r>
  <r>
    <d v="2024-08-26T00:00:00"/>
    <s v="INV01419"/>
    <s v="Generator"/>
    <n v="30"/>
    <n v="34917"/>
    <n v="1047510"/>
    <s v="North"/>
    <s v="Skyline Ltd"/>
    <x v="7"/>
  </r>
  <r>
    <d v="2024-08-24T00:00:00"/>
    <s v="INV01438"/>
    <s v="Motor"/>
    <n v="7"/>
    <n v="10769"/>
    <n v="75383"/>
    <s v="West"/>
    <s v="ABC Ltd"/>
    <x v="7"/>
  </r>
  <r>
    <d v="2024-08-26T00:00:00"/>
    <s v="INV01448"/>
    <s v="Motor"/>
    <n v="12"/>
    <n v="23313"/>
    <n v="279756"/>
    <s v="West"/>
    <s v="Skyline Ltd"/>
    <x v="7"/>
  </r>
  <r>
    <d v="2024-08-12T00:00:00"/>
    <s v="INV01449"/>
    <s v="Motor"/>
    <n v="31"/>
    <n v="5221"/>
    <n v="161851"/>
    <s v="East"/>
    <s v="Skyline Ltd"/>
    <x v="7"/>
  </r>
  <r>
    <d v="2024-08-27T00:00:00"/>
    <s v="INV01464"/>
    <s v="Pump"/>
    <n v="31"/>
    <n v="25736"/>
    <n v="797816"/>
    <s v="East"/>
    <s v="XYZ Pvt Ltd"/>
    <x v="7"/>
  </r>
  <r>
    <d v="2024-08-09T00:00:00"/>
    <s v="INV01466"/>
    <s v="Pump"/>
    <n v="22"/>
    <n v="29106"/>
    <n v="640332"/>
    <s v="West"/>
    <s v="XYZ Pvt Ltd"/>
    <x v="7"/>
  </r>
  <r>
    <d v="2024-08-01T00:00:00"/>
    <s v="INV01471"/>
    <s v="Valve"/>
    <n v="9"/>
    <n v="20964"/>
    <n v="188676"/>
    <s v="West"/>
    <s v="Skyline Ltd"/>
    <x v="7"/>
  </r>
  <r>
    <d v="2024-08-01T00:00:00"/>
    <s v="INV01497"/>
    <s v="Generator"/>
    <n v="13"/>
    <n v="18321"/>
    <n v="238173"/>
    <s v="North"/>
    <s v="XYZ Pvt Ltd"/>
    <x v="7"/>
  </r>
  <r>
    <d v="2024-09-23T00:00:00"/>
    <s v="INV00068"/>
    <s v="Compressor"/>
    <n v="21"/>
    <n v="41002"/>
    <n v="861042"/>
    <s v="North"/>
    <s v="Skyline Ltd"/>
    <x v="8"/>
  </r>
  <r>
    <d v="2024-09-02T00:00:00"/>
    <s v="INV00096"/>
    <s v="Compressor"/>
    <n v="27"/>
    <n v="20363"/>
    <n v="549801"/>
    <s v="West"/>
    <s v="Skyline Ltd"/>
    <x v="8"/>
  </r>
  <r>
    <d v="2024-09-30T00:00:00"/>
    <s v="INV00137"/>
    <s v="Pump"/>
    <n v="27"/>
    <n v="18909"/>
    <n v="510543"/>
    <s v="West"/>
    <s v="Global Corp"/>
    <x v="8"/>
  </r>
  <r>
    <d v="2024-09-09T00:00:00"/>
    <s v="INV00173"/>
    <s v="Motor"/>
    <n v="39"/>
    <n v="14665"/>
    <n v="571935"/>
    <s v="East"/>
    <s v="Prime Industries"/>
    <x v="8"/>
  </r>
  <r>
    <d v="2024-09-17T00:00:00"/>
    <s v="INV00180"/>
    <s v="Motor"/>
    <n v="39"/>
    <n v="20680"/>
    <n v="806520"/>
    <s v="North"/>
    <s v="XYZ Pvt Ltd"/>
    <x v="8"/>
  </r>
  <r>
    <d v="2024-09-21T00:00:00"/>
    <s v="INV00202"/>
    <s v="Generator"/>
    <n v="3"/>
    <n v="11747"/>
    <n v="35241"/>
    <s v="North"/>
    <s v="XYZ Pvt Ltd"/>
    <x v="8"/>
  </r>
  <r>
    <d v="2024-09-06T00:00:00"/>
    <s v="INV00212"/>
    <s v="Motor"/>
    <n v="35"/>
    <n v="7250"/>
    <n v="253750"/>
    <s v="South"/>
    <s v="ABC Ltd"/>
    <x v="8"/>
  </r>
  <r>
    <d v="2024-09-13T00:00:00"/>
    <s v="INV00221"/>
    <s v="Pump"/>
    <n v="8"/>
    <n v="29550"/>
    <n v="236400"/>
    <s v="North"/>
    <s v="ABC Ltd"/>
    <x v="8"/>
  </r>
  <r>
    <d v="2024-09-16T00:00:00"/>
    <s v="INV00222"/>
    <s v="Motor"/>
    <n v="10"/>
    <n v="28851"/>
    <n v="288510"/>
    <s v="South"/>
    <s v="Skyline Ltd"/>
    <x v="8"/>
  </r>
  <r>
    <d v="2024-09-14T00:00:00"/>
    <s v="INV00230"/>
    <s v="Valve"/>
    <n v="30"/>
    <n v="16622"/>
    <n v="498660"/>
    <s v="South"/>
    <s v="Global Corp"/>
    <x v="8"/>
  </r>
  <r>
    <d v="2024-09-16T00:00:00"/>
    <s v="INV00236"/>
    <s v="Pump"/>
    <n v="9"/>
    <n v="29297"/>
    <n v="263673"/>
    <s v="South"/>
    <s v="XYZ Pvt Ltd"/>
    <x v="8"/>
  </r>
  <r>
    <d v="2024-09-26T00:00:00"/>
    <s v="INV00259"/>
    <s v="Valve"/>
    <n v="39"/>
    <n v="13391"/>
    <n v="522249"/>
    <s v="East"/>
    <s v="ABC Ltd"/>
    <x v="8"/>
  </r>
  <r>
    <d v="2024-09-22T00:00:00"/>
    <s v="INV00270"/>
    <s v="Pump"/>
    <n v="37"/>
    <n v="11472"/>
    <n v="424464"/>
    <s v="West"/>
    <s v="Prime Industries"/>
    <x v="8"/>
  </r>
  <r>
    <d v="2024-09-02T00:00:00"/>
    <s v="INV00280"/>
    <s v="Motor"/>
    <n v="38"/>
    <n v="44403"/>
    <n v="1687314"/>
    <s v="East"/>
    <s v="Skyline Ltd"/>
    <x v="8"/>
  </r>
  <r>
    <d v="2024-09-04T00:00:00"/>
    <s v="INV00284"/>
    <s v="Valve"/>
    <n v="22"/>
    <n v="29159"/>
    <n v="641498"/>
    <s v="South"/>
    <s v="ABC Ltd"/>
    <x v="8"/>
  </r>
  <r>
    <d v="2024-09-19T00:00:00"/>
    <s v="INV00287"/>
    <s v="Pump"/>
    <n v="18"/>
    <n v="8604"/>
    <n v="154872"/>
    <s v="South"/>
    <s v="Prime Industries"/>
    <x v="8"/>
  </r>
  <r>
    <d v="2024-09-14T00:00:00"/>
    <s v="INV00320"/>
    <s v="Pump"/>
    <n v="33"/>
    <n v="12716"/>
    <n v="419628"/>
    <s v="West"/>
    <s v="Prime Industries"/>
    <x v="8"/>
  </r>
  <r>
    <d v="2024-09-19T00:00:00"/>
    <s v="INV00328"/>
    <s v="Generator"/>
    <n v="26"/>
    <n v="15559"/>
    <n v="404534"/>
    <s v="North"/>
    <s v="Global Corp"/>
    <x v="8"/>
  </r>
  <r>
    <d v="2024-09-03T00:00:00"/>
    <s v="INV00362"/>
    <s v="Pump"/>
    <n v="22"/>
    <n v="27130"/>
    <n v="596860"/>
    <s v="South"/>
    <s v="XYZ Pvt Ltd"/>
    <x v="8"/>
  </r>
  <r>
    <d v="2024-09-02T00:00:00"/>
    <s v="INV00391"/>
    <s v="Compressor"/>
    <n v="33"/>
    <n v="25432"/>
    <n v="839256"/>
    <s v="South"/>
    <s v="XYZ Pvt Ltd"/>
    <x v="8"/>
  </r>
  <r>
    <d v="2024-09-06T00:00:00"/>
    <s v="INV00393"/>
    <s v="Pump"/>
    <n v="38"/>
    <n v="30443"/>
    <n v="1156834"/>
    <s v="West"/>
    <s v="XYZ Pvt Ltd"/>
    <x v="8"/>
  </r>
  <r>
    <d v="2024-09-24T00:00:00"/>
    <s v="INV00396"/>
    <s v="Compressor"/>
    <n v="24"/>
    <n v="16775"/>
    <n v="402600"/>
    <s v="East"/>
    <s v="ABC Ltd"/>
    <x v="8"/>
  </r>
  <r>
    <d v="2024-09-24T00:00:00"/>
    <s v="INV00397"/>
    <s v="Compressor"/>
    <n v="18"/>
    <n v="21709"/>
    <n v="390762"/>
    <s v="South"/>
    <s v="XYZ Pvt Ltd"/>
    <x v="8"/>
  </r>
  <r>
    <d v="2024-09-23T00:00:00"/>
    <s v="INV00398"/>
    <s v="Pump"/>
    <n v="33"/>
    <n v="7240"/>
    <n v="238920"/>
    <s v="West"/>
    <s v="XYZ Pvt Ltd"/>
    <x v="8"/>
  </r>
  <r>
    <d v="2024-09-28T00:00:00"/>
    <s v="INV00408"/>
    <s v="Generator"/>
    <n v="36"/>
    <n v="19336"/>
    <n v="696096"/>
    <s v="South"/>
    <s v="Global Corp"/>
    <x v="8"/>
  </r>
  <r>
    <d v="2024-09-18T00:00:00"/>
    <s v="INV00424"/>
    <s v="Compressor"/>
    <n v="23"/>
    <n v="37106"/>
    <n v="853438"/>
    <s v="East"/>
    <s v="XYZ Pvt Ltd"/>
    <x v="8"/>
  </r>
  <r>
    <d v="2024-09-13T00:00:00"/>
    <s v="INV00443"/>
    <s v="Compressor"/>
    <n v="17"/>
    <n v="38769"/>
    <n v="659073"/>
    <s v="West"/>
    <s v="Global Corp"/>
    <x v="8"/>
  </r>
  <r>
    <d v="2024-09-28T00:00:00"/>
    <s v="INV00450"/>
    <s v="Generator"/>
    <n v="16"/>
    <n v="16559"/>
    <n v="264944"/>
    <s v="North"/>
    <s v="ABC Ltd"/>
    <x v="8"/>
  </r>
  <r>
    <d v="2024-09-08T00:00:00"/>
    <s v="INV00467"/>
    <s v="Valve"/>
    <n v="20"/>
    <n v="21207"/>
    <n v="424140"/>
    <s v="East"/>
    <s v="XYZ Pvt Ltd"/>
    <x v="8"/>
  </r>
  <r>
    <d v="2024-09-14T00:00:00"/>
    <s v="INV00472"/>
    <s v="Pump"/>
    <n v="23"/>
    <n v="31795"/>
    <n v="731285"/>
    <s v="West"/>
    <s v="Skyline Ltd"/>
    <x v="8"/>
  </r>
  <r>
    <d v="2024-09-22T00:00:00"/>
    <s v="INV00477"/>
    <s v="Generator"/>
    <n v="39"/>
    <n v="17054"/>
    <n v="665106"/>
    <s v="West"/>
    <s v="Skyline Ltd"/>
    <x v="8"/>
  </r>
  <r>
    <d v="2024-09-19T00:00:00"/>
    <s v="INV00480"/>
    <s v="Pump"/>
    <n v="18"/>
    <n v="42195"/>
    <n v="759510"/>
    <s v="South"/>
    <s v="Skyline Ltd"/>
    <x v="8"/>
  </r>
  <r>
    <d v="2024-09-07T00:00:00"/>
    <s v="INV00481"/>
    <s v="Motor"/>
    <n v="7"/>
    <n v="14786"/>
    <n v="103502"/>
    <s v="North"/>
    <s v="XYZ Pvt Ltd"/>
    <x v="8"/>
  </r>
  <r>
    <d v="2024-09-24T00:00:00"/>
    <s v="INV00483"/>
    <s v="Pump"/>
    <n v="26"/>
    <n v="42831"/>
    <n v="1113606"/>
    <s v="East"/>
    <s v="Skyline Ltd"/>
    <x v="8"/>
  </r>
  <r>
    <d v="2024-09-12T00:00:00"/>
    <s v="INV00484"/>
    <s v="Generator"/>
    <n v="28"/>
    <n v="35066"/>
    <n v="981848"/>
    <s v="West"/>
    <s v="XYZ Pvt Ltd"/>
    <x v="8"/>
  </r>
  <r>
    <d v="2024-09-25T00:00:00"/>
    <s v="INV00487"/>
    <s v="Compressor"/>
    <n v="2"/>
    <n v="32379"/>
    <n v="64758"/>
    <s v="South"/>
    <s v="ABC Ltd"/>
    <x v="8"/>
  </r>
  <r>
    <d v="2024-09-19T00:00:00"/>
    <s v="INV00525"/>
    <s v="Valve"/>
    <n v="5"/>
    <n v="29275"/>
    <n v="146375"/>
    <s v="South"/>
    <s v="ABC Ltd"/>
    <x v="8"/>
  </r>
  <r>
    <d v="2024-09-16T00:00:00"/>
    <s v="INV00547"/>
    <s v="Pump"/>
    <n v="4"/>
    <n v="27726"/>
    <n v="110904"/>
    <s v="East"/>
    <s v="XYZ Pvt Ltd"/>
    <x v="8"/>
  </r>
  <r>
    <d v="2024-09-10T00:00:00"/>
    <s v="INV00588"/>
    <s v="Generator"/>
    <n v="15"/>
    <n v="8068"/>
    <n v="121020"/>
    <s v="South"/>
    <s v="ABC Ltd"/>
    <x v="8"/>
  </r>
  <r>
    <d v="2024-09-20T00:00:00"/>
    <s v="INV00596"/>
    <s v="Compressor"/>
    <n v="11"/>
    <n v="35310"/>
    <n v="388410"/>
    <s v="North"/>
    <s v="XYZ Pvt Ltd"/>
    <x v="8"/>
  </r>
  <r>
    <d v="2024-09-17T00:00:00"/>
    <s v="INV00608"/>
    <s v="Compressor"/>
    <n v="23"/>
    <n v="24744"/>
    <n v="569112"/>
    <s v="East"/>
    <s v="Prime Industries"/>
    <x v="8"/>
  </r>
  <r>
    <d v="2024-09-10T00:00:00"/>
    <s v="INV00621"/>
    <s v="Pump"/>
    <n v="18"/>
    <n v="16855"/>
    <n v="303390"/>
    <s v="West"/>
    <s v="XYZ Pvt Ltd"/>
    <x v="8"/>
  </r>
  <r>
    <d v="2024-09-22T00:00:00"/>
    <s v="INV00634"/>
    <s v="Compressor"/>
    <n v="4"/>
    <n v="44864"/>
    <n v="179456"/>
    <s v="East"/>
    <s v="Global Corp"/>
    <x v="8"/>
  </r>
  <r>
    <d v="2024-09-23T00:00:00"/>
    <s v="INV00635"/>
    <s v="Compressor"/>
    <n v="34"/>
    <n v="27042"/>
    <n v="919428"/>
    <s v="East"/>
    <s v="Skyline Ltd"/>
    <x v="8"/>
  </r>
  <r>
    <d v="2024-09-26T00:00:00"/>
    <s v="INV00656"/>
    <s v="Generator"/>
    <n v="24"/>
    <n v="20749"/>
    <n v="497976"/>
    <s v="West"/>
    <s v="XYZ Pvt Ltd"/>
    <x v="8"/>
  </r>
  <r>
    <d v="2024-09-18T00:00:00"/>
    <s v="INV00667"/>
    <s v="Valve"/>
    <n v="39"/>
    <n v="14018"/>
    <n v="546702"/>
    <s v="South"/>
    <s v="Prime Industries"/>
    <x v="8"/>
  </r>
  <r>
    <d v="2024-09-05T00:00:00"/>
    <s v="INV00680"/>
    <s v="Compressor"/>
    <n v="22"/>
    <n v="21271"/>
    <n v="467962"/>
    <s v="North"/>
    <s v="XYZ Pvt Ltd"/>
    <x v="8"/>
  </r>
  <r>
    <d v="2024-09-28T00:00:00"/>
    <s v="INV00683"/>
    <s v="Generator"/>
    <n v="25"/>
    <n v="8907"/>
    <n v="222675"/>
    <s v="South"/>
    <s v="XYZ Pvt Ltd"/>
    <x v="8"/>
  </r>
  <r>
    <d v="2024-09-22T00:00:00"/>
    <s v="INV00692"/>
    <s v="Motor"/>
    <n v="11"/>
    <n v="44071"/>
    <n v="484781"/>
    <s v="North"/>
    <s v="XYZ Pvt Ltd"/>
    <x v="8"/>
  </r>
  <r>
    <d v="2024-09-24T00:00:00"/>
    <s v="INV00693"/>
    <s v="Pump"/>
    <n v="28"/>
    <n v="26693"/>
    <n v="747404"/>
    <s v="East"/>
    <s v="XYZ Pvt Ltd"/>
    <x v="8"/>
  </r>
  <r>
    <d v="2024-09-06T00:00:00"/>
    <s v="INV00708"/>
    <s v="Generator"/>
    <n v="29"/>
    <n v="10436"/>
    <n v="302644"/>
    <s v="East"/>
    <s v="Global Corp"/>
    <x v="8"/>
  </r>
  <r>
    <d v="2024-09-10T00:00:00"/>
    <s v="INV00710"/>
    <s v="Valve"/>
    <n v="29"/>
    <n v="44163"/>
    <n v="1280727"/>
    <s v="North"/>
    <s v="Global Corp"/>
    <x v="8"/>
  </r>
  <r>
    <d v="2024-09-28T00:00:00"/>
    <s v="INV00729"/>
    <s v="Motor"/>
    <n v="34"/>
    <n v="14485"/>
    <n v="492490"/>
    <s v="South"/>
    <s v="Global Corp"/>
    <x v="8"/>
  </r>
  <r>
    <d v="2024-09-03T00:00:00"/>
    <s v="INV00753"/>
    <s v="Motor"/>
    <n v="35"/>
    <n v="36089"/>
    <n v="1263115"/>
    <s v="West"/>
    <s v="Prime Industries"/>
    <x v="8"/>
  </r>
  <r>
    <d v="2024-09-02T00:00:00"/>
    <s v="INV00761"/>
    <s v="Pump"/>
    <n v="29"/>
    <n v="35236"/>
    <n v="1021844"/>
    <s v="South"/>
    <s v="XYZ Pvt Ltd"/>
    <x v="8"/>
  </r>
  <r>
    <d v="2024-09-03T00:00:00"/>
    <s v="INV00763"/>
    <s v="Pump"/>
    <n v="40"/>
    <n v="40358"/>
    <n v="1614320"/>
    <s v="South"/>
    <s v="Global Corp"/>
    <x v="8"/>
  </r>
  <r>
    <d v="2024-09-19T00:00:00"/>
    <s v="INV00780"/>
    <s v="Compressor"/>
    <n v="39"/>
    <n v="31925"/>
    <n v="1245075"/>
    <s v="East"/>
    <s v="Global Corp"/>
    <x v="8"/>
  </r>
  <r>
    <d v="2024-09-03T00:00:00"/>
    <s v="INV00816"/>
    <s v="Compressor"/>
    <n v="38"/>
    <n v="25375"/>
    <n v="964250"/>
    <s v="South"/>
    <s v="Global Corp"/>
    <x v="8"/>
  </r>
  <r>
    <d v="2024-09-29T00:00:00"/>
    <s v="INV00818"/>
    <s v="Valve"/>
    <n v="20"/>
    <n v="20752"/>
    <n v="415040"/>
    <s v="West"/>
    <s v="Global Corp"/>
    <x v="8"/>
  </r>
  <r>
    <d v="2024-09-20T00:00:00"/>
    <s v="INV00819"/>
    <s v="Generator"/>
    <n v="4"/>
    <n v="5580"/>
    <n v="22320"/>
    <s v="West"/>
    <s v="XYZ Pvt Ltd"/>
    <x v="8"/>
  </r>
  <r>
    <d v="2024-09-20T00:00:00"/>
    <s v="INV00824"/>
    <s v="Compressor"/>
    <n v="8"/>
    <n v="30034"/>
    <n v="240272"/>
    <s v="West"/>
    <s v="ABC Ltd"/>
    <x v="8"/>
  </r>
  <r>
    <d v="2024-09-03T00:00:00"/>
    <s v="INV00828"/>
    <s v="Pump"/>
    <n v="21"/>
    <n v="20033"/>
    <n v="420693"/>
    <s v="South"/>
    <s v="Global Corp"/>
    <x v="8"/>
  </r>
  <r>
    <d v="2024-09-30T00:00:00"/>
    <s v="INV00838"/>
    <s v="Compressor"/>
    <n v="34"/>
    <n v="33509"/>
    <n v="1139306"/>
    <s v="West"/>
    <s v="Skyline Ltd"/>
    <x v="8"/>
  </r>
  <r>
    <d v="2024-09-25T00:00:00"/>
    <s v="INV00839"/>
    <s v="Pump"/>
    <n v="20"/>
    <n v="29163"/>
    <n v="583260"/>
    <s v="South"/>
    <s v="Global Corp"/>
    <x v="8"/>
  </r>
  <r>
    <d v="2024-09-14T00:00:00"/>
    <s v="INV00863"/>
    <s v="Compressor"/>
    <n v="39"/>
    <n v="26661"/>
    <n v="1039779"/>
    <s v="North"/>
    <s v="Skyline Ltd"/>
    <x v="8"/>
  </r>
  <r>
    <d v="2024-09-25T00:00:00"/>
    <s v="INV00872"/>
    <s v="Motor"/>
    <n v="8"/>
    <n v="8658"/>
    <n v="69264"/>
    <s v="West"/>
    <s v="Prime Industries"/>
    <x v="8"/>
  </r>
  <r>
    <d v="2024-09-03T00:00:00"/>
    <s v="INV00882"/>
    <s v="Valve"/>
    <n v="32"/>
    <n v="30172"/>
    <n v="965504"/>
    <s v="South"/>
    <s v="Global Corp"/>
    <x v="8"/>
  </r>
  <r>
    <d v="2024-09-04T00:00:00"/>
    <s v="INV00897"/>
    <s v="Pump"/>
    <n v="24"/>
    <n v="36392"/>
    <n v="873408"/>
    <s v="South"/>
    <s v="Skyline Ltd"/>
    <x v="8"/>
  </r>
  <r>
    <d v="2024-09-01T00:00:00"/>
    <s v="INV00927"/>
    <s v="Pump"/>
    <n v="4"/>
    <n v="17649"/>
    <n v="70596"/>
    <s v="West"/>
    <s v="ABC Ltd"/>
    <x v="8"/>
  </r>
  <r>
    <d v="2024-09-27T00:00:00"/>
    <s v="INV00928"/>
    <s v="Motor"/>
    <n v="19"/>
    <n v="38624"/>
    <n v="733856"/>
    <s v="West"/>
    <s v="Global Corp"/>
    <x v="8"/>
  </r>
  <r>
    <d v="2024-09-11T00:00:00"/>
    <s v="INV00933"/>
    <s v="Valve"/>
    <n v="33"/>
    <n v="20608"/>
    <n v="680064"/>
    <s v="South"/>
    <s v="Prime Industries"/>
    <x v="8"/>
  </r>
  <r>
    <d v="2024-09-26T00:00:00"/>
    <s v="INV00993"/>
    <s v="Compressor"/>
    <n v="36"/>
    <n v="8219"/>
    <n v="295884"/>
    <s v="South"/>
    <s v="Skyline Ltd"/>
    <x v="8"/>
  </r>
  <r>
    <d v="2024-09-04T00:00:00"/>
    <s v="INV01010"/>
    <s v="Pump"/>
    <n v="33"/>
    <n v="29352"/>
    <n v="968616"/>
    <s v="North"/>
    <s v="Skyline Ltd"/>
    <x v="8"/>
  </r>
  <r>
    <d v="2024-09-14T00:00:00"/>
    <s v="INV01012"/>
    <s v="Motor"/>
    <n v="7"/>
    <n v="9974"/>
    <n v="69818"/>
    <s v="South"/>
    <s v="Prime Industries"/>
    <x v="8"/>
  </r>
  <r>
    <d v="2024-09-12T00:00:00"/>
    <s v="INV01025"/>
    <s v="Pump"/>
    <n v="16"/>
    <n v="30816"/>
    <n v="493056"/>
    <s v="East"/>
    <s v="Global Corp"/>
    <x v="8"/>
  </r>
  <r>
    <d v="2024-09-28T00:00:00"/>
    <s v="INV01036"/>
    <s v="Valve"/>
    <n v="19"/>
    <n v="41028"/>
    <n v="779532"/>
    <s v="East"/>
    <s v="Prime Industries"/>
    <x v="8"/>
  </r>
  <r>
    <d v="2024-09-21T00:00:00"/>
    <s v="INV01048"/>
    <s v="Motor"/>
    <n v="32"/>
    <n v="6365"/>
    <n v="203680"/>
    <s v="West"/>
    <s v="XYZ Pvt Ltd"/>
    <x v="8"/>
  </r>
  <r>
    <d v="2024-09-18T00:00:00"/>
    <s v="INV01052"/>
    <s v="Pump"/>
    <n v="9"/>
    <n v="6551"/>
    <n v="58959"/>
    <s v="South"/>
    <s v="Skyline Ltd"/>
    <x v="8"/>
  </r>
  <r>
    <d v="2024-09-30T00:00:00"/>
    <s v="INV01063"/>
    <s v="Motor"/>
    <n v="36"/>
    <n v="43126"/>
    <n v="1552536"/>
    <s v="North"/>
    <s v="Global Corp"/>
    <x v="8"/>
  </r>
  <r>
    <d v="2024-09-07T00:00:00"/>
    <s v="INV01066"/>
    <s v="Pump"/>
    <n v="21"/>
    <n v="32332"/>
    <n v="678972"/>
    <s v="East"/>
    <s v="ABC Ltd"/>
    <x v="8"/>
  </r>
  <r>
    <d v="2024-09-07T00:00:00"/>
    <s v="INV01074"/>
    <s v="Pump"/>
    <n v="40"/>
    <n v="6713"/>
    <n v="268520"/>
    <s v="North"/>
    <s v="ABC Ltd"/>
    <x v="8"/>
  </r>
  <r>
    <d v="2024-09-08T00:00:00"/>
    <s v="INV01080"/>
    <s v="Pump"/>
    <n v="24"/>
    <n v="24348"/>
    <n v="584352"/>
    <s v="West"/>
    <s v="Skyline Ltd"/>
    <x v="8"/>
  </r>
  <r>
    <d v="2024-09-27T00:00:00"/>
    <s v="INV01085"/>
    <s v="Generator"/>
    <n v="16"/>
    <n v="23552"/>
    <n v="376832"/>
    <s v="West"/>
    <s v="Prime Industries"/>
    <x v="8"/>
  </r>
  <r>
    <d v="2024-09-03T00:00:00"/>
    <s v="INV01100"/>
    <s v="Motor"/>
    <n v="26"/>
    <n v="12133"/>
    <n v="315458"/>
    <s v="East"/>
    <s v="XYZ Pvt Ltd"/>
    <x v="8"/>
  </r>
  <r>
    <d v="2024-09-03T00:00:00"/>
    <s v="INV01110"/>
    <s v="Compressor"/>
    <n v="14"/>
    <n v="12188"/>
    <n v="170632"/>
    <s v="East"/>
    <s v="XYZ Pvt Ltd"/>
    <x v="8"/>
  </r>
  <r>
    <d v="2024-09-25T00:00:00"/>
    <s v="INV01118"/>
    <s v="Motor"/>
    <n v="1"/>
    <n v="9611"/>
    <n v="9611"/>
    <s v="East"/>
    <s v="Global Corp"/>
    <x v="8"/>
  </r>
  <r>
    <d v="2024-09-28T00:00:00"/>
    <s v="INV01129"/>
    <s v="Generator"/>
    <n v="28"/>
    <n v="34214"/>
    <n v="957992"/>
    <s v="East"/>
    <s v="Global Corp"/>
    <x v="8"/>
  </r>
  <r>
    <d v="2024-09-19T00:00:00"/>
    <s v="INV01130"/>
    <s v="Motor"/>
    <n v="7"/>
    <n v="12387"/>
    <n v="86709"/>
    <s v="West"/>
    <s v="Skyline Ltd"/>
    <x v="8"/>
  </r>
  <r>
    <d v="2024-09-26T00:00:00"/>
    <s v="INV01135"/>
    <s v="Valve"/>
    <n v="14"/>
    <n v="10617"/>
    <n v="148638"/>
    <s v="East"/>
    <s v="Skyline Ltd"/>
    <x v="8"/>
  </r>
  <r>
    <d v="2024-09-13T00:00:00"/>
    <s v="INV01140"/>
    <s v="Motor"/>
    <n v="19"/>
    <n v="11013"/>
    <n v="209247"/>
    <s v="North"/>
    <s v="Skyline Ltd"/>
    <x v="8"/>
  </r>
  <r>
    <d v="2024-09-08T00:00:00"/>
    <s v="INV01149"/>
    <s v="Generator"/>
    <n v="24"/>
    <n v="32525"/>
    <n v="780600"/>
    <s v="South"/>
    <s v="XYZ Pvt Ltd"/>
    <x v="8"/>
  </r>
  <r>
    <d v="2024-09-21T00:00:00"/>
    <s v="INV01156"/>
    <s v="Pump"/>
    <n v="3"/>
    <n v="28327"/>
    <n v="84981"/>
    <s v="North"/>
    <s v="Global Corp"/>
    <x v="8"/>
  </r>
  <r>
    <d v="2024-09-16T00:00:00"/>
    <s v="INV01203"/>
    <s v="Generator"/>
    <n v="32"/>
    <n v="21089"/>
    <n v="674848"/>
    <s v="North"/>
    <s v="Prime Industries"/>
    <x v="8"/>
  </r>
  <r>
    <d v="2024-09-09T00:00:00"/>
    <s v="INV01222"/>
    <s v="Pump"/>
    <n v="30"/>
    <n v="18930"/>
    <n v="567900"/>
    <s v="West"/>
    <s v="ABC Ltd"/>
    <x v="8"/>
  </r>
  <r>
    <d v="2024-09-03T00:00:00"/>
    <s v="INV01225"/>
    <s v="Pump"/>
    <n v="26"/>
    <n v="35796"/>
    <n v="930696"/>
    <s v="East"/>
    <s v="Prime Industries"/>
    <x v="8"/>
  </r>
  <r>
    <d v="2024-09-24T00:00:00"/>
    <s v="INV01246"/>
    <s v="Valve"/>
    <n v="26"/>
    <n v="41047"/>
    <n v="1067222"/>
    <s v="North"/>
    <s v="Global Corp"/>
    <x v="8"/>
  </r>
  <r>
    <d v="2024-09-16T00:00:00"/>
    <s v="INV01250"/>
    <s v="Generator"/>
    <n v="25"/>
    <n v="15315"/>
    <n v="382875"/>
    <s v="East"/>
    <s v="XYZ Pvt Ltd"/>
    <x v="8"/>
  </r>
  <r>
    <d v="2024-09-14T00:00:00"/>
    <s v="INV01255"/>
    <s v="Generator"/>
    <n v="23"/>
    <n v="38308"/>
    <n v="881084"/>
    <s v="East"/>
    <s v="Global Corp"/>
    <x v="8"/>
  </r>
  <r>
    <d v="2024-09-29T00:00:00"/>
    <s v="INV01258"/>
    <s v="Compressor"/>
    <n v="39"/>
    <n v="35320"/>
    <n v="1377480"/>
    <s v="West"/>
    <s v="ABC Ltd"/>
    <x v="8"/>
  </r>
  <r>
    <d v="2024-09-14T00:00:00"/>
    <s v="INV01280"/>
    <s v="Valve"/>
    <n v="13"/>
    <n v="27547"/>
    <n v="358111"/>
    <s v="North"/>
    <s v="Skyline Ltd"/>
    <x v="8"/>
  </r>
  <r>
    <d v="2024-09-19T00:00:00"/>
    <s v="INV01283"/>
    <s v="Generator"/>
    <n v="34"/>
    <n v="28751"/>
    <n v="977534"/>
    <s v="West"/>
    <s v="ABC Ltd"/>
    <x v="8"/>
  </r>
  <r>
    <d v="2024-09-19T00:00:00"/>
    <s v="INV01288"/>
    <s v="Generator"/>
    <n v="12"/>
    <n v="23249"/>
    <n v="278988"/>
    <s v="North"/>
    <s v="Global Corp"/>
    <x v="8"/>
  </r>
  <r>
    <d v="2024-09-01T00:00:00"/>
    <s v="INV01303"/>
    <s v="Motor"/>
    <n v="8"/>
    <n v="38486"/>
    <n v="307888"/>
    <s v="East"/>
    <s v="Skyline Ltd"/>
    <x v="8"/>
  </r>
  <r>
    <d v="2024-09-15T00:00:00"/>
    <s v="INV01305"/>
    <s v="Pump"/>
    <n v="20"/>
    <n v="21675"/>
    <n v="433500"/>
    <s v="South"/>
    <s v="Prime Industries"/>
    <x v="8"/>
  </r>
  <r>
    <d v="2024-09-16T00:00:00"/>
    <s v="INV01313"/>
    <s v="Motor"/>
    <n v="38"/>
    <n v="25418"/>
    <n v="965884"/>
    <s v="North"/>
    <s v="ABC Ltd"/>
    <x v="8"/>
  </r>
  <r>
    <d v="2024-09-29T00:00:00"/>
    <s v="INV01323"/>
    <s v="Motor"/>
    <n v="23"/>
    <n v="42282"/>
    <n v="972486"/>
    <s v="East"/>
    <s v="Prime Industries"/>
    <x v="8"/>
  </r>
  <r>
    <d v="2024-09-08T00:00:00"/>
    <s v="INV01344"/>
    <s v="Motor"/>
    <n v="32"/>
    <n v="39668"/>
    <n v="1269376"/>
    <s v="North"/>
    <s v="Skyline Ltd"/>
    <x v="8"/>
  </r>
  <r>
    <d v="2024-09-30T00:00:00"/>
    <s v="INV01345"/>
    <s v="Valve"/>
    <n v="14"/>
    <n v="40478"/>
    <n v="566692"/>
    <s v="East"/>
    <s v="Skyline Ltd"/>
    <x v="8"/>
  </r>
  <r>
    <d v="2024-09-04T00:00:00"/>
    <s v="INV01348"/>
    <s v="Compressor"/>
    <n v="30"/>
    <n v="24123"/>
    <n v="723690"/>
    <s v="West"/>
    <s v="XYZ Pvt Ltd"/>
    <x v="8"/>
  </r>
  <r>
    <d v="2024-09-27T00:00:00"/>
    <s v="INV01350"/>
    <s v="Generator"/>
    <n v="24"/>
    <n v="12791"/>
    <n v="306984"/>
    <s v="South"/>
    <s v="Skyline Ltd"/>
    <x v="8"/>
  </r>
  <r>
    <d v="2024-09-02T00:00:00"/>
    <s v="INV01368"/>
    <s v="Generator"/>
    <n v="10"/>
    <n v="38173"/>
    <n v="381730"/>
    <s v="North"/>
    <s v="Global Corp"/>
    <x v="8"/>
  </r>
  <r>
    <d v="2024-09-25T00:00:00"/>
    <s v="INV01378"/>
    <s v="Motor"/>
    <n v="27"/>
    <n v="14332"/>
    <n v="386964"/>
    <s v="North"/>
    <s v="Global Corp"/>
    <x v="8"/>
  </r>
  <r>
    <d v="2024-09-28T00:00:00"/>
    <s v="INV01385"/>
    <s v="Pump"/>
    <n v="31"/>
    <n v="23316"/>
    <n v="722796"/>
    <s v="North"/>
    <s v="XYZ Pvt Ltd"/>
    <x v="8"/>
  </r>
  <r>
    <d v="2024-09-08T00:00:00"/>
    <s v="INV01391"/>
    <s v="Compressor"/>
    <n v="13"/>
    <n v="41356"/>
    <n v="537628"/>
    <s v="South"/>
    <s v="XYZ Pvt Ltd"/>
    <x v="8"/>
  </r>
  <r>
    <d v="2024-09-21T00:00:00"/>
    <s v="INV01405"/>
    <s v="Compressor"/>
    <n v="9"/>
    <n v="44603"/>
    <n v="401427"/>
    <s v="West"/>
    <s v="Prime Industries"/>
    <x v="8"/>
  </r>
  <r>
    <d v="2024-09-21T00:00:00"/>
    <s v="INV01409"/>
    <s v="Valve"/>
    <n v="26"/>
    <n v="22767"/>
    <n v="591942"/>
    <s v="West"/>
    <s v="XYZ Pvt Ltd"/>
    <x v="8"/>
  </r>
  <r>
    <d v="2024-09-24T00:00:00"/>
    <s v="INV01423"/>
    <s v="Motor"/>
    <n v="16"/>
    <n v="27130"/>
    <n v="434080"/>
    <s v="West"/>
    <s v="Prime Industries"/>
    <x v="8"/>
  </r>
  <r>
    <d v="2024-09-22T00:00:00"/>
    <s v="INV01445"/>
    <s v="Compressor"/>
    <n v="10"/>
    <n v="17521"/>
    <n v="175210"/>
    <s v="West"/>
    <s v="Global Corp"/>
    <x v="8"/>
  </r>
  <r>
    <d v="2024-09-03T00:00:00"/>
    <s v="INV01474"/>
    <s v="Motor"/>
    <n v="10"/>
    <n v="40715"/>
    <n v="407150"/>
    <s v="North"/>
    <s v="Prime Industries"/>
    <x v="8"/>
  </r>
  <r>
    <d v="2024-09-11T00:00:00"/>
    <s v="INV01478"/>
    <s v="Motor"/>
    <n v="18"/>
    <n v="15991"/>
    <n v="287838"/>
    <s v="East"/>
    <s v="Prime Industries"/>
    <x v="8"/>
  </r>
  <r>
    <d v="2024-09-23T00:00:00"/>
    <s v="INV01482"/>
    <s v="Generator"/>
    <n v="34"/>
    <n v="13966"/>
    <n v="474844"/>
    <s v="North"/>
    <s v="ABC Ltd"/>
    <x v="8"/>
  </r>
  <r>
    <d v="2024-09-08T00:00:00"/>
    <s v="INV01483"/>
    <s v="Valve"/>
    <n v="14"/>
    <n v="6940"/>
    <n v="97160"/>
    <s v="South"/>
    <s v="XYZ Pvt Ltd"/>
    <x v="8"/>
  </r>
  <r>
    <d v="2024-09-27T00:00:00"/>
    <s v="INV01484"/>
    <s v="Compressor"/>
    <n v="32"/>
    <n v="43709"/>
    <n v="1398688"/>
    <s v="East"/>
    <s v="Skyline Ltd"/>
    <x v="8"/>
  </r>
  <r>
    <d v="2024-09-08T00:00:00"/>
    <s v="INV01494"/>
    <s v="Generator"/>
    <n v="36"/>
    <n v="14540"/>
    <n v="523440"/>
    <s v="North"/>
    <s v="ABC Ltd"/>
    <x v="8"/>
  </r>
  <r>
    <d v="2024-10-12T00:00:00"/>
    <s v="INV00013"/>
    <s v="Compressor"/>
    <n v="33"/>
    <n v="22211"/>
    <n v="732963"/>
    <s v="East"/>
    <s v="ABC Ltd"/>
    <x v="9"/>
  </r>
  <r>
    <d v="2024-10-10T00:00:00"/>
    <s v="INV00031"/>
    <s v="Valve"/>
    <n v="29"/>
    <n v="41486"/>
    <n v="1203094"/>
    <s v="East"/>
    <s v="Global Corp"/>
    <x v="9"/>
  </r>
  <r>
    <d v="2024-10-31T00:00:00"/>
    <s v="INV00033"/>
    <s v="Valve"/>
    <n v="10"/>
    <n v="43467"/>
    <n v="434670"/>
    <s v="East"/>
    <s v="Skyline Ltd"/>
    <x v="9"/>
  </r>
  <r>
    <d v="2024-10-26T00:00:00"/>
    <s v="INV00037"/>
    <s v="Compressor"/>
    <n v="6"/>
    <n v="42297"/>
    <n v="253782"/>
    <s v="West"/>
    <s v="XYZ Pvt Ltd"/>
    <x v="9"/>
  </r>
  <r>
    <d v="2024-10-14T00:00:00"/>
    <s v="INV00046"/>
    <s v="Pump"/>
    <n v="18"/>
    <n v="33069"/>
    <n v="595242"/>
    <s v="South"/>
    <s v="Prime Industries"/>
    <x v="9"/>
  </r>
  <r>
    <d v="2024-10-19T00:00:00"/>
    <s v="INV00063"/>
    <s v="Generator"/>
    <n v="37"/>
    <n v="17262"/>
    <n v="638694"/>
    <s v="North"/>
    <s v="XYZ Pvt Ltd"/>
    <x v="9"/>
  </r>
  <r>
    <d v="2024-10-02T00:00:00"/>
    <s v="INV00103"/>
    <s v="Generator"/>
    <n v="32"/>
    <n v="35266"/>
    <n v="1128512"/>
    <s v="South"/>
    <s v="Skyline Ltd"/>
    <x v="9"/>
  </r>
  <r>
    <d v="2024-10-30T00:00:00"/>
    <s v="INV00112"/>
    <s v="Pump"/>
    <n v="13"/>
    <n v="43667"/>
    <n v="567671"/>
    <s v="West"/>
    <s v="Global Corp"/>
    <x v="9"/>
  </r>
  <r>
    <d v="2024-10-10T00:00:00"/>
    <s v="INV00118"/>
    <s v="Pump"/>
    <n v="5"/>
    <n v="14074"/>
    <n v="70370"/>
    <s v="North"/>
    <s v="Global Corp"/>
    <x v="9"/>
  </r>
  <r>
    <d v="2024-10-31T00:00:00"/>
    <s v="INV00121"/>
    <s v="Pump"/>
    <n v="27"/>
    <n v="12062"/>
    <n v="325674"/>
    <s v="North"/>
    <s v="XYZ Pvt Ltd"/>
    <x v="9"/>
  </r>
  <r>
    <d v="2024-10-06T00:00:00"/>
    <s v="INV00125"/>
    <s v="Valve"/>
    <n v="28"/>
    <n v="17731"/>
    <n v="496468"/>
    <s v="East"/>
    <s v="ABC Ltd"/>
    <x v="9"/>
  </r>
  <r>
    <d v="2024-10-13T00:00:00"/>
    <s v="INV00135"/>
    <s v="Motor"/>
    <n v="34"/>
    <n v="15034"/>
    <n v="511156"/>
    <s v="East"/>
    <s v="ABC Ltd"/>
    <x v="9"/>
  </r>
  <r>
    <d v="2024-10-10T00:00:00"/>
    <s v="INV00140"/>
    <s v="Generator"/>
    <n v="24"/>
    <n v="44358"/>
    <n v="1064592"/>
    <s v="West"/>
    <s v="Skyline Ltd"/>
    <x v="9"/>
  </r>
  <r>
    <d v="2024-10-25T00:00:00"/>
    <s v="INV00149"/>
    <s v="Motor"/>
    <n v="32"/>
    <n v="36447"/>
    <n v="1166304"/>
    <s v="South"/>
    <s v="Global Corp"/>
    <x v="9"/>
  </r>
  <r>
    <d v="2024-10-11T00:00:00"/>
    <s v="INV00150"/>
    <s v="Motor"/>
    <n v="11"/>
    <n v="33015"/>
    <n v="363165"/>
    <s v="South"/>
    <s v="Prime Industries"/>
    <x v="9"/>
  </r>
  <r>
    <d v="2024-10-10T00:00:00"/>
    <s v="INV00152"/>
    <s v="Motor"/>
    <n v="4"/>
    <n v="43700"/>
    <n v="174800"/>
    <s v="South"/>
    <s v="Global Corp"/>
    <x v="9"/>
  </r>
  <r>
    <d v="2024-10-31T00:00:00"/>
    <s v="INV00154"/>
    <s v="Valve"/>
    <n v="36"/>
    <n v="44152"/>
    <n v="1589472"/>
    <s v="East"/>
    <s v="Prime Industries"/>
    <x v="9"/>
  </r>
  <r>
    <d v="2024-10-23T00:00:00"/>
    <s v="INV00162"/>
    <s v="Pump"/>
    <n v="36"/>
    <n v="41203"/>
    <n v="1483308"/>
    <s v="West"/>
    <s v="Skyline Ltd"/>
    <x v="9"/>
  </r>
  <r>
    <d v="2024-10-27T00:00:00"/>
    <s v="INV00163"/>
    <s v="Motor"/>
    <n v="38"/>
    <n v="23536"/>
    <n v="894368"/>
    <s v="North"/>
    <s v="Prime Industries"/>
    <x v="9"/>
  </r>
  <r>
    <d v="2024-10-09T00:00:00"/>
    <s v="INV00165"/>
    <s v="Generator"/>
    <n v="31"/>
    <n v="43984"/>
    <n v="1363504"/>
    <s v="North"/>
    <s v="Global Corp"/>
    <x v="9"/>
  </r>
  <r>
    <d v="2024-10-28T00:00:00"/>
    <s v="INV00179"/>
    <s v="Valve"/>
    <n v="14"/>
    <n v="12025"/>
    <n v="168350"/>
    <s v="South"/>
    <s v="XYZ Pvt Ltd"/>
    <x v="9"/>
  </r>
  <r>
    <d v="2024-10-27T00:00:00"/>
    <s v="INV00203"/>
    <s v="Valve"/>
    <n v="18"/>
    <n v="7464"/>
    <n v="134352"/>
    <s v="West"/>
    <s v="Skyline Ltd"/>
    <x v="9"/>
  </r>
  <r>
    <d v="2024-10-25T00:00:00"/>
    <s v="INV00219"/>
    <s v="Valve"/>
    <n v="8"/>
    <n v="36237"/>
    <n v="289896"/>
    <s v="West"/>
    <s v="Prime Industries"/>
    <x v="9"/>
  </r>
  <r>
    <d v="2024-10-20T00:00:00"/>
    <s v="INV00227"/>
    <s v="Motor"/>
    <n v="35"/>
    <n v="10048"/>
    <n v="351680"/>
    <s v="North"/>
    <s v="ABC Ltd"/>
    <x v="9"/>
  </r>
  <r>
    <d v="2024-10-25T00:00:00"/>
    <s v="INV00258"/>
    <s v="Pump"/>
    <n v="35"/>
    <n v="14806"/>
    <n v="518210"/>
    <s v="East"/>
    <s v="Global Corp"/>
    <x v="9"/>
  </r>
  <r>
    <d v="2024-10-24T00:00:00"/>
    <s v="INV00263"/>
    <s v="Motor"/>
    <n v="8"/>
    <n v="20009"/>
    <n v="160072"/>
    <s v="West"/>
    <s v="ABC Ltd"/>
    <x v="9"/>
  </r>
  <r>
    <d v="2024-10-10T00:00:00"/>
    <s v="INV00272"/>
    <s v="Valve"/>
    <n v="7"/>
    <n v="7781"/>
    <n v="54467"/>
    <s v="South"/>
    <s v="ABC Ltd"/>
    <x v="9"/>
  </r>
  <r>
    <d v="2024-10-12T00:00:00"/>
    <s v="INV00278"/>
    <s v="Generator"/>
    <n v="11"/>
    <n v="19201"/>
    <n v="211211"/>
    <s v="West"/>
    <s v="Global Corp"/>
    <x v="9"/>
  </r>
  <r>
    <d v="2024-10-13T00:00:00"/>
    <s v="INV00283"/>
    <s v="Pump"/>
    <n v="2"/>
    <n v="30413"/>
    <n v="60826"/>
    <s v="East"/>
    <s v="ABC Ltd"/>
    <x v="9"/>
  </r>
  <r>
    <d v="2024-10-08T00:00:00"/>
    <s v="INV00288"/>
    <s v="Compressor"/>
    <n v="4"/>
    <n v="26100"/>
    <n v="104400"/>
    <s v="South"/>
    <s v="Global Corp"/>
    <x v="9"/>
  </r>
  <r>
    <d v="2024-10-19T00:00:00"/>
    <s v="INV00291"/>
    <s v="Pump"/>
    <n v="9"/>
    <n v="41794"/>
    <n v="376146"/>
    <s v="East"/>
    <s v="Prime Industries"/>
    <x v="9"/>
  </r>
  <r>
    <d v="2024-10-30T00:00:00"/>
    <s v="INV00300"/>
    <s v="Pump"/>
    <n v="10"/>
    <n v="15650"/>
    <n v="156500"/>
    <s v="South"/>
    <s v="XYZ Pvt Ltd"/>
    <x v="9"/>
  </r>
  <r>
    <d v="2024-10-20T00:00:00"/>
    <s v="INV00316"/>
    <s v="Compressor"/>
    <n v="6"/>
    <n v="43147"/>
    <n v="258882"/>
    <s v="West"/>
    <s v="Global Corp"/>
    <x v="9"/>
  </r>
  <r>
    <d v="2024-10-24T00:00:00"/>
    <s v="INV00323"/>
    <s v="Generator"/>
    <n v="28"/>
    <n v="19949"/>
    <n v="558572"/>
    <s v="East"/>
    <s v="XYZ Pvt Ltd"/>
    <x v="9"/>
  </r>
  <r>
    <d v="2024-10-15T00:00:00"/>
    <s v="INV00353"/>
    <s v="Motor"/>
    <n v="17"/>
    <n v="38320"/>
    <n v="651440"/>
    <s v="East"/>
    <s v="Prime Industries"/>
    <x v="9"/>
  </r>
  <r>
    <d v="2024-10-15T00:00:00"/>
    <s v="INV00367"/>
    <s v="Motor"/>
    <n v="40"/>
    <n v="20833"/>
    <n v="833320"/>
    <s v="North"/>
    <s v="ABC Ltd"/>
    <x v="9"/>
  </r>
  <r>
    <d v="2024-10-07T00:00:00"/>
    <s v="INV00374"/>
    <s v="Pump"/>
    <n v="6"/>
    <n v="19861"/>
    <n v="119166"/>
    <s v="North"/>
    <s v="XYZ Pvt Ltd"/>
    <x v="9"/>
  </r>
  <r>
    <d v="2024-10-31T00:00:00"/>
    <s v="INV00413"/>
    <s v="Compressor"/>
    <n v="21"/>
    <n v="29183"/>
    <n v="612843"/>
    <s v="North"/>
    <s v="Prime Industries"/>
    <x v="9"/>
  </r>
  <r>
    <d v="2024-10-08T00:00:00"/>
    <s v="INV00414"/>
    <s v="Generator"/>
    <n v="28"/>
    <n v="20593"/>
    <n v="576604"/>
    <s v="East"/>
    <s v="XYZ Pvt Ltd"/>
    <x v="9"/>
  </r>
  <r>
    <d v="2024-10-31T00:00:00"/>
    <s v="INV00428"/>
    <s v="Compressor"/>
    <n v="16"/>
    <n v="7307"/>
    <n v="116912"/>
    <s v="South"/>
    <s v="Prime Industries"/>
    <x v="9"/>
  </r>
  <r>
    <d v="2024-10-02T00:00:00"/>
    <s v="INV00430"/>
    <s v="Valve"/>
    <n v="4"/>
    <n v="28084"/>
    <n v="112336"/>
    <s v="East"/>
    <s v="XYZ Pvt Ltd"/>
    <x v="9"/>
  </r>
  <r>
    <d v="2024-10-14T00:00:00"/>
    <s v="INV00468"/>
    <s v="Generator"/>
    <n v="19"/>
    <n v="23474"/>
    <n v="446006"/>
    <s v="South"/>
    <s v="Skyline Ltd"/>
    <x v="9"/>
  </r>
  <r>
    <d v="2024-10-02T00:00:00"/>
    <s v="INV00473"/>
    <s v="Pump"/>
    <n v="4"/>
    <n v="28859"/>
    <n v="115436"/>
    <s v="South"/>
    <s v="XYZ Pvt Ltd"/>
    <x v="9"/>
  </r>
  <r>
    <d v="2024-10-02T00:00:00"/>
    <s v="INV00474"/>
    <s v="Valve"/>
    <n v="34"/>
    <n v="21054"/>
    <n v="715836"/>
    <s v="South"/>
    <s v="Prime Industries"/>
    <x v="9"/>
  </r>
  <r>
    <d v="2024-10-16T00:00:00"/>
    <s v="INV00482"/>
    <s v="Pump"/>
    <n v="10"/>
    <n v="14220"/>
    <n v="142200"/>
    <s v="South"/>
    <s v="Global Corp"/>
    <x v="9"/>
  </r>
  <r>
    <d v="2024-10-03T00:00:00"/>
    <s v="INV00527"/>
    <s v="Pump"/>
    <n v="40"/>
    <n v="17008"/>
    <n v="680320"/>
    <s v="East"/>
    <s v="Prime Industries"/>
    <x v="9"/>
  </r>
  <r>
    <d v="2024-10-24T00:00:00"/>
    <s v="INV00533"/>
    <s v="Valve"/>
    <n v="36"/>
    <n v="34789"/>
    <n v="1252404"/>
    <s v="West"/>
    <s v="Global Corp"/>
    <x v="9"/>
  </r>
  <r>
    <d v="2024-10-03T00:00:00"/>
    <s v="INV00534"/>
    <s v="Pump"/>
    <n v="35"/>
    <n v="24261"/>
    <n v="849135"/>
    <s v="South"/>
    <s v="XYZ Pvt Ltd"/>
    <x v="9"/>
  </r>
  <r>
    <d v="2024-10-13T00:00:00"/>
    <s v="INV00539"/>
    <s v="Generator"/>
    <n v="39"/>
    <n v="33487"/>
    <n v="1305993"/>
    <s v="South"/>
    <s v="XYZ Pvt Ltd"/>
    <x v="9"/>
  </r>
  <r>
    <d v="2024-10-30T00:00:00"/>
    <s v="INV00557"/>
    <s v="Motor"/>
    <n v="31"/>
    <n v="36216"/>
    <n v="1122696"/>
    <s v="East"/>
    <s v="ABC Ltd"/>
    <x v="9"/>
  </r>
  <r>
    <d v="2024-10-28T00:00:00"/>
    <s v="INV00572"/>
    <s v="Compressor"/>
    <n v="39"/>
    <n v="27630"/>
    <n v="1077570"/>
    <s v="North"/>
    <s v="Skyline Ltd"/>
    <x v="9"/>
  </r>
  <r>
    <d v="2024-10-17T00:00:00"/>
    <s v="INV00574"/>
    <s v="Valve"/>
    <n v="34"/>
    <n v="9574"/>
    <n v="325516"/>
    <s v="East"/>
    <s v="Prime Industries"/>
    <x v="9"/>
  </r>
  <r>
    <d v="2024-10-03T00:00:00"/>
    <s v="INV00576"/>
    <s v="Generator"/>
    <n v="10"/>
    <n v="33288"/>
    <n v="332880"/>
    <s v="West"/>
    <s v="Skyline Ltd"/>
    <x v="9"/>
  </r>
  <r>
    <d v="2024-10-14T00:00:00"/>
    <s v="INV00581"/>
    <s v="Generator"/>
    <n v="1"/>
    <n v="42914"/>
    <n v="42914"/>
    <s v="South"/>
    <s v="ABC Ltd"/>
    <x v="9"/>
  </r>
  <r>
    <d v="2024-10-22T00:00:00"/>
    <s v="INV00583"/>
    <s v="Compressor"/>
    <n v="23"/>
    <n v="21782"/>
    <n v="500986"/>
    <s v="South"/>
    <s v="XYZ Pvt Ltd"/>
    <x v="9"/>
  </r>
  <r>
    <d v="2024-10-04T00:00:00"/>
    <s v="INV00587"/>
    <s v="Pump"/>
    <n v="2"/>
    <n v="38835"/>
    <n v="77670"/>
    <s v="South"/>
    <s v="ABC Ltd"/>
    <x v="9"/>
  </r>
  <r>
    <d v="2024-10-11T00:00:00"/>
    <s v="INV00597"/>
    <s v="Compressor"/>
    <n v="16"/>
    <n v="20484"/>
    <n v="327744"/>
    <s v="West"/>
    <s v="Skyline Ltd"/>
    <x v="9"/>
  </r>
  <r>
    <d v="2024-10-21T00:00:00"/>
    <s v="INV00609"/>
    <s v="Pump"/>
    <n v="19"/>
    <n v="23571"/>
    <n v="447849"/>
    <s v="North"/>
    <s v="XYZ Pvt Ltd"/>
    <x v="9"/>
  </r>
  <r>
    <d v="2024-10-07T00:00:00"/>
    <s v="INV00612"/>
    <s v="Valve"/>
    <n v="2"/>
    <n v="9853"/>
    <n v="19706"/>
    <s v="North"/>
    <s v="Skyline Ltd"/>
    <x v="9"/>
  </r>
  <r>
    <d v="2024-10-25T00:00:00"/>
    <s v="INV00616"/>
    <s v="Generator"/>
    <n v="10"/>
    <n v="17049"/>
    <n v="170490"/>
    <s v="South"/>
    <s v="Prime Industries"/>
    <x v="9"/>
  </r>
  <r>
    <d v="2024-10-26T00:00:00"/>
    <s v="INV00619"/>
    <s v="Compressor"/>
    <n v="28"/>
    <n v="30700"/>
    <n v="859600"/>
    <s v="North"/>
    <s v="Prime Industries"/>
    <x v="9"/>
  </r>
  <r>
    <d v="2024-10-24T00:00:00"/>
    <s v="INV00629"/>
    <s v="Compressor"/>
    <n v="30"/>
    <n v="22404"/>
    <n v="672120"/>
    <s v="North"/>
    <s v="Global Corp"/>
    <x v="9"/>
  </r>
  <r>
    <d v="2024-10-28T00:00:00"/>
    <s v="INV00668"/>
    <s v="Pump"/>
    <n v="8"/>
    <n v="6442"/>
    <n v="51536"/>
    <s v="South"/>
    <s v="ABC Ltd"/>
    <x v="9"/>
  </r>
  <r>
    <d v="2024-10-24T00:00:00"/>
    <s v="INV00688"/>
    <s v="Generator"/>
    <n v="19"/>
    <n v="10665"/>
    <n v="202635"/>
    <s v="North"/>
    <s v="ABC Ltd"/>
    <x v="9"/>
  </r>
  <r>
    <d v="2024-10-31T00:00:00"/>
    <s v="INV00697"/>
    <s v="Compressor"/>
    <n v="32"/>
    <n v="8036"/>
    <n v="257152"/>
    <s v="West"/>
    <s v="ABC Ltd"/>
    <x v="9"/>
  </r>
  <r>
    <d v="2024-10-15T00:00:00"/>
    <s v="INV00717"/>
    <s v="Motor"/>
    <n v="31"/>
    <n v="35066"/>
    <n v="1087046"/>
    <s v="South"/>
    <s v="ABC Ltd"/>
    <x v="9"/>
  </r>
  <r>
    <d v="2024-10-04T00:00:00"/>
    <s v="INV00718"/>
    <s v="Valve"/>
    <n v="1"/>
    <n v="42587"/>
    <n v="42587"/>
    <s v="South"/>
    <s v="Global Corp"/>
    <x v="9"/>
  </r>
  <r>
    <d v="2024-10-14T00:00:00"/>
    <s v="INV00725"/>
    <s v="Compressor"/>
    <n v="11"/>
    <n v="25030"/>
    <n v="275330"/>
    <s v="South"/>
    <s v="XYZ Pvt Ltd"/>
    <x v="9"/>
  </r>
  <r>
    <d v="2024-10-18T00:00:00"/>
    <s v="INV00760"/>
    <s v="Valve"/>
    <n v="34"/>
    <n v="9200"/>
    <n v="312800"/>
    <s v="East"/>
    <s v="Skyline Ltd"/>
    <x v="9"/>
  </r>
  <r>
    <d v="2024-10-12T00:00:00"/>
    <s v="INV00786"/>
    <s v="Valve"/>
    <n v="7"/>
    <n v="26474"/>
    <n v="185318"/>
    <s v="West"/>
    <s v="Prime Industries"/>
    <x v="9"/>
  </r>
  <r>
    <d v="2024-10-01T00:00:00"/>
    <s v="INV00802"/>
    <s v="Pump"/>
    <n v="39"/>
    <n v="20344"/>
    <n v="793416"/>
    <s v="West"/>
    <s v="Global Corp"/>
    <x v="9"/>
  </r>
  <r>
    <d v="2024-10-07T00:00:00"/>
    <s v="INV00812"/>
    <s v="Motor"/>
    <n v="6"/>
    <n v="11373"/>
    <n v="68238"/>
    <s v="East"/>
    <s v="XYZ Pvt Ltd"/>
    <x v="9"/>
  </r>
  <r>
    <d v="2024-10-05T00:00:00"/>
    <s v="INV00827"/>
    <s v="Generator"/>
    <n v="9"/>
    <n v="40628"/>
    <n v="365652"/>
    <s v="South"/>
    <s v="ABC Ltd"/>
    <x v="9"/>
  </r>
  <r>
    <d v="2024-10-17T00:00:00"/>
    <s v="INV00844"/>
    <s v="Compressor"/>
    <n v="23"/>
    <n v="12910"/>
    <n v="296930"/>
    <s v="West"/>
    <s v="ABC Ltd"/>
    <x v="9"/>
  </r>
  <r>
    <d v="2024-10-15T00:00:00"/>
    <s v="INV00866"/>
    <s v="Compressor"/>
    <n v="5"/>
    <n v="24286"/>
    <n v="121430"/>
    <s v="North"/>
    <s v="ABC Ltd"/>
    <x v="9"/>
  </r>
  <r>
    <d v="2024-10-18T00:00:00"/>
    <s v="INV00880"/>
    <s v="Compressor"/>
    <n v="40"/>
    <n v="29821"/>
    <n v="1192840"/>
    <s v="South"/>
    <s v="Prime Industries"/>
    <x v="9"/>
  </r>
  <r>
    <d v="2024-10-22T00:00:00"/>
    <s v="INV00881"/>
    <s v="Valve"/>
    <n v="1"/>
    <n v="16417"/>
    <n v="16417"/>
    <s v="East"/>
    <s v="Skyline Ltd"/>
    <x v="9"/>
  </r>
  <r>
    <d v="2024-10-19T00:00:00"/>
    <s v="INV00886"/>
    <s v="Motor"/>
    <n v="26"/>
    <n v="19228"/>
    <n v="499928"/>
    <s v="South"/>
    <s v="Prime Industries"/>
    <x v="9"/>
  </r>
  <r>
    <d v="2024-10-16T00:00:00"/>
    <s v="INV00887"/>
    <s v="Pump"/>
    <n v="27"/>
    <n v="9796"/>
    <n v="264492"/>
    <s v="North"/>
    <s v="XYZ Pvt Ltd"/>
    <x v="9"/>
  </r>
  <r>
    <d v="2024-10-03T00:00:00"/>
    <s v="INV00889"/>
    <s v="Motor"/>
    <n v="33"/>
    <n v="36071"/>
    <n v="1190343"/>
    <s v="South"/>
    <s v="Global Corp"/>
    <x v="9"/>
  </r>
  <r>
    <d v="2024-10-12T00:00:00"/>
    <s v="INV00894"/>
    <s v="Valve"/>
    <n v="36"/>
    <n v="40286"/>
    <n v="1450296"/>
    <s v="West"/>
    <s v="XYZ Pvt Ltd"/>
    <x v="9"/>
  </r>
  <r>
    <d v="2024-10-29T00:00:00"/>
    <s v="INV00898"/>
    <s v="Motor"/>
    <n v="40"/>
    <n v="41372"/>
    <n v="1654880"/>
    <s v="North"/>
    <s v="Prime Industries"/>
    <x v="9"/>
  </r>
  <r>
    <d v="2024-10-30T00:00:00"/>
    <s v="INV00918"/>
    <s v="Pump"/>
    <n v="12"/>
    <n v="21426"/>
    <n v="257112"/>
    <s v="North"/>
    <s v="XYZ Pvt Ltd"/>
    <x v="9"/>
  </r>
  <r>
    <d v="2024-10-19T00:00:00"/>
    <s v="INV00925"/>
    <s v="Valve"/>
    <n v="10"/>
    <n v="5166"/>
    <n v="51660"/>
    <s v="North"/>
    <s v="Global Corp"/>
    <x v="9"/>
  </r>
  <r>
    <d v="2024-10-18T00:00:00"/>
    <s v="INV00931"/>
    <s v="Valve"/>
    <n v="17"/>
    <n v="34500"/>
    <n v="586500"/>
    <s v="South"/>
    <s v="Skyline Ltd"/>
    <x v="9"/>
  </r>
  <r>
    <d v="2024-10-16T00:00:00"/>
    <s v="INV00958"/>
    <s v="Compressor"/>
    <n v="35"/>
    <n v="34484"/>
    <n v="1206940"/>
    <s v="East"/>
    <s v="Global Corp"/>
    <x v="9"/>
  </r>
  <r>
    <d v="2024-10-26T00:00:00"/>
    <s v="INV00964"/>
    <s v="Valve"/>
    <n v="6"/>
    <n v="31134"/>
    <n v="186804"/>
    <s v="East"/>
    <s v="Global Corp"/>
    <x v="9"/>
  </r>
  <r>
    <d v="2024-10-10T00:00:00"/>
    <s v="INV00966"/>
    <s v="Pump"/>
    <n v="28"/>
    <n v="19043"/>
    <n v="533204"/>
    <s v="South"/>
    <s v="Skyline Ltd"/>
    <x v="9"/>
  </r>
  <r>
    <d v="2024-10-06T00:00:00"/>
    <s v="INV00968"/>
    <s v="Valve"/>
    <n v="14"/>
    <n v="14695"/>
    <n v="205730"/>
    <s v="South"/>
    <s v="ABC Ltd"/>
    <x v="9"/>
  </r>
  <r>
    <d v="2024-10-31T00:00:00"/>
    <s v="INV00974"/>
    <s v="Valve"/>
    <n v="34"/>
    <n v="15204"/>
    <n v="516936"/>
    <s v="North"/>
    <s v="Skyline Ltd"/>
    <x v="9"/>
  </r>
  <r>
    <d v="2024-10-06T00:00:00"/>
    <s v="INV00976"/>
    <s v="Compressor"/>
    <n v="29"/>
    <n v="5009"/>
    <n v="145261"/>
    <s v="West"/>
    <s v="XYZ Pvt Ltd"/>
    <x v="9"/>
  </r>
  <r>
    <d v="2024-10-06T00:00:00"/>
    <s v="INV00980"/>
    <s v="Motor"/>
    <n v="2"/>
    <n v="36292"/>
    <n v="72584"/>
    <s v="South"/>
    <s v="XYZ Pvt Ltd"/>
    <x v="9"/>
  </r>
  <r>
    <d v="2024-10-26T00:00:00"/>
    <s v="INV00998"/>
    <s v="Valve"/>
    <n v="20"/>
    <n v="19634"/>
    <n v="392680"/>
    <s v="West"/>
    <s v="Skyline Ltd"/>
    <x v="9"/>
  </r>
  <r>
    <d v="2024-10-27T00:00:00"/>
    <s v="INV01002"/>
    <s v="Compressor"/>
    <n v="34"/>
    <n v="42444"/>
    <n v="1443096"/>
    <s v="North"/>
    <s v="XYZ Pvt Ltd"/>
    <x v="9"/>
  </r>
  <r>
    <d v="2024-10-24T00:00:00"/>
    <s v="INV01003"/>
    <s v="Pump"/>
    <n v="29"/>
    <n v="33097"/>
    <n v="959813"/>
    <s v="North"/>
    <s v="Global Corp"/>
    <x v="9"/>
  </r>
  <r>
    <d v="2024-10-04T00:00:00"/>
    <s v="INV01014"/>
    <s v="Motor"/>
    <n v="8"/>
    <n v="22893"/>
    <n v="183144"/>
    <s v="West"/>
    <s v="Skyline Ltd"/>
    <x v="9"/>
  </r>
  <r>
    <d v="2024-10-30T00:00:00"/>
    <s v="INV01028"/>
    <s v="Valve"/>
    <n v="12"/>
    <n v="8895"/>
    <n v="106740"/>
    <s v="East"/>
    <s v="XYZ Pvt Ltd"/>
    <x v="9"/>
  </r>
  <r>
    <d v="2024-10-17T00:00:00"/>
    <s v="INV01041"/>
    <s v="Compressor"/>
    <n v="31"/>
    <n v="33830"/>
    <n v="1048730"/>
    <s v="North"/>
    <s v="ABC Ltd"/>
    <x v="9"/>
  </r>
  <r>
    <d v="2024-10-21T00:00:00"/>
    <s v="INV01049"/>
    <s v="Generator"/>
    <n v="12"/>
    <n v="37822"/>
    <n v="453864"/>
    <s v="East"/>
    <s v="ABC Ltd"/>
    <x v="9"/>
  </r>
  <r>
    <d v="2024-10-29T00:00:00"/>
    <s v="INV01060"/>
    <s v="Valve"/>
    <n v="25"/>
    <n v="5533"/>
    <n v="138325"/>
    <s v="East"/>
    <s v="Global Corp"/>
    <x v="9"/>
  </r>
  <r>
    <d v="2024-10-24T00:00:00"/>
    <s v="INV01078"/>
    <s v="Pump"/>
    <n v="33"/>
    <n v="17680"/>
    <n v="583440"/>
    <s v="North"/>
    <s v="Skyline Ltd"/>
    <x v="9"/>
  </r>
  <r>
    <d v="2024-10-18T00:00:00"/>
    <s v="INV01101"/>
    <s v="Generator"/>
    <n v="40"/>
    <n v="28522"/>
    <n v="1140880"/>
    <s v="West"/>
    <s v="Global Corp"/>
    <x v="9"/>
  </r>
  <r>
    <d v="2024-10-14T00:00:00"/>
    <s v="INV01105"/>
    <s v="Generator"/>
    <n v="36"/>
    <n v="15433"/>
    <n v="555588"/>
    <s v="East"/>
    <s v="Global Corp"/>
    <x v="9"/>
  </r>
  <r>
    <d v="2024-10-11T00:00:00"/>
    <s v="INV01144"/>
    <s v="Pump"/>
    <n v="10"/>
    <n v="5493"/>
    <n v="54930"/>
    <s v="South"/>
    <s v="XYZ Pvt Ltd"/>
    <x v="9"/>
  </r>
  <r>
    <d v="2024-10-14T00:00:00"/>
    <s v="INV01171"/>
    <s v="Generator"/>
    <n v="38"/>
    <n v="21352"/>
    <n v="811376"/>
    <s v="West"/>
    <s v="XYZ Pvt Ltd"/>
    <x v="9"/>
  </r>
  <r>
    <d v="2024-10-20T00:00:00"/>
    <s v="INV01179"/>
    <s v="Valve"/>
    <n v="33"/>
    <n v="9160"/>
    <n v="302280"/>
    <s v="West"/>
    <s v="Prime Industries"/>
    <x v="9"/>
  </r>
  <r>
    <d v="2024-10-09T00:00:00"/>
    <s v="INV01209"/>
    <s v="Generator"/>
    <n v="16"/>
    <n v="13825"/>
    <n v="221200"/>
    <s v="North"/>
    <s v="Skyline Ltd"/>
    <x v="9"/>
  </r>
  <r>
    <d v="2024-10-07T00:00:00"/>
    <s v="INV01220"/>
    <s v="Generator"/>
    <n v="34"/>
    <n v="14501"/>
    <n v="493034"/>
    <s v="West"/>
    <s v="Skyline Ltd"/>
    <x v="9"/>
  </r>
  <r>
    <d v="2024-10-28T00:00:00"/>
    <s v="INV01262"/>
    <s v="Compressor"/>
    <n v="3"/>
    <n v="30969"/>
    <n v="92907"/>
    <s v="West"/>
    <s v="Skyline Ltd"/>
    <x v="9"/>
  </r>
  <r>
    <d v="2024-10-14T00:00:00"/>
    <s v="INV01284"/>
    <s v="Motor"/>
    <n v="12"/>
    <n v="17460"/>
    <n v="209520"/>
    <s v="South"/>
    <s v="ABC Ltd"/>
    <x v="9"/>
  </r>
  <r>
    <d v="2024-10-28T00:00:00"/>
    <s v="INV01300"/>
    <s v="Pump"/>
    <n v="21"/>
    <n v="18958"/>
    <n v="398118"/>
    <s v="East"/>
    <s v="XYZ Pvt Ltd"/>
    <x v="9"/>
  </r>
  <r>
    <d v="2024-10-09T00:00:00"/>
    <s v="INV01306"/>
    <s v="Compressor"/>
    <n v="4"/>
    <n v="30705"/>
    <n v="122820"/>
    <s v="West"/>
    <s v="ABC Ltd"/>
    <x v="9"/>
  </r>
  <r>
    <d v="2024-10-01T00:00:00"/>
    <s v="INV01326"/>
    <s v="Valve"/>
    <n v="14"/>
    <n v="31982"/>
    <n v="447748"/>
    <s v="North"/>
    <s v="Prime Industries"/>
    <x v="9"/>
  </r>
  <r>
    <d v="2024-10-28T00:00:00"/>
    <s v="INV01338"/>
    <s v="Valve"/>
    <n v="23"/>
    <n v="19564"/>
    <n v="449972"/>
    <s v="South"/>
    <s v="Global Corp"/>
    <x v="9"/>
  </r>
  <r>
    <d v="2024-10-31T00:00:00"/>
    <s v="INV01352"/>
    <s v="Pump"/>
    <n v="2"/>
    <n v="13562"/>
    <n v="27124"/>
    <s v="West"/>
    <s v="Global Corp"/>
    <x v="9"/>
  </r>
  <r>
    <d v="2024-10-03T00:00:00"/>
    <s v="INV01387"/>
    <s v="Motor"/>
    <n v="28"/>
    <n v="5338"/>
    <n v="149464"/>
    <s v="East"/>
    <s v="XYZ Pvt Ltd"/>
    <x v="9"/>
  </r>
  <r>
    <d v="2024-10-21T00:00:00"/>
    <s v="INV01452"/>
    <s v="Motor"/>
    <n v="32"/>
    <n v="44793"/>
    <n v="1433376"/>
    <s v="South"/>
    <s v="Prime Industries"/>
    <x v="9"/>
  </r>
  <r>
    <d v="2024-10-15T00:00:00"/>
    <s v="INV01462"/>
    <s v="Compressor"/>
    <n v="23"/>
    <n v="16820"/>
    <n v="386860"/>
    <s v="East"/>
    <s v="Prime Industries"/>
    <x v="9"/>
  </r>
  <r>
    <d v="2024-10-12T00:00:00"/>
    <s v="INV01469"/>
    <s v="Compressor"/>
    <n v="6"/>
    <n v="32997"/>
    <n v="197982"/>
    <s v="East"/>
    <s v="Global Corp"/>
    <x v="9"/>
  </r>
  <r>
    <d v="2024-10-15T00:00:00"/>
    <s v="INV01473"/>
    <s v="Compressor"/>
    <n v="9"/>
    <n v="17400"/>
    <n v="156600"/>
    <s v="West"/>
    <s v="Skyline Ltd"/>
    <x v="9"/>
  </r>
  <r>
    <d v="2024-10-18T00:00:00"/>
    <s v="INV01489"/>
    <s v="Valve"/>
    <n v="21"/>
    <n v="25113"/>
    <n v="527373"/>
    <s v="North"/>
    <s v="Prime Industries"/>
    <x v="9"/>
  </r>
  <r>
    <d v="2024-10-15T00:00:00"/>
    <s v="INV01492"/>
    <s v="Compressor"/>
    <n v="37"/>
    <n v="31866"/>
    <n v="1179042"/>
    <s v="North"/>
    <s v="Prime Industries"/>
    <x v="9"/>
  </r>
  <r>
    <d v="2024-10-20T00:00:00"/>
    <s v="INV01495"/>
    <s v="Motor"/>
    <n v="33"/>
    <n v="25078"/>
    <n v="827574"/>
    <s v="South"/>
    <s v="Prime Industries"/>
    <x v="9"/>
  </r>
  <r>
    <d v="2024-10-12T00:00:00"/>
    <s v="INV01498"/>
    <s v="Motor"/>
    <n v="27"/>
    <n v="18179"/>
    <n v="490833"/>
    <s v="South"/>
    <s v="ABC Ltd"/>
    <x v="9"/>
  </r>
  <r>
    <d v="2024-11-23T00:00:00"/>
    <s v="INV00006"/>
    <s v="Motor"/>
    <n v="11"/>
    <n v="17392"/>
    <n v="191312"/>
    <s v="North"/>
    <s v="Skyline Ltd"/>
    <x v="10"/>
  </r>
  <r>
    <d v="2024-11-12T00:00:00"/>
    <s v="INV00014"/>
    <s v="Valve"/>
    <n v="30"/>
    <n v="10872"/>
    <n v="326160"/>
    <s v="West"/>
    <s v="Prime Industries"/>
    <x v="10"/>
  </r>
  <r>
    <d v="2024-11-03T00:00:00"/>
    <s v="INV00055"/>
    <s v="Compressor"/>
    <n v="31"/>
    <n v="22908"/>
    <n v="710148"/>
    <s v="West"/>
    <s v="Skyline Ltd"/>
    <x v="10"/>
  </r>
  <r>
    <d v="2024-11-10T00:00:00"/>
    <s v="INV00067"/>
    <s v="Compressor"/>
    <n v="26"/>
    <n v="7945"/>
    <n v="206570"/>
    <s v="East"/>
    <s v="Global Corp"/>
    <x v="10"/>
  </r>
  <r>
    <d v="2024-11-11T00:00:00"/>
    <s v="INV00070"/>
    <s v="Valve"/>
    <n v="12"/>
    <n v="15276"/>
    <n v="183312"/>
    <s v="South"/>
    <s v="Global Corp"/>
    <x v="10"/>
  </r>
  <r>
    <d v="2024-11-14T00:00:00"/>
    <s v="INV00083"/>
    <s v="Motor"/>
    <n v="33"/>
    <n v="16868"/>
    <n v="556644"/>
    <s v="East"/>
    <s v="Global Corp"/>
    <x v="10"/>
  </r>
  <r>
    <d v="2024-11-02T00:00:00"/>
    <s v="INV00094"/>
    <s v="Valve"/>
    <n v="10"/>
    <n v="30150"/>
    <n v="301500"/>
    <s v="East"/>
    <s v="Global Corp"/>
    <x v="10"/>
  </r>
  <r>
    <d v="2024-11-22T00:00:00"/>
    <s v="INV00136"/>
    <s v="Pump"/>
    <n v="29"/>
    <n v="11415"/>
    <n v="331035"/>
    <s v="West"/>
    <s v="ABC Ltd"/>
    <x v="10"/>
  </r>
  <r>
    <d v="2024-11-03T00:00:00"/>
    <s v="INV00141"/>
    <s v="Motor"/>
    <n v="9"/>
    <n v="30936"/>
    <n v="278424"/>
    <s v="South"/>
    <s v="ABC Ltd"/>
    <x v="10"/>
  </r>
  <r>
    <d v="2024-11-15T00:00:00"/>
    <s v="INV00172"/>
    <s v="Compressor"/>
    <n v="29"/>
    <n v="32353"/>
    <n v="938237"/>
    <s v="East"/>
    <s v="Skyline Ltd"/>
    <x v="10"/>
  </r>
  <r>
    <d v="2024-11-14T00:00:00"/>
    <s v="INV00174"/>
    <s v="Compressor"/>
    <n v="27"/>
    <n v="39672"/>
    <n v="1071144"/>
    <s v="East"/>
    <s v="XYZ Pvt Ltd"/>
    <x v="10"/>
  </r>
  <r>
    <d v="2024-11-25T00:00:00"/>
    <s v="INV00183"/>
    <s v="Motor"/>
    <n v="4"/>
    <n v="25688"/>
    <n v="102752"/>
    <s v="West"/>
    <s v="XYZ Pvt Ltd"/>
    <x v="10"/>
  </r>
  <r>
    <d v="2024-11-08T00:00:00"/>
    <s v="INV00194"/>
    <s v="Compressor"/>
    <n v="12"/>
    <n v="5771"/>
    <n v="69252"/>
    <s v="South"/>
    <s v="XYZ Pvt Ltd"/>
    <x v="10"/>
  </r>
  <r>
    <d v="2024-11-07T00:00:00"/>
    <s v="INV00232"/>
    <s v="Valve"/>
    <n v="15"/>
    <n v="36667"/>
    <n v="550005"/>
    <s v="South"/>
    <s v="ABC Ltd"/>
    <x v="10"/>
  </r>
  <r>
    <d v="2024-11-10T00:00:00"/>
    <s v="INV00240"/>
    <s v="Valve"/>
    <n v="38"/>
    <n v="19820"/>
    <n v="753160"/>
    <s v="West"/>
    <s v="Skyline Ltd"/>
    <x v="10"/>
  </r>
  <r>
    <d v="2024-11-12T00:00:00"/>
    <s v="INV00252"/>
    <s v="Generator"/>
    <n v="25"/>
    <n v="12835"/>
    <n v="320875"/>
    <s v="West"/>
    <s v="Skyline Ltd"/>
    <x v="10"/>
  </r>
  <r>
    <d v="2024-11-27T00:00:00"/>
    <s v="INV00274"/>
    <s v="Compressor"/>
    <n v="31"/>
    <n v="10323"/>
    <n v="320013"/>
    <s v="South"/>
    <s v="ABC Ltd"/>
    <x v="10"/>
  </r>
  <r>
    <d v="2024-11-27T00:00:00"/>
    <s v="INV00290"/>
    <s v="Pump"/>
    <n v="3"/>
    <n v="30102"/>
    <n v="90306"/>
    <s v="West"/>
    <s v="ABC Ltd"/>
    <x v="10"/>
  </r>
  <r>
    <d v="2024-11-10T00:00:00"/>
    <s v="INV00298"/>
    <s v="Pump"/>
    <n v="30"/>
    <n v="35333"/>
    <n v="1059990"/>
    <s v="East"/>
    <s v="Skyline Ltd"/>
    <x v="10"/>
  </r>
  <r>
    <d v="2024-11-14T00:00:00"/>
    <s v="INV00302"/>
    <s v="Pump"/>
    <n v="32"/>
    <n v="18128"/>
    <n v="580096"/>
    <s v="East"/>
    <s v="XYZ Pvt Ltd"/>
    <x v="10"/>
  </r>
  <r>
    <d v="2024-11-03T00:00:00"/>
    <s v="INV00313"/>
    <s v="Valve"/>
    <n v="34"/>
    <n v="22931"/>
    <n v="779654"/>
    <s v="West"/>
    <s v="Skyline Ltd"/>
    <x v="10"/>
  </r>
  <r>
    <d v="2024-11-03T00:00:00"/>
    <s v="INV00314"/>
    <s v="Motor"/>
    <n v="30"/>
    <n v="5967"/>
    <n v="179010"/>
    <s v="South"/>
    <s v="ABC Ltd"/>
    <x v="10"/>
  </r>
  <r>
    <d v="2024-11-03T00:00:00"/>
    <s v="INV00327"/>
    <s v="Valve"/>
    <n v="18"/>
    <n v="31492"/>
    <n v="566856"/>
    <s v="East"/>
    <s v="XYZ Pvt Ltd"/>
    <x v="10"/>
  </r>
  <r>
    <d v="2024-11-17T00:00:00"/>
    <s v="INV00340"/>
    <s v="Valve"/>
    <n v="4"/>
    <n v="24878"/>
    <n v="99512"/>
    <s v="West"/>
    <s v="Prime Industries"/>
    <x v="10"/>
  </r>
  <r>
    <d v="2024-11-09T00:00:00"/>
    <s v="INV00342"/>
    <s v="Motor"/>
    <n v="17"/>
    <n v="10396"/>
    <n v="176732"/>
    <s v="West"/>
    <s v="Prime Industries"/>
    <x v="10"/>
  </r>
  <r>
    <d v="2024-11-16T00:00:00"/>
    <s v="INV00375"/>
    <s v="Generator"/>
    <n v="14"/>
    <n v="13011"/>
    <n v="182154"/>
    <s v="East"/>
    <s v="ABC Ltd"/>
    <x v="10"/>
  </r>
  <r>
    <d v="2024-11-18T00:00:00"/>
    <s v="INV00377"/>
    <s v="Generator"/>
    <n v="35"/>
    <n v="10503"/>
    <n v="367605"/>
    <s v="North"/>
    <s v="XYZ Pvt Ltd"/>
    <x v="10"/>
  </r>
  <r>
    <d v="2024-11-19T00:00:00"/>
    <s v="INV00409"/>
    <s v="Valve"/>
    <n v="3"/>
    <n v="24680"/>
    <n v="74040"/>
    <s v="North"/>
    <s v="Skyline Ltd"/>
    <x v="10"/>
  </r>
  <r>
    <d v="2024-11-10T00:00:00"/>
    <s v="INV00410"/>
    <s v="Motor"/>
    <n v="13"/>
    <n v="24976"/>
    <n v="324688"/>
    <s v="East"/>
    <s v="ABC Ltd"/>
    <x v="10"/>
  </r>
  <r>
    <d v="2024-11-14T00:00:00"/>
    <s v="INV00418"/>
    <s v="Valve"/>
    <n v="16"/>
    <n v="7534"/>
    <n v="120544"/>
    <s v="East"/>
    <s v="Prime Industries"/>
    <x v="10"/>
  </r>
  <r>
    <d v="2024-11-16T00:00:00"/>
    <s v="INV00423"/>
    <s v="Pump"/>
    <n v="36"/>
    <n v="23444"/>
    <n v="843984"/>
    <s v="East"/>
    <s v="Skyline Ltd"/>
    <x v="10"/>
  </r>
  <r>
    <d v="2024-11-17T00:00:00"/>
    <s v="INV00425"/>
    <s v="Motor"/>
    <n v="37"/>
    <n v="17274"/>
    <n v="639138"/>
    <s v="East"/>
    <s v="XYZ Pvt Ltd"/>
    <x v="10"/>
  </r>
  <r>
    <d v="2024-11-18T00:00:00"/>
    <s v="INV00452"/>
    <s v="Compressor"/>
    <n v="32"/>
    <n v="11280"/>
    <n v="360960"/>
    <s v="East"/>
    <s v="ABC Ltd"/>
    <x v="10"/>
  </r>
  <r>
    <d v="2024-11-01T00:00:00"/>
    <s v="INV00465"/>
    <s v="Generator"/>
    <n v="40"/>
    <n v="21753"/>
    <n v="870120"/>
    <s v="North"/>
    <s v="Prime Industries"/>
    <x v="10"/>
  </r>
  <r>
    <d v="2024-11-23T00:00:00"/>
    <s v="INV00502"/>
    <s v="Compressor"/>
    <n v="24"/>
    <n v="10171"/>
    <n v="244104"/>
    <s v="North"/>
    <s v="Skyline Ltd"/>
    <x v="10"/>
  </r>
  <r>
    <d v="2024-11-24T00:00:00"/>
    <s v="INV00512"/>
    <s v="Compressor"/>
    <n v="19"/>
    <n v="30959"/>
    <n v="588221"/>
    <s v="East"/>
    <s v="Prime Industries"/>
    <x v="10"/>
  </r>
  <r>
    <d v="2024-11-28T00:00:00"/>
    <s v="INV00515"/>
    <s v="Compressor"/>
    <n v="38"/>
    <n v="21654"/>
    <n v="822852"/>
    <s v="South"/>
    <s v="Skyline Ltd"/>
    <x v="10"/>
  </r>
  <r>
    <d v="2024-11-10T00:00:00"/>
    <s v="INV00528"/>
    <s v="Generator"/>
    <n v="11"/>
    <n v="42588"/>
    <n v="468468"/>
    <s v="West"/>
    <s v="ABC Ltd"/>
    <x v="10"/>
  </r>
  <r>
    <d v="2024-11-19T00:00:00"/>
    <s v="INV00560"/>
    <s v="Pump"/>
    <n v="29"/>
    <n v="33533"/>
    <n v="972457"/>
    <s v="South"/>
    <s v="Prime Industries"/>
    <x v="10"/>
  </r>
  <r>
    <d v="2024-11-06T00:00:00"/>
    <s v="INV00566"/>
    <s v="Compressor"/>
    <n v="9"/>
    <n v="12572"/>
    <n v="113148"/>
    <s v="East"/>
    <s v="Prime Industries"/>
    <x v="10"/>
  </r>
  <r>
    <d v="2024-11-28T00:00:00"/>
    <s v="INV00567"/>
    <s v="Valve"/>
    <n v="28"/>
    <n v="14270"/>
    <n v="399560"/>
    <s v="North"/>
    <s v="Skyline Ltd"/>
    <x v="10"/>
  </r>
  <r>
    <d v="2024-11-21T00:00:00"/>
    <s v="INV00601"/>
    <s v="Pump"/>
    <n v="19"/>
    <n v="16658"/>
    <n v="316502"/>
    <s v="North"/>
    <s v="XYZ Pvt Ltd"/>
    <x v="10"/>
  </r>
  <r>
    <d v="2024-11-25T00:00:00"/>
    <s v="INV00606"/>
    <s v="Generator"/>
    <n v="5"/>
    <n v="5590"/>
    <n v="27950"/>
    <s v="East"/>
    <s v="Skyline Ltd"/>
    <x v="10"/>
  </r>
  <r>
    <d v="2024-11-29T00:00:00"/>
    <s v="INV00626"/>
    <s v="Compressor"/>
    <n v="33"/>
    <n v="10819"/>
    <n v="357027"/>
    <s v="South"/>
    <s v="XYZ Pvt Ltd"/>
    <x v="10"/>
  </r>
  <r>
    <d v="2024-11-11T00:00:00"/>
    <s v="INV00648"/>
    <s v="Motor"/>
    <n v="22"/>
    <n v="22497"/>
    <n v="494934"/>
    <s v="East"/>
    <s v="ABC Ltd"/>
    <x v="10"/>
  </r>
  <r>
    <d v="2024-11-12T00:00:00"/>
    <s v="INV00655"/>
    <s v="Compressor"/>
    <n v="1"/>
    <n v="30200"/>
    <n v="30200"/>
    <s v="West"/>
    <s v="Global Corp"/>
    <x v="10"/>
  </r>
  <r>
    <d v="2024-11-06T00:00:00"/>
    <s v="INV00657"/>
    <s v="Generator"/>
    <n v="22"/>
    <n v="13937"/>
    <n v="306614"/>
    <s v="North"/>
    <s v="Skyline Ltd"/>
    <x v="10"/>
  </r>
  <r>
    <d v="2024-11-26T00:00:00"/>
    <s v="INV00664"/>
    <s v="Motor"/>
    <n v="23"/>
    <n v="23896"/>
    <n v="549608"/>
    <s v="West"/>
    <s v="XYZ Pvt Ltd"/>
    <x v="10"/>
  </r>
  <r>
    <d v="2024-11-20T00:00:00"/>
    <s v="INV00671"/>
    <s v="Motor"/>
    <n v="2"/>
    <n v="26924"/>
    <n v="53848"/>
    <s v="East"/>
    <s v="Skyline Ltd"/>
    <x v="10"/>
  </r>
  <r>
    <d v="2024-11-09T00:00:00"/>
    <s v="INV00675"/>
    <s v="Valve"/>
    <n v="39"/>
    <n v="7359"/>
    <n v="287001"/>
    <s v="North"/>
    <s v="Skyline Ltd"/>
    <x v="10"/>
  </r>
  <r>
    <d v="2024-11-01T00:00:00"/>
    <s v="INV00682"/>
    <s v="Generator"/>
    <n v="27"/>
    <n v="24872"/>
    <n v="671544"/>
    <s v="East"/>
    <s v="ABC Ltd"/>
    <x v="10"/>
  </r>
  <r>
    <d v="2024-11-21T00:00:00"/>
    <s v="INV00690"/>
    <s v="Generator"/>
    <n v="29"/>
    <n v="36196"/>
    <n v="1049684"/>
    <s v="West"/>
    <s v="ABC Ltd"/>
    <x v="10"/>
  </r>
  <r>
    <d v="2024-11-12T00:00:00"/>
    <s v="INV00705"/>
    <s v="Motor"/>
    <n v="33"/>
    <n v="9974"/>
    <n v="329142"/>
    <s v="South"/>
    <s v="Global Corp"/>
    <x v="10"/>
  </r>
  <r>
    <d v="2024-11-23T00:00:00"/>
    <s v="INV00715"/>
    <s v="Generator"/>
    <n v="33"/>
    <n v="27474"/>
    <n v="906642"/>
    <s v="East"/>
    <s v="Skyline Ltd"/>
    <x v="10"/>
  </r>
  <r>
    <d v="2024-11-17T00:00:00"/>
    <s v="INV00734"/>
    <s v="Valve"/>
    <n v="6"/>
    <n v="15733"/>
    <n v="94398"/>
    <s v="West"/>
    <s v="ABC Ltd"/>
    <x v="10"/>
  </r>
  <r>
    <d v="2024-11-30T00:00:00"/>
    <s v="INV00740"/>
    <s v="Pump"/>
    <n v="32"/>
    <n v="9901"/>
    <n v="316832"/>
    <s v="West"/>
    <s v="Skyline Ltd"/>
    <x v="10"/>
  </r>
  <r>
    <d v="2024-11-28T00:00:00"/>
    <s v="INV00742"/>
    <s v="Motor"/>
    <n v="18"/>
    <n v="29326"/>
    <n v="527868"/>
    <s v="North"/>
    <s v="ABC Ltd"/>
    <x v="10"/>
  </r>
  <r>
    <d v="2024-11-16T00:00:00"/>
    <s v="INV00745"/>
    <s v="Valve"/>
    <n v="4"/>
    <n v="39811"/>
    <n v="159244"/>
    <s v="West"/>
    <s v="ABC Ltd"/>
    <x v="10"/>
  </r>
  <r>
    <d v="2024-11-20T00:00:00"/>
    <s v="INV00746"/>
    <s v="Compressor"/>
    <n v="3"/>
    <n v="37237"/>
    <n v="111711"/>
    <s v="West"/>
    <s v="Skyline Ltd"/>
    <x v="10"/>
  </r>
  <r>
    <d v="2024-11-14T00:00:00"/>
    <s v="INV00774"/>
    <s v="Motor"/>
    <n v="17"/>
    <n v="37510"/>
    <n v="637670"/>
    <s v="West"/>
    <s v="ABC Ltd"/>
    <x v="10"/>
  </r>
  <r>
    <d v="2024-11-15T00:00:00"/>
    <s v="INV00777"/>
    <s v="Valve"/>
    <n v="11"/>
    <n v="28050"/>
    <n v="308550"/>
    <s v="West"/>
    <s v="Skyline Ltd"/>
    <x v="10"/>
  </r>
  <r>
    <d v="2024-11-17T00:00:00"/>
    <s v="INV00805"/>
    <s v="Generator"/>
    <n v="27"/>
    <n v="44598"/>
    <n v="1204146"/>
    <s v="North"/>
    <s v="Skyline Ltd"/>
    <x v="10"/>
  </r>
  <r>
    <d v="2024-11-30T00:00:00"/>
    <s v="INV00810"/>
    <s v="Generator"/>
    <n v="14"/>
    <n v="32168"/>
    <n v="450352"/>
    <s v="West"/>
    <s v="ABC Ltd"/>
    <x v="10"/>
  </r>
  <r>
    <d v="2024-11-26T00:00:00"/>
    <s v="INV00821"/>
    <s v="Pump"/>
    <n v="3"/>
    <n v="15985"/>
    <n v="47955"/>
    <s v="South"/>
    <s v="Skyline Ltd"/>
    <x v="10"/>
  </r>
  <r>
    <d v="2024-11-14T00:00:00"/>
    <s v="INV00823"/>
    <s v="Pump"/>
    <n v="8"/>
    <n v="19850"/>
    <n v="158800"/>
    <s v="East"/>
    <s v="Skyline Ltd"/>
    <x v="10"/>
  </r>
  <r>
    <d v="2024-11-28T00:00:00"/>
    <s v="INV00825"/>
    <s v="Pump"/>
    <n v="32"/>
    <n v="42755"/>
    <n v="1368160"/>
    <s v="West"/>
    <s v="Prime Industries"/>
    <x v="10"/>
  </r>
  <r>
    <d v="2024-11-06T00:00:00"/>
    <s v="INV00843"/>
    <s v="Valve"/>
    <n v="5"/>
    <n v="15721"/>
    <n v="78605"/>
    <s v="South"/>
    <s v="ABC Ltd"/>
    <x v="10"/>
  </r>
  <r>
    <d v="2024-11-21T00:00:00"/>
    <s v="INV00855"/>
    <s v="Valve"/>
    <n v="31"/>
    <n v="9960"/>
    <n v="308760"/>
    <s v="East"/>
    <s v="ABC Ltd"/>
    <x v="10"/>
  </r>
  <r>
    <d v="2024-11-18T00:00:00"/>
    <s v="INV00857"/>
    <s v="Generator"/>
    <n v="24"/>
    <n v="29256"/>
    <n v="702144"/>
    <s v="West"/>
    <s v="Global Corp"/>
    <x v="10"/>
  </r>
  <r>
    <d v="2024-11-20T00:00:00"/>
    <s v="INV00860"/>
    <s v="Generator"/>
    <n v="39"/>
    <n v="40451"/>
    <n v="1577589"/>
    <s v="South"/>
    <s v="Global Corp"/>
    <x v="10"/>
  </r>
  <r>
    <d v="2024-11-12T00:00:00"/>
    <s v="INV00875"/>
    <s v="Motor"/>
    <n v="20"/>
    <n v="5900"/>
    <n v="118000"/>
    <s v="East"/>
    <s v="Global Corp"/>
    <x v="10"/>
  </r>
  <r>
    <d v="2024-11-29T00:00:00"/>
    <s v="INV00879"/>
    <s v="Valve"/>
    <n v="14"/>
    <n v="23935"/>
    <n v="335090"/>
    <s v="West"/>
    <s v="XYZ Pvt Ltd"/>
    <x v="10"/>
  </r>
  <r>
    <d v="2024-11-02T00:00:00"/>
    <s v="INV00912"/>
    <s v="Generator"/>
    <n v="34"/>
    <n v="43300"/>
    <n v="1472200"/>
    <s v="East"/>
    <s v="ABC Ltd"/>
    <x v="10"/>
  </r>
  <r>
    <d v="2024-11-21T00:00:00"/>
    <s v="INV00914"/>
    <s v="Valve"/>
    <n v="10"/>
    <n v="16189"/>
    <n v="161890"/>
    <s v="West"/>
    <s v="Skyline Ltd"/>
    <x v="10"/>
  </r>
  <r>
    <d v="2024-11-22T00:00:00"/>
    <s v="INV00916"/>
    <s v="Motor"/>
    <n v="29"/>
    <n v="39287"/>
    <n v="1139323"/>
    <s v="West"/>
    <s v="ABC Ltd"/>
    <x v="10"/>
  </r>
  <r>
    <d v="2024-11-25T00:00:00"/>
    <s v="INV00919"/>
    <s v="Generator"/>
    <n v="35"/>
    <n v="8679"/>
    <n v="303765"/>
    <s v="South"/>
    <s v="Prime Industries"/>
    <x v="10"/>
  </r>
  <r>
    <d v="2024-11-01T00:00:00"/>
    <s v="INV00934"/>
    <s v="Motor"/>
    <n v="22"/>
    <n v="41767"/>
    <n v="918874"/>
    <s v="East"/>
    <s v="Skyline Ltd"/>
    <x v="10"/>
  </r>
  <r>
    <d v="2024-11-15T00:00:00"/>
    <s v="INV00963"/>
    <s v="Pump"/>
    <n v="30"/>
    <n v="5713"/>
    <n v="171390"/>
    <s v="North"/>
    <s v="XYZ Pvt Ltd"/>
    <x v="10"/>
  </r>
  <r>
    <d v="2024-11-14T00:00:00"/>
    <s v="INV00977"/>
    <s v="Compressor"/>
    <n v="6"/>
    <n v="12493"/>
    <n v="74958"/>
    <s v="West"/>
    <s v="XYZ Pvt Ltd"/>
    <x v="10"/>
  </r>
  <r>
    <d v="2024-11-15T00:00:00"/>
    <s v="INV00986"/>
    <s v="Motor"/>
    <n v="34"/>
    <n v="9349"/>
    <n v="317866"/>
    <s v="East"/>
    <s v="ABC Ltd"/>
    <x v="10"/>
  </r>
  <r>
    <d v="2024-11-15T00:00:00"/>
    <s v="INV00989"/>
    <s v="Valve"/>
    <n v="34"/>
    <n v="37516"/>
    <n v="1275544"/>
    <s v="West"/>
    <s v="Prime Industries"/>
    <x v="10"/>
  </r>
  <r>
    <d v="2024-11-16T00:00:00"/>
    <s v="INV01029"/>
    <s v="Generator"/>
    <n v="28"/>
    <n v="16420"/>
    <n v="459760"/>
    <s v="West"/>
    <s v="Prime Industries"/>
    <x v="10"/>
  </r>
  <r>
    <d v="2024-11-03T00:00:00"/>
    <s v="INV01039"/>
    <s v="Valve"/>
    <n v="35"/>
    <n v="15496"/>
    <n v="542360"/>
    <s v="South"/>
    <s v="Skyline Ltd"/>
    <x v="10"/>
  </r>
  <r>
    <d v="2024-11-02T00:00:00"/>
    <s v="INV01040"/>
    <s v="Valve"/>
    <n v="11"/>
    <n v="24979"/>
    <n v="274769"/>
    <s v="South"/>
    <s v="ABC Ltd"/>
    <x v="10"/>
  </r>
  <r>
    <d v="2024-11-10T00:00:00"/>
    <s v="INV01056"/>
    <s v="Compressor"/>
    <n v="5"/>
    <n v="12338"/>
    <n v="61690"/>
    <s v="West"/>
    <s v="Skyline Ltd"/>
    <x v="10"/>
  </r>
  <r>
    <d v="2024-11-30T00:00:00"/>
    <s v="INV01068"/>
    <s v="Compressor"/>
    <n v="31"/>
    <n v="21367"/>
    <n v="662377"/>
    <s v="East"/>
    <s v="Global Corp"/>
    <x v="10"/>
  </r>
  <r>
    <d v="2024-11-13T00:00:00"/>
    <s v="INV01079"/>
    <s v="Compressor"/>
    <n v="26"/>
    <n v="13685"/>
    <n v="355810"/>
    <s v="North"/>
    <s v="Prime Industries"/>
    <x v="10"/>
  </r>
  <r>
    <d v="2024-11-19T00:00:00"/>
    <s v="INV01104"/>
    <s v="Generator"/>
    <n v="11"/>
    <n v="37316"/>
    <n v="410476"/>
    <s v="South"/>
    <s v="ABC Ltd"/>
    <x v="10"/>
  </r>
  <r>
    <d v="2024-11-01T00:00:00"/>
    <s v="INV01111"/>
    <s v="Pump"/>
    <n v="13"/>
    <n v="11459"/>
    <n v="148967"/>
    <s v="West"/>
    <s v="Prime Industries"/>
    <x v="10"/>
  </r>
  <r>
    <d v="2024-11-06T00:00:00"/>
    <s v="INV01120"/>
    <s v="Valve"/>
    <n v="14"/>
    <n v="41693"/>
    <n v="583702"/>
    <s v="East"/>
    <s v="Skyline Ltd"/>
    <x v="10"/>
  </r>
  <r>
    <d v="2024-11-08T00:00:00"/>
    <s v="INV01165"/>
    <s v="Pump"/>
    <n v="24"/>
    <n v="16089"/>
    <n v="386136"/>
    <s v="West"/>
    <s v="Prime Industries"/>
    <x v="10"/>
  </r>
  <r>
    <d v="2024-11-14T00:00:00"/>
    <s v="INV01184"/>
    <s v="Generator"/>
    <n v="13"/>
    <n v="19398"/>
    <n v="252174"/>
    <s v="East"/>
    <s v="ABC Ltd"/>
    <x v="10"/>
  </r>
  <r>
    <d v="2024-11-04T00:00:00"/>
    <s v="INV01191"/>
    <s v="Generator"/>
    <n v="34"/>
    <n v="30168"/>
    <n v="1025712"/>
    <s v="West"/>
    <s v="XYZ Pvt Ltd"/>
    <x v="10"/>
  </r>
  <r>
    <d v="2024-11-21T00:00:00"/>
    <s v="INV01195"/>
    <s v="Valve"/>
    <n v="32"/>
    <n v="37864"/>
    <n v="1211648"/>
    <s v="South"/>
    <s v="Skyline Ltd"/>
    <x v="10"/>
  </r>
  <r>
    <d v="2024-11-09T00:00:00"/>
    <s v="INV01229"/>
    <s v="Generator"/>
    <n v="7"/>
    <n v="22397"/>
    <n v="156779"/>
    <s v="North"/>
    <s v="XYZ Pvt Ltd"/>
    <x v="10"/>
  </r>
  <r>
    <d v="2024-11-09T00:00:00"/>
    <s v="INV01256"/>
    <s v="Compressor"/>
    <n v="31"/>
    <n v="29304"/>
    <n v="908424"/>
    <s v="South"/>
    <s v="Prime Industries"/>
    <x v="10"/>
  </r>
  <r>
    <d v="2024-11-24T00:00:00"/>
    <s v="INV01260"/>
    <s v="Valve"/>
    <n v="34"/>
    <n v="24398"/>
    <n v="829532"/>
    <s v="West"/>
    <s v="ABC Ltd"/>
    <x v="10"/>
  </r>
  <r>
    <d v="2024-11-02T00:00:00"/>
    <s v="INV01271"/>
    <s v="Motor"/>
    <n v="4"/>
    <n v="21534"/>
    <n v="86136"/>
    <s v="East"/>
    <s v="Prime Industries"/>
    <x v="10"/>
  </r>
  <r>
    <d v="2024-11-24T00:00:00"/>
    <s v="INV01278"/>
    <s v="Motor"/>
    <n v="10"/>
    <n v="12003"/>
    <n v="120030"/>
    <s v="East"/>
    <s v="Prime Industries"/>
    <x v="10"/>
  </r>
  <r>
    <d v="2024-11-13T00:00:00"/>
    <s v="INV01289"/>
    <s v="Generator"/>
    <n v="26"/>
    <n v="30682"/>
    <n v="797732"/>
    <s v="North"/>
    <s v="Prime Industries"/>
    <x v="10"/>
  </r>
  <r>
    <d v="2024-11-24T00:00:00"/>
    <s v="INV01291"/>
    <s v="Compressor"/>
    <n v="35"/>
    <n v="32546"/>
    <n v="1139110"/>
    <s v="West"/>
    <s v="XYZ Pvt Ltd"/>
    <x v="10"/>
  </r>
  <r>
    <d v="2024-11-26T00:00:00"/>
    <s v="INV01301"/>
    <s v="Pump"/>
    <n v="24"/>
    <n v="28676"/>
    <n v="688224"/>
    <s v="North"/>
    <s v="Prime Industries"/>
    <x v="10"/>
  </r>
  <r>
    <d v="2024-11-18T00:00:00"/>
    <s v="INV01308"/>
    <s v="Motor"/>
    <n v="7"/>
    <n v="25380"/>
    <n v="177660"/>
    <s v="South"/>
    <s v="ABC Ltd"/>
    <x v="10"/>
  </r>
  <r>
    <d v="2024-11-28T00:00:00"/>
    <s v="INV01311"/>
    <s v="Valve"/>
    <n v="36"/>
    <n v="15944"/>
    <n v="573984"/>
    <s v="North"/>
    <s v="ABC Ltd"/>
    <x v="10"/>
  </r>
  <r>
    <d v="2024-11-14T00:00:00"/>
    <s v="INV01339"/>
    <s v="Compressor"/>
    <n v="20"/>
    <n v="6463"/>
    <n v="129260"/>
    <s v="North"/>
    <s v="Skyline Ltd"/>
    <x v="10"/>
  </r>
  <r>
    <d v="2024-11-25T00:00:00"/>
    <s v="INV01342"/>
    <s v="Generator"/>
    <n v="23"/>
    <n v="13784"/>
    <n v="317032"/>
    <s v="North"/>
    <s v="Skyline Ltd"/>
    <x v="10"/>
  </r>
  <r>
    <d v="2024-11-29T00:00:00"/>
    <s v="INV01357"/>
    <s v="Motor"/>
    <n v="24"/>
    <n v="37104"/>
    <n v="890496"/>
    <s v="South"/>
    <s v="Global Corp"/>
    <x v="10"/>
  </r>
  <r>
    <d v="2024-11-20T00:00:00"/>
    <s v="INV01361"/>
    <s v="Generator"/>
    <n v="39"/>
    <n v="8516"/>
    <n v="332124"/>
    <s v="South"/>
    <s v="ABC Ltd"/>
    <x v="10"/>
  </r>
  <r>
    <d v="2024-11-15T00:00:00"/>
    <s v="INV01372"/>
    <s v="Pump"/>
    <n v="29"/>
    <n v="26379"/>
    <n v="764991"/>
    <s v="North"/>
    <s v="ABC Ltd"/>
    <x v="10"/>
  </r>
  <r>
    <d v="2024-11-29T00:00:00"/>
    <s v="INV01379"/>
    <s v="Motor"/>
    <n v="10"/>
    <n v="6722"/>
    <n v="67220"/>
    <s v="South"/>
    <s v="Skyline Ltd"/>
    <x v="10"/>
  </r>
  <r>
    <d v="2024-11-05T00:00:00"/>
    <s v="INV01380"/>
    <s v="Valve"/>
    <n v="9"/>
    <n v="5684"/>
    <n v="51156"/>
    <s v="East"/>
    <s v="Skyline Ltd"/>
    <x v="10"/>
  </r>
  <r>
    <d v="2024-11-21T00:00:00"/>
    <s v="INV01390"/>
    <s v="Generator"/>
    <n v="24"/>
    <n v="17899"/>
    <n v="429576"/>
    <s v="North"/>
    <s v="Skyline Ltd"/>
    <x v="10"/>
  </r>
  <r>
    <d v="2024-11-14T00:00:00"/>
    <s v="INV01395"/>
    <s v="Motor"/>
    <n v="4"/>
    <n v="29023"/>
    <n v="116092"/>
    <s v="South"/>
    <s v="XYZ Pvt Ltd"/>
    <x v="10"/>
  </r>
  <r>
    <d v="2024-11-06T00:00:00"/>
    <s v="INV01406"/>
    <s v="Generator"/>
    <n v="7"/>
    <n v="25690"/>
    <n v="179830"/>
    <s v="South"/>
    <s v="XYZ Pvt Ltd"/>
    <x v="10"/>
  </r>
  <r>
    <d v="2024-11-12T00:00:00"/>
    <s v="INV01414"/>
    <s v="Compressor"/>
    <n v="10"/>
    <n v="29272"/>
    <n v="292720"/>
    <s v="East"/>
    <s v="Global Corp"/>
    <x v="10"/>
  </r>
  <r>
    <d v="2024-11-05T00:00:00"/>
    <s v="INV01424"/>
    <s v="Generator"/>
    <n v="3"/>
    <n v="37929"/>
    <n v="113787"/>
    <s v="East"/>
    <s v="Global Corp"/>
    <x v="10"/>
  </r>
  <r>
    <d v="2024-11-13T00:00:00"/>
    <s v="INV01441"/>
    <s v="Motor"/>
    <n v="6"/>
    <n v="24712"/>
    <n v="148272"/>
    <s v="South"/>
    <s v="XYZ Pvt Ltd"/>
    <x v="10"/>
  </r>
  <r>
    <d v="2024-11-03T00:00:00"/>
    <s v="INV01456"/>
    <s v="Pump"/>
    <n v="14"/>
    <n v="34395"/>
    <n v="481530"/>
    <s v="North"/>
    <s v="ABC Ltd"/>
    <x v="10"/>
  </r>
  <r>
    <d v="2024-11-22T00:00:00"/>
    <s v="INV01467"/>
    <s v="Compressor"/>
    <n v="1"/>
    <n v="7170"/>
    <n v="7170"/>
    <s v="East"/>
    <s v="Prime Industries"/>
    <x v="10"/>
  </r>
  <r>
    <d v="2024-11-06T00:00:00"/>
    <s v="INV01468"/>
    <s v="Compressor"/>
    <n v="22"/>
    <n v="9832"/>
    <n v="216304"/>
    <s v="West"/>
    <s v="Prime Industries"/>
    <x v="10"/>
  </r>
  <r>
    <d v="2024-11-14T00:00:00"/>
    <s v="INV01475"/>
    <s v="Motor"/>
    <n v="28"/>
    <n v="39026"/>
    <n v="1092728"/>
    <s v="North"/>
    <s v="Global Corp"/>
    <x v="10"/>
  </r>
  <r>
    <d v="2024-11-09T00:00:00"/>
    <s v="INV01477"/>
    <s v="Valve"/>
    <n v="27"/>
    <n v="34532"/>
    <n v="932364"/>
    <s v="West"/>
    <s v="Prime Industries"/>
    <x v="10"/>
  </r>
  <r>
    <d v="2024-12-20T00:00:00"/>
    <s v="INV00011"/>
    <s v="Compressor"/>
    <n v="8"/>
    <n v="35497"/>
    <n v="283976"/>
    <s v="West"/>
    <s v="ABC Ltd"/>
    <x v="11"/>
  </r>
  <r>
    <d v="2024-12-16T00:00:00"/>
    <s v="INV00021"/>
    <s v="Motor"/>
    <n v="9"/>
    <n v="28055"/>
    <n v="252495"/>
    <s v="South"/>
    <s v="Skyline Ltd"/>
    <x v="11"/>
  </r>
  <r>
    <d v="2024-12-04T00:00:00"/>
    <s v="INV00026"/>
    <s v="Motor"/>
    <n v="7"/>
    <n v="44747"/>
    <n v="313229"/>
    <s v="North"/>
    <s v="Prime Industries"/>
    <x v="11"/>
  </r>
  <r>
    <d v="2024-12-13T00:00:00"/>
    <s v="INV00027"/>
    <s v="Compressor"/>
    <n v="34"/>
    <n v="39919"/>
    <n v="1357246"/>
    <s v="South"/>
    <s v="Global Corp"/>
    <x v="11"/>
  </r>
  <r>
    <d v="2024-12-05T00:00:00"/>
    <s v="INV00036"/>
    <s v="Valve"/>
    <n v="24"/>
    <n v="16929"/>
    <n v="406296"/>
    <s v="West"/>
    <s v="XYZ Pvt Ltd"/>
    <x v="11"/>
  </r>
  <r>
    <d v="2024-12-06T00:00:00"/>
    <s v="INV00038"/>
    <s v="Motor"/>
    <n v="26"/>
    <n v="42001"/>
    <n v="1092026"/>
    <s v="South"/>
    <s v="Prime Industries"/>
    <x v="11"/>
  </r>
  <r>
    <d v="2024-12-24T00:00:00"/>
    <s v="INV00057"/>
    <s v="Valve"/>
    <n v="4"/>
    <n v="29448"/>
    <n v="117792"/>
    <s v="West"/>
    <s v="Prime Industries"/>
    <x v="11"/>
  </r>
  <r>
    <d v="2024-12-15T00:00:00"/>
    <s v="INV00058"/>
    <s v="Valve"/>
    <n v="32"/>
    <n v="39092"/>
    <n v="1250944"/>
    <s v="West"/>
    <s v="ABC Ltd"/>
    <x v="11"/>
  </r>
  <r>
    <d v="2024-12-23T00:00:00"/>
    <s v="INV00071"/>
    <s v="Compressor"/>
    <n v="3"/>
    <n v="34267"/>
    <n v="102801"/>
    <s v="East"/>
    <s v="ABC Ltd"/>
    <x v="11"/>
  </r>
  <r>
    <d v="2024-12-05T00:00:00"/>
    <s v="INV00076"/>
    <s v="Compressor"/>
    <n v="31"/>
    <n v="34122"/>
    <n v="1057782"/>
    <s v="East"/>
    <s v="Prime Industries"/>
    <x v="11"/>
  </r>
  <r>
    <d v="2024-12-09T00:00:00"/>
    <s v="INV00087"/>
    <s v="Motor"/>
    <n v="26"/>
    <n v="24581"/>
    <n v="639106"/>
    <s v="West"/>
    <s v="XYZ Pvt Ltd"/>
    <x v="11"/>
  </r>
  <r>
    <d v="2024-12-30T00:00:00"/>
    <s v="INV00088"/>
    <s v="Compressor"/>
    <n v="3"/>
    <n v="31043"/>
    <n v="93129"/>
    <s v="South"/>
    <s v="XYZ Pvt Ltd"/>
    <x v="11"/>
  </r>
  <r>
    <d v="2024-12-31T00:00:00"/>
    <s v="INV00101"/>
    <s v="Valve"/>
    <n v="1"/>
    <n v="39975"/>
    <n v="39975"/>
    <s v="West"/>
    <s v="Skyline Ltd"/>
    <x v="11"/>
  </r>
  <r>
    <d v="2024-12-28T00:00:00"/>
    <s v="INV00102"/>
    <s v="Compressor"/>
    <n v="11"/>
    <n v="5524"/>
    <n v="60764"/>
    <s v="East"/>
    <s v="Global Corp"/>
    <x v="11"/>
  </r>
  <r>
    <d v="2024-12-01T00:00:00"/>
    <s v="INV00117"/>
    <s v="Motor"/>
    <n v="19"/>
    <n v="34504"/>
    <n v="655576"/>
    <s v="North"/>
    <s v="Global Corp"/>
    <x v="11"/>
  </r>
  <r>
    <d v="2024-12-20T00:00:00"/>
    <s v="INV00196"/>
    <s v="Generator"/>
    <n v="31"/>
    <n v="40514"/>
    <n v="1255934"/>
    <s v="West"/>
    <s v="ABC Ltd"/>
    <x v="11"/>
  </r>
  <r>
    <d v="2024-12-14T00:00:00"/>
    <s v="INV00209"/>
    <s v="Generator"/>
    <n v="16"/>
    <n v="12317"/>
    <n v="197072"/>
    <s v="East"/>
    <s v="Prime Industries"/>
    <x v="11"/>
  </r>
  <r>
    <d v="2024-12-28T00:00:00"/>
    <s v="INV00220"/>
    <s v="Motor"/>
    <n v="34"/>
    <n v="20655"/>
    <n v="702270"/>
    <s v="South"/>
    <s v="XYZ Pvt Ltd"/>
    <x v="11"/>
  </r>
  <r>
    <d v="2024-12-12T00:00:00"/>
    <s v="INV00223"/>
    <s v="Generator"/>
    <n v="25"/>
    <n v="32992"/>
    <n v="824800"/>
    <s v="South"/>
    <s v="Prime Industries"/>
    <x v="11"/>
  </r>
  <r>
    <d v="2024-12-22T00:00:00"/>
    <s v="INV00225"/>
    <s v="Compressor"/>
    <n v="12"/>
    <n v="9415"/>
    <n v="112980"/>
    <s v="West"/>
    <s v="Prime Industries"/>
    <x v="11"/>
  </r>
  <r>
    <d v="2024-12-25T00:00:00"/>
    <s v="INV00238"/>
    <s v="Pump"/>
    <n v="22"/>
    <n v="23388"/>
    <n v="514536"/>
    <s v="West"/>
    <s v="Skyline Ltd"/>
    <x v="11"/>
  </r>
  <r>
    <d v="2024-12-28T00:00:00"/>
    <s v="INV00241"/>
    <s v="Pump"/>
    <n v="40"/>
    <n v="20895"/>
    <n v="835800"/>
    <s v="East"/>
    <s v="XYZ Pvt Ltd"/>
    <x v="11"/>
  </r>
  <r>
    <d v="2024-12-27T00:00:00"/>
    <s v="INV00242"/>
    <s v="Motor"/>
    <n v="28"/>
    <n v="14252"/>
    <n v="399056"/>
    <s v="North"/>
    <s v="XYZ Pvt Ltd"/>
    <x v="11"/>
  </r>
  <r>
    <d v="2024-12-24T00:00:00"/>
    <s v="INV00245"/>
    <s v="Compressor"/>
    <n v="8"/>
    <n v="20452"/>
    <n v="163616"/>
    <s v="South"/>
    <s v="Global Corp"/>
    <x v="11"/>
  </r>
  <r>
    <d v="2024-12-02T00:00:00"/>
    <s v="INV00273"/>
    <s v="Compressor"/>
    <n v="6"/>
    <n v="44891"/>
    <n v="269346"/>
    <s v="North"/>
    <s v="Global Corp"/>
    <x v="11"/>
  </r>
  <r>
    <d v="2024-12-09T00:00:00"/>
    <s v="INV00334"/>
    <s v="Motor"/>
    <n v="11"/>
    <n v="39240"/>
    <n v="431640"/>
    <s v="East"/>
    <s v="Prime Industries"/>
    <x v="11"/>
  </r>
  <r>
    <d v="2024-12-03T00:00:00"/>
    <s v="INV00349"/>
    <s v="Valve"/>
    <n v="34"/>
    <n v="31745"/>
    <n v="1079330"/>
    <s v="West"/>
    <s v="ABC Ltd"/>
    <x v="11"/>
  </r>
  <r>
    <d v="2024-12-30T00:00:00"/>
    <s v="INV00358"/>
    <s v="Valve"/>
    <n v="27"/>
    <n v="19158"/>
    <n v="517266"/>
    <s v="East"/>
    <s v="ABC Ltd"/>
    <x v="11"/>
  </r>
  <r>
    <d v="2024-12-20T00:00:00"/>
    <s v="INV00365"/>
    <s v="Compressor"/>
    <n v="8"/>
    <n v="6180"/>
    <n v="49440"/>
    <s v="North"/>
    <s v="Prime Industries"/>
    <x v="11"/>
  </r>
  <r>
    <d v="2024-12-01T00:00:00"/>
    <s v="INV00369"/>
    <s v="Motor"/>
    <n v="17"/>
    <n v="33042"/>
    <n v="561714"/>
    <s v="East"/>
    <s v="XYZ Pvt Ltd"/>
    <x v="11"/>
  </r>
  <r>
    <d v="2024-12-03T00:00:00"/>
    <s v="INV00379"/>
    <s v="Valve"/>
    <n v="18"/>
    <n v="33580"/>
    <n v="604440"/>
    <s v="West"/>
    <s v="Skyline Ltd"/>
    <x v="11"/>
  </r>
  <r>
    <d v="2024-12-29T00:00:00"/>
    <s v="INV00384"/>
    <s v="Motor"/>
    <n v="11"/>
    <n v="23819"/>
    <n v="262009"/>
    <s v="West"/>
    <s v="XYZ Pvt Ltd"/>
    <x v="11"/>
  </r>
  <r>
    <d v="2024-12-04T00:00:00"/>
    <s v="INV00427"/>
    <s v="Motor"/>
    <n v="13"/>
    <n v="13070"/>
    <n v="169910"/>
    <s v="North"/>
    <s v="Prime Industries"/>
    <x v="11"/>
  </r>
  <r>
    <d v="2024-12-13T00:00:00"/>
    <s v="INV00441"/>
    <s v="Generator"/>
    <n v="12"/>
    <n v="12948"/>
    <n v="155376"/>
    <s v="West"/>
    <s v="Global Corp"/>
    <x v="11"/>
  </r>
  <r>
    <d v="2024-12-29T00:00:00"/>
    <s v="INV00446"/>
    <s v="Compressor"/>
    <n v="21"/>
    <n v="39461"/>
    <n v="828681"/>
    <s v="East"/>
    <s v="ABC Ltd"/>
    <x v="11"/>
  </r>
  <r>
    <d v="2024-12-26T00:00:00"/>
    <s v="INV00454"/>
    <s v="Generator"/>
    <n v="14"/>
    <n v="32244"/>
    <n v="451416"/>
    <s v="South"/>
    <s v="XYZ Pvt Ltd"/>
    <x v="11"/>
  </r>
  <r>
    <d v="2024-12-20T00:00:00"/>
    <s v="INV00460"/>
    <s v="Pump"/>
    <n v="12"/>
    <n v="18224"/>
    <n v="218688"/>
    <s v="West"/>
    <s v="XYZ Pvt Ltd"/>
    <x v="11"/>
  </r>
  <r>
    <d v="2024-12-15T00:00:00"/>
    <s v="INV00471"/>
    <s v="Pump"/>
    <n v="34"/>
    <n v="35175"/>
    <n v="1195950"/>
    <s v="North"/>
    <s v="Prime Industries"/>
    <x v="11"/>
  </r>
  <r>
    <d v="2024-12-05T00:00:00"/>
    <s v="INV00504"/>
    <s v="Motor"/>
    <n v="23"/>
    <n v="30697"/>
    <n v="706031"/>
    <s v="North"/>
    <s v="Prime Industries"/>
    <x v="11"/>
  </r>
  <r>
    <d v="2024-12-15T00:00:00"/>
    <s v="INV00511"/>
    <s v="Motor"/>
    <n v="7"/>
    <n v="16422"/>
    <n v="114954"/>
    <s v="East"/>
    <s v="XYZ Pvt Ltd"/>
    <x v="11"/>
  </r>
  <r>
    <d v="2024-12-13T00:00:00"/>
    <s v="INV00536"/>
    <s v="Pump"/>
    <n v="26"/>
    <n v="10973"/>
    <n v="285298"/>
    <s v="East"/>
    <s v="ABC Ltd"/>
    <x v="11"/>
  </r>
  <r>
    <d v="2024-12-26T00:00:00"/>
    <s v="INV00543"/>
    <s v="Generator"/>
    <n v="32"/>
    <n v="5739"/>
    <n v="183648"/>
    <s v="North"/>
    <s v="ABC Ltd"/>
    <x v="11"/>
  </r>
  <r>
    <d v="2024-12-13T00:00:00"/>
    <s v="INV00558"/>
    <s v="Compressor"/>
    <n v="37"/>
    <n v="7561"/>
    <n v="279757"/>
    <s v="South"/>
    <s v="Prime Industries"/>
    <x v="11"/>
  </r>
  <r>
    <d v="2024-12-18T00:00:00"/>
    <s v="INV00562"/>
    <s v="Compressor"/>
    <n v="33"/>
    <n v="21546"/>
    <n v="711018"/>
    <s v="South"/>
    <s v="ABC Ltd"/>
    <x v="11"/>
  </r>
  <r>
    <d v="2024-12-14T00:00:00"/>
    <s v="INV00589"/>
    <s v="Pump"/>
    <n v="13"/>
    <n v="16318"/>
    <n v="212134"/>
    <s v="West"/>
    <s v="Skyline Ltd"/>
    <x v="11"/>
  </r>
  <r>
    <d v="2024-12-01T00:00:00"/>
    <s v="INV00593"/>
    <s v="Pump"/>
    <n v="6"/>
    <n v="15265"/>
    <n v="91590"/>
    <s v="North"/>
    <s v="ABC Ltd"/>
    <x v="11"/>
  </r>
  <r>
    <d v="2024-12-28T00:00:00"/>
    <s v="INV00604"/>
    <s v="Generator"/>
    <n v="38"/>
    <n v="20689"/>
    <n v="786182"/>
    <s v="South"/>
    <s v="Global Corp"/>
    <x v="11"/>
  </r>
  <r>
    <d v="2024-12-04T00:00:00"/>
    <s v="INV00611"/>
    <s v="Generator"/>
    <n v="27"/>
    <n v="34260"/>
    <n v="925020"/>
    <s v="South"/>
    <s v="Prime Industries"/>
    <x v="11"/>
  </r>
  <r>
    <d v="2024-12-01T00:00:00"/>
    <s v="INV00622"/>
    <s v="Compressor"/>
    <n v="16"/>
    <n v="9509"/>
    <n v="152144"/>
    <s v="West"/>
    <s v="ABC Ltd"/>
    <x v="11"/>
  </r>
  <r>
    <d v="2024-12-25T00:00:00"/>
    <s v="INV00624"/>
    <s v="Valve"/>
    <n v="10"/>
    <n v="9298"/>
    <n v="92980"/>
    <s v="South"/>
    <s v="XYZ Pvt Ltd"/>
    <x v="11"/>
  </r>
  <r>
    <d v="2024-12-02T00:00:00"/>
    <s v="INV00625"/>
    <s v="Pump"/>
    <n v="29"/>
    <n v="21061"/>
    <n v="610769"/>
    <s v="East"/>
    <s v="XYZ Pvt Ltd"/>
    <x v="11"/>
  </r>
  <r>
    <d v="2024-12-31T00:00:00"/>
    <s v="INV00630"/>
    <s v="Pump"/>
    <n v="38"/>
    <n v="25623"/>
    <n v="973674"/>
    <s v="North"/>
    <s v="Prime Industries"/>
    <x v="11"/>
  </r>
  <r>
    <d v="2024-12-24T00:00:00"/>
    <s v="INV00652"/>
    <s v="Valve"/>
    <n v="26"/>
    <n v="42385"/>
    <n v="1102010"/>
    <s v="South"/>
    <s v="Global Corp"/>
    <x v="11"/>
  </r>
  <r>
    <d v="2024-12-06T00:00:00"/>
    <s v="INV00685"/>
    <s v="Motor"/>
    <n v="14"/>
    <n v="11479"/>
    <n v="160706"/>
    <s v="East"/>
    <s v="ABC Ltd"/>
    <x v="11"/>
  </r>
  <r>
    <d v="2024-12-20T00:00:00"/>
    <s v="INV00691"/>
    <s v="Generator"/>
    <n v="16"/>
    <n v="13943"/>
    <n v="223088"/>
    <s v="North"/>
    <s v="XYZ Pvt Ltd"/>
    <x v="11"/>
  </r>
  <r>
    <d v="2024-12-19T00:00:00"/>
    <s v="INV00702"/>
    <s v="Compressor"/>
    <n v="3"/>
    <n v="20832"/>
    <n v="62496"/>
    <s v="West"/>
    <s v="Global Corp"/>
    <x v="11"/>
  </r>
  <r>
    <d v="2024-12-12T00:00:00"/>
    <s v="INV00706"/>
    <s v="Valve"/>
    <n v="9"/>
    <n v="31840"/>
    <n v="286560"/>
    <s v="South"/>
    <s v="Skyline Ltd"/>
    <x v="11"/>
  </r>
  <r>
    <d v="2024-12-09T00:00:00"/>
    <s v="INV00720"/>
    <s v="Motor"/>
    <n v="38"/>
    <n v="6829"/>
    <n v="259502"/>
    <s v="North"/>
    <s v="Global Corp"/>
    <x v="11"/>
  </r>
  <r>
    <d v="2024-12-05T00:00:00"/>
    <s v="INV00721"/>
    <s v="Motor"/>
    <n v="25"/>
    <n v="44089"/>
    <n v="1102225"/>
    <s v="North"/>
    <s v="Skyline Ltd"/>
    <x v="11"/>
  </r>
  <r>
    <d v="2024-12-28T00:00:00"/>
    <s v="INV00726"/>
    <s v="Compressor"/>
    <n v="35"/>
    <n v="23401"/>
    <n v="819035"/>
    <s v="South"/>
    <s v="ABC Ltd"/>
    <x v="11"/>
  </r>
  <r>
    <d v="2024-12-03T00:00:00"/>
    <s v="INV00731"/>
    <s v="Valve"/>
    <n v="13"/>
    <n v="20969"/>
    <n v="272597"/>
    <s v="North"/>
    <s v="ABC Ltd"/>
    <x v="11"/>
  </r>
  <r>
    <d v="2024-12-09T00:00:00"/>
    <s v="INV00738"/>
    <s v="Compressor"/>
    <n v="37"/>
    <n v="21263"/>
    <n v="786731"/>
    <s v="East"/>
    <s v="Skyline Ltd"/>
    <x v="11"/>
  </r>
  <r>
    <d v="2024-12-26T00:00:00"/>
    <s v="INV00751"/>
    <s v="Valve"/>
    <n v="1"/>
    <n v="8802"/>
    <n v="8802"/>
    <s v="South"/>
    <s v="XYZ Pvt Ltd"/>
    <x v="11"/>
  </r>
  <r>
    <d v="2024-12-27T00:00:00"/>
    <s v="INV00762"/>
    <s v="Generator"/>
    <n v="11"/>
    <n v="20154"/>
    <n v="221694"/>
    <s v="East"/>
    <s v="ABC Ltd"/>
    <x v="11"/>
  </r>
  <r>
    <d v="2024-12-04T00:00:00"/>
    <s v="INV00770"/>
    <s v="Generator"/>
    <n v="24"/>
    <n v="5434"/>
    <n v="130416"/>
    <s v="West"/>
    <s v="Skyline Ltd"/>
    <x v="11"/>
  </r>
  <r>
    <d v="2024-12-09T00:00:00"/>
    <s v="INV00782"/>
    <s v="Generator"/>
    <n v="19"/>
    <n v="29063"/>
    <n v="552197"/>
    <s v="South"/>
    <s v="Skyline Ltd"/>
    <x v="11"/>
  </r>
  <r>
    <d v="2024-12-08T00:00:00"/>
    <s v="INV00785"/>
    <s v="Pump"/>
    <n v="29"/>
    <n v="20467"/>
    <n v="593543"/>
    <s v="North"/>
    <s v="XYZ Pvt Ltd"/>
    <x v="11"/>
  </r>
  <r>
    <d v="2024-12-01T00:00:00"/>
    <s v="INV00804"/>
    <s v="Generator"/>
    <n v="17"/>
    <n v="25314"/>
    <n v="430338"/>
    <s v="West"/>
    <s v="ABC Ltd"/>
    <x v="11"/>
  </r>
  <r>
    <d v="2024-12-10T00:00:00"/>
    <s v="INV00807"/>
    <s v="Compressor"/>
    <n v="37"/>
    <n v="14331"/>
    <n v="530247"/>
    <s v="East"/>
    <s v="Global Corp"/>
    <x v="11"/>
  </r>
  <r>
    <d v="2024-12-21T00:00:00"/>
    <s v="INV00815"/>
    <s v="Pump"/>
    <n v="22"/>
    <n v="7521"/>
    <n v="165462"/>
    <s v="West"/>
    <s v="Skyline Ltd"/>
    <x v="11"/>
  </r>
  <r>
    <d v="2024-12-06T00:00:00"/>
    <s v="INV00820"/>
    <s v="Compressor"/>
    <n v="34"/>
    <n v="10200"/>
    <n v="346800"/>
    <s v="South"/>
    <s v="XYZ Pvt Ltd"/>
    <x v="11"/>
  </r>
  <r>
    <d v="2024-12-08T00:00:00"/>
    <s v="INV00822"/>
    <s v="Generator"/>
    <n v="25"/>
    <n v="6750"/>
    <n v="168750"/>
    <s v="North"/>
    <s v="Global Corp"/>
    <x v="11"/>
  </r>
  <r>
    <d v="2024-12-30T00:00:00"/>
    <s v="INV00831"/>
    <s v="Motor"/>
    <n v="18"/>
    <n v="14346"/>
    <n v="258228"/>
    <s v="East"/>
    <s v="Global Corp"/>
    <x v="11"/>
  </r>
  <r>
    <d v="2024-12-15T00:00:00"/>
    <s v="INV00834"/>
    <s v="Motor"/>
    <n v="13"/>
    <n v="23896"/>
    <n v="310648"/>
    <s v="South"/>
    <s v="XYZ Pvt Ltd"/>
    <x v="11"/>
  </r>
  <r>
    <d v="2024-12-23T00:00:00"/>
    <s v="INV00840"/>
    <s v="Compressor"/>
    <n v="19"/>
    <n v="13783"/>
    <n v="261877"/>
    <s v="South"/>
    <s v="Global Corp"/>
    <x v="11"/>
  </r>
  <r>
    <d v="2024-12-22T00:00:00"/>
    <s v="INV00851"/>
    <s v="Motor"/>
    <n v="14"/>
    <n v="43115"/>
    <n v="603610"/>
    <s v="South"/>
    <s v="ABC Ltd"/>
    <x v="11"/>
  </r>
  <r>
    <d v="2024-12-11T00:00:00"/>
    <s v="INV00862"/>
    <s v="Generator"/>
    <n v="28"/>
    <n v="22459"/>
    <n v="628852"/>
    <s v="West"/>
    <s v="Prime Industries"/>
    <x v="11"/>
  </r>
  <r>
    <d v="2024-12-03T00:00:00"/>
    <s v="INV00883"/>
    <s v="Motor"/>
    <n v="36"/>
    <n v="7233"/>
    <n v="260388"/>
    <s v="West"/>
    <s v="Prime Industries"/>
    <x v="11"/>
  </r>
  <r>
    <d v="2024-12-02T00:00:00"/>
    <s v="INV00891"/>
    <s v="Pump"/>
    <n v="38"/>
    <n v="33385"/>
    <n v="1268630"/>
    <s v="West"/>
    <s v="XYZ Pvt Ltd"/>
    <x v="11"/>
  </r>
  <r>
    <d v="2024-12-25T00:00:00"/>
    <s v="INV00896"/>
    <s v="Compressor"/>
    <n v="8"/>
    <n v="20989"/>
    <n v="167912"/>
    <s v="South"/>
    <s v="Skyline Ltd"/>
    <x v="11"/>
  </r>
  <r>
    <d v="2024-12-15T00:00:00"/>
    <s v="INV00902"/>
    <s v="Compressor"/>
    <n v="28"/>
    <n v="7270"/>
    <n v="203560"/>
    <s v="East"/>
    <s v="Skyline Ltd"/>
    <x v="11"/>
  </r>
  <r>
    <d v="2024-12-25T00:00:00"/>
    <s v="INV00922"/>
    <s v="Motor"/>
    <n v="14"/>
    <n v="32139"/>
    <n v="449946"/>
    <s v="West"/>
    <s v="Prime Industries"/>
    <x v="11"/>
  </r>
  <r>
    <d v="2024-12-28T00:00:00"/>
    <s v="INV00951"/>
    <s v="Compressor"/>
    <n v="2"/>
    <n v="20849"/>
    <n v="41698"/>
    <s v="North"/>
    <s v="ABC Ltd"/>
    <x v="11"/>
  </r>
  <r>
    <d v="2024-12-03T00:00:00"/>
    <s v="INV00955"/>
    <s v="Valve"/>
    <n v="35"/>
    <n v="17718"/>
    <n v="620130"/>
    <s v="West"/>
    <s v="XYZ Pvt Ltd"/>
    <x v="11"/>
  </r>
  <r>
    <d v="2024-12-09T00:00:00"/>
    <s v="INV00975"/>
    <s v="Pump"/>
    <n v="19"/>
    <n v="22401"/>
    <n v="425619"/>
    <s v="North"/>
    <s v="Prime Industries"/>
    <x v="11"/>
  </r>
  <r>
    <d v="2024-12-31T00:00:00"/>
    <s v="INV00990"/>
    <s v="Motor"/>
    <n v="2"/>
    <n v="26045"/>
    <n v="52090"/>
    <s v="North"/>
    <s v="Global Corp"/>
    <x v="11"/>
  </r>
  <r>
    <d v="2024-12-23T00:00:00"/>
    <s v="INV01000"/>
    <s v="Pump"/>
    <n v="15"/>
    <n v="26495"/>
    <n v="397425"/>
    <s v="West"/>
    <s v="ABC Ltd"/>
    <x v="11"/>
  </r>
  <r>
    <d v="2024-12-14T00:00:00"/>
    <s v="INV01017"/>
    <s v="Generator"/>
    <n v="21"/>
    <n v="33511"/>
    <n v="703731"/>
    <s v="East"/>
    <s v="Global Corp"/>
    <x v="11"/>
  </r>
  <r>
    <d v="2024-12-29T00:00:00"/>
    <s v="INV01030"/>
    <s v="Generator"/>
    <n v="38"/>
    <n v="9841"/>
    <n v="373958"/>
    <s v="South"/>
    <s v="Skyline Ltd"/>
    <x v="11"/>
  </r>
  <r>
    <d v="2024-12-16T00:00:00"/>
    <s v="INV01031"/>
    <s v="Pump"/>
    <n v="25"/>
    <n v="11389"/>
    <n v="284725"/>
    <s v="East"/>
    <s v="Skyline Ltd"/>
    <x v="11"/>
  </r>
  <r>
    <d v="2024-12-24T00:00:00"/>
    <s v="INV01037"/>
    <s v="Pump"/>
    <n v="10"/>
    <n v="20650"/>
    <n v="206500"/>
    <s v="South"/>
    <s v="ABC Ltd"/>
    <x v="11"/>
  </r>
  <r>
    <d v="2024-12-28T00:00:00"/>
    <s v="INV01065"/>
    <s v="Compressor"/>
    <n v="5"/>
    <n v="21129"/>
    <n v="105645"/>
    <s v="West"/>
    <s v="Skyline Ltd"/>
    <x v="11"/>
  </r>
  <r>
    <d v="2024-12-28T00:00:00"/>
    <s v="INV01093"/>
    <s v="Motor"/>
    <n v="21"/>
    <n v="13191"/>
    <n v="277011"/>
    <s v="South"/>
    <s v="Skyline Ltd"/>
    <x v="11"/>
  </r>
  <r>
    <d v="2024-12-09T00:00:00"/>
    <s v="INV01094"/>
    <s v="Motor"/>
    <n v="29"/>
    <n v="31924"/>
    <n v="925796"/>
    <s v="West"/>
    <s v="ABC Ltd"/>
    <x v="11"/>
  </r>
  <r>
    <d v="2024-12-12T00:00:00"/>
    <s v="INV01121"/>
    <s v="Motor"/>
    <n v="26"/>
    <n v="6640"/>
    <n v="172640"/>
    <s v="North"/>
    <s v="Prime Industries"/>
    <x v="11"/>
  </r>
  <r>
    <d v="2024-12-25T00:00:00"/>
    <s v="INV01124"/>
    <s v="Pump"/>
    <n v="10"/>
    <n v="23076"/>
    <n v="230760"/>
    <s v="West"/>
    <s v="ABC Ltd"/>
    <x v="11"/>
  </r>
  <r>
    <d v="2024-12-01T00:00:00"/>
    <s v="INV01139"/>
    <s v="Generator"/>
    <n v="22"/>
    <n v="15423"/>
    <n v="339306"/>
    <s v="North"/>
    <s v="Global Corp"/>
    <x v="11"/>
  </r>
  <r>
    <d v="2024-12-27T00:00:00"/>
    <s v="INV01161"/>
    <s v="Pump"/>
    <n v="34"/>
    <n v="13187"/>
    <n v="448358"/>
    <s v="South"/>
    <s v="Global Corp"/>
    <x v="11"/>
  </r>
  <r>
    <d v="2024-12-22T00:00:00"/>
    <s v="INV01169"/>
    <s v="Motor"/>
    <n v="39"/>
    <n v="33793"/>
    <n v="1317927"/>
    <s v="North"/>
    <s v="Prime Industries"/>
    <x v="11"/>
  </r>
  <r>
    <d v="2024-12-26T00:00:00"/>
    <s v="INV01183"/>
    <s v="Motor"/>
    <n v="7"/>
    <n v="21965"/>
    <n v="153755"/>
    <s v="East"/>
    <s v="Prime Industries"/>
    <x v="11"/>
  </r>
  <r>
    <d v="2024-12-03T00:00:00"/>
    <s v="INV01200"/>
    <s v="Valve"/>
    <n v="35"/>
    <n v="41430"/>
    <n v="1450050"/>
    <s v="East"/>
    <s v="Skyline Ltd"/>
    <x v="11"/>
  </r>
  <r>
    <d v="2024-12-28T00:00:00"/>
    <s v="INV01213"/>
    <s v="Generator"/>
    <n v="16"/>
    <n v="27600"/>
    <n v="441600"/>
    <s v="South"/>
    <s v="Global Corp"/>
    <x v="11"/>
  </r>
  <r>
    <d v="2024-12-05T00:00:00"/>
    <s v="INV01215"/>
    <s v="Valve"/>
    <n v="40"/>
    <n v="17235"/>
    <n v="689400"/>
    <s v="North"/>
    <s v="Global Corp"/>
    <x v="11"/>
  </r>
  <r>
    <d v="2024-12-08T00:00:00"/>
    <s v="INV01240"/>
    <s v="Generator"/>
    <n v="13"/>
    <n v="22208"/>
    <n v="288704"/>
    <s v="South"/>
    <s v="ABC Ltd"/>
    <x v="11"/>
  </r>
  <r>
    <d v="2024-12-07T00:00:00"/>
    <s v="INV01252"/>
    <s v="Valve"/>
    <n v="32"/>
    <n v="6056"/>
    <n v="193792"/>
    <s v="East"/>
    <s v="Prime Industries"/>
    <x v="11"/>
  </r>
  <r>
    <d v="2024-12-25T00:00:00"/>
    <s v="INV01261"/>
    <s v="Pump"/>
    <n v="35"/>
    <n v="16762"/>
    <n v="586670"/>
    <s v="East"/>
    <s v="ABC Ltd"/>
    <x v="11"/>
  </r>
  <r>
    <d v="2024-12-06T00:00:00"/>
    <s v="INV01276"/>
    <s v="Motor"/>
    <n v="3"/>
    <n v="14167"/>
    <n v="42501"/>
    <s v="North"/>
    <s v="Global Corp"/>
    <x v="11"/>
  </r>
  <r>
    <d v="2024-12-07T00:00:00"/>
    <s v="INV01290"/>
    <s v="Compressor"/>
    <n v="37"/>
    <n v="11588"/>
    <n v="428756"/>
    <s v="South"/>
    <s v="ABC Ltd"/>
    <x v="11"/>
  </r>
  <r>
    <d v="2024-12-31T00:00:00"/>
    <s v="INV01295"/>
    <s v="Valve"/>
    <n v="4"/>
    <n v="31769"/>
    <n v="127076"/>
    <s v="North"/>
    <s v="XYZ Pvt Ltd"/>
    <x v="11"/>
  </r>
  <r>
    <d v="2024-12-04T00:00:00"/>
    <s v="INV01307"/>
    <s v="Motor"/>
    <n v="22"/>
    <n v="27352"/>
    <n v="601744"/>
    <s v="East"/>
    <s v="ABC Ltd"/>
    <x v="11"/>
  </r>
  <r>
    <d v="2024-12-06T00:00:00"/>
    <s v="INV01316"/>
    <s v="Compressor"/>
    <n v="33"/>
    <n v="36822"/>
    <n v="1215126"/>
    <s v="South"/>
    <s v="XYZ Pvt Ltd"/>
    <x v="11"/>
  </r>
  <r>
    <d v="2024-12-16T00:00:00"/>
    <s v="INV01327"/>
    <s v="Motor"/>
    <n v="20"/>
    <n v="28982"/>
    <n v="579640"/>
    <s v="West"/>
    <s v="XYZ Pvt Ltd"/>
    <x v="11"/>
  </r>
  <r>
    <d v="2024-12-09T00:00:00"/>
    <s v="INV01328"/>
    <s v="Motor"/>
    <n v="22"/>
    <n v="31510"/>
    <n v="693220"/>
    <s v="North"/>
    <s v="Skyline Ltd"/>
    <x v="11"/>
  </r>
  <r>
    <d v="2024-12-16T00:00:00"/>
    <s v="INV01373"/>
    <s v="Pump"/>
    <n v="30"/>
    <n v="12814"/>
    <n v="384420"/>
    <s v="West"/>
    <s v="Global Corp"/>
    <x v="11"/>
  </r>
  <r>
    <d v="2024-12-22T00:00:00"/>
    <s v="INV01417"/>
    <s v="Valve"/>
    <n v="17"/>
    <n v="5204"/>
    <n v="88468"/>
    <s v="South"/>
    <s v="Skyline Ltd"/>
    <x v="11"/>
  </r>
  <r>
    <d v="2024-12-20T00:00:00"/>
    <s v="INV01428"/>
    <s v="Valve"/>
    <n v="30"/>
    <n v="12664"/>
    <n v="379920"/>
    <s v="West"/>
    <s v="ABC Ltd"/>
    <x v="11"/>
  </r>
  <r>
    <d v="2024-12-15T00:00:00"/>
    <s v="INV01440"/>
    <s v="Pump"/>
    <n v="3"/>
    <n v="28173"/>
    <n v="84519"/>
    <s v="South"/>
    <s v="XYZ Pvt Ltd"/>
    <x v="11"/>
  </r>
  <r>
    <d v="2024-12-28T00:00:00"/>
    <s v="INV01443"/>
    <s v="Generator"/>
    <n v="8"/>
    <n v="30044"/>
    <n v="240352"/>
    <s v="South"/>
    <s v="Skyline Ltd"/>
    <x v="11"/>
  </r>
  <r>
    <d v="2024-12-08T00:00:00"/>
    <s v="INV01470"/>
    <s v="Pump"/>
    <n v="1"/>
    <n v="30906"/>
    <n v="30906"/>
    <s v="East"/>
    <s v="Skyline Ltd"/>
    <x v="11"/>
  </r>
  <r>
    <d v="2024-12-13T00:00:00"/>
    <s v="INV01476"/>
    <s v="Compressor"/>
    <n v="17"/>
    <n v="10532"/>
    <n v="179044"/>
    <s v="West"/>
    <s v="ABC Ltd"/>
    <x v="11"/>
  </r>
  <r>
    <d v="2024-12-24T00:00:00"/>
    <s v="INV01481"/>
    <s v="Valve"/>
    <n v="26"/>
    <n v="13828"/>
    <n v="359528"/>
    <s v="East"/>
    <s v="Skyline Ltd"/>
    <x v="11"/>
  </r>
  <r>
    <d v="2024-12-03T00:00:00"/>
    <s v="INV01500"/>
    <s v="Pump"/>
    <n v="31"/>
    <n v="8559"/>
    <n v="265329"/>
    <s v="North"/>
    <s v="XYZ Pvt Ltd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6CD9C-854D-4BD4-AA3B-A223AAD097D4}" name="PivotTable16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Month">
  <location ref="N15:O27" firstHeaderRow="1" firstDataRow="1" firstDataCol="1"/>
  <pivotFields count="9"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Revenue" fld="5" baseField="8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F1BF2-A9F0-46AA-AA94-2E00EF4EA77C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J12:K18" firstHeaderRow="1" firstDataRow="1" firstDataCol="1"/>
  <pivotFields count="3"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Budget_Amount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D392C-6931-4858-A83E-BAD204786AE7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Department">
  <location ref="F12:G18" firstHeaderRow="1" firstDataRow="1" firstDataCol="1"/>
  <pivotFields count="4">
    <pivotField numFmtId="14"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ctual " fld="3" baseField="1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4FA3A-C824-4BD2-A4A7-4EC99DE56FD5}" name="PivotTable1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E3:F16" firstHeaderRow="1" firstDataRow="1" firstDataCol="1"/>
  <pivotFields count="4">
    <pivotField showAll="0"/>
    <pivotField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Budget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5BB1F-49C8-4B8B-B1DC-0A508F5666ED}" name="PivotTable1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ctual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Actual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nufacturing_Finance_MIS_Dataset.xlsx!tblExpense">
        <x15:activeTabTopLevelEntity name="[tblExpen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E9E6B-57DB-4EB5-A821-081D62C3DD92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7:P24" firstHeaderRow="1" firstDataRow="1" firstDataCol="0"/>
  <pivotFields count="4">
    <pivotField numFmtId="14"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1F14E-7DBA-40C6-8B51-E2B49F3CACAE}" name="PivotTable4" cacheId="6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Expense Type">
  <location ref="I5:J10" firstHeaderRow="1" firstDataRow="1" firstDataCol="1"/>
  <pivotFields count="4">
    <pivotField numFmtId="14" showAll="0"/>
    <pivotField showAll="0">
      <items count="6">
        <item x="3"/>
        <item x="1"/>
        <item x="0"/>
        <item x="4"/>
        <item x="2"/>
        <item t="default"/>
      </items>
    </pivotField>
    <pivotField axis="axisRow" showAll="0">
      <items count="6">
        <item x="3"/>
        <item x="4"/>
        <item x="1"/>
        <item x="2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mount " fld="3" baseField="0" baseItem="0"/>
  </dataFields>
  <chartFormats count="6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05285-D4CA-40DB-AEE2-EBCE8649F1CA}" name="tblSales" displayName="tblSales" ref="A1:I1501" totalsRowShown="0">
  <tableColumns count="9">
    <tableColumn id="1" xr3:uid="{EDA91BF2-D72C-4E30-BF56-151656908AF3}" name="Date" dataDxfId="6"/>
    <tableColumn id="2" xr3:uid="{6B430C8F-A5AC-4BEF-97F0-119D73940D86}" name="Invoice_No"/>
    <tableColumn id="3" xr3:uid="{E9CF0CAE-858C-43BC-8021-0E0C63E8352A}" name="Product"/>
    <tableColumn id="4" xr3:uid="{9700EF56-C931-405B-8C0E-2E0156C772C2}" name="Quantity"/>
    <tableColumn id="5" xr3:uid="{3C4FCB64-74DA-4A3F-B8BA-44E604DE46E9}" name="Unit_Price"/>
    <tableColumn id="6" xr3:uid="{DF48E457-F9B2-4135-A4E8-B767D10BD0AC}" name="Sales_Amount"/>
    <tableColumn id="7" xr3:uid="{50A7452F-2BA5-41FF-ACE1-563ED9E3CD80}" name="Region"/>
    <tableColumn id="8" xr3:uid="{82199917-97C3-4E35-BEEF-66887D14636F}" name="Customer"/>
    <tableColumn id="9" xr3:uid="{EF2CA146-B3F3-4F96-AFE5-AFD8266F868D}" name="Month_Name" dataDxfId="5">
      <calculatedColumnFormula>TEXT(tblSales[[#This Row],[Date]],"mmm")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21109B-176E-467D-BFC1-BDF189E27774}" name="Table11" displayName="Table11" ref="L7:M13" totalsRowShown="0" headerRowDxfId="3">
  <autoFilter ref="L7:M13" xr:uid="{3621109B-176E-467D-BFC1-BDF189E27774}"/>
  <tableColumns count="2">
    <tableColumn id="1" xr3:uid="{D804A2AC-2ED7-42CE-86F7-0637FCF0B5F1}" name="Item"/>
    <tableColumn id="2" xr3:uid="{A70B9050-C033-4C62-BB06-7B6ECCC23846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A23A76-0FDD-4C13-BF49-3DD9154F955E}" name="tblProduction" displayName="tblProduction" ref="A1:F1201" totalsRowShown="0">
  <autoFilter ref="A1:F1201" xr:uid="{A5A23A76-0FDD-4C13-BF49-3DD9154F955E}"/>
  <tableColumns count="6">
    <tableColumn id="1" xr3:uid="{67E5C5E2-DABB-4754-8037-9695E23B46A7}" name="Date" dataDxfId="7"/>
    <tableColumn id="2" xr3:uid="{8913F7B5-2AF9-44B9-83C9-435C970E23AA}" name="Product"/>
    <tableColumn id="3" xr3:uid="{DE62B23E-09E4-46EA-A674-E9FD53AC8EDC}" name="Raw_Material"/>
    <tableColumn id="4" xr3:uid="{0E8CE18E-02CA-4A1B-9FF1-48C75E4678B9}" name="Labor"/>
    <tableColumn id="5" xr3:uid="{AD685A9F-FE16-421F-8713-BA7073C569E8}" name="Overhead"/>
    <tableColumn id="6" xr3:uid="{46E23944-D4D1-48B7-A74C-674F91A28AE8}" name="Total_Co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D97857-B017-404C-8299-1973BE893DBE}" name="tblExpense" displayName="tblExpense" ref="A1:F1201" totalsRowShown="0">
  <autoFilter ref="A1:F1201" xr:uid="{42D97857-B017-404C-8299-1973BE893DBE}"/>
  <sortState xmlns:xlrd2="http://schemas.microsoft.com/office/spreadsheetml/2017/richdata2" ref="A2:F1201">
    <sortCondition ref="E2:E1201"/>
  </sortState>
  <tableColumns count="6">
    <tableColumn id="1" xr3:uid="{5575531A-38F8-41D8-9D1E-6AABAD31CF11}" name="Date" dataDxfId="8"/>
    <tableColumn id="2" xr3:uid="{E87F8E3E-6E54-41FD-9620-5B05E105BCEE}" name="Department"/>
    <tableColumn id="3" xr3:uid="{B1EE0994-476E-4291-B292-B45C05A0708C}" name="Expense_Type"/>
    <tableColumn id="4" xr3:uid="{912C7097-2FDE-4AA0-B1D7-272C75341ABB}" name="Amount"/>
    <tableColumn id="5" xr3:uid="{D88BC0FE-8D93-462B-9284-1A4EC96B1586}" name="Month No" dataDxfId="2">
      <calculatedColumnFormula>MONTH(tblExpense[[#This Row],[Date]])</calculatedColumnFormula>
    </tableColumn>
    <tableColumn id="6" xr3:uid="{9F879F28-3C6A-493E-AC94-24BBD063B40C}" name="Month Name" dataDxfId="1">
      <calculatedColumnFormula>TEXT(tblExpense[[#This Row],[Date]],"mmm")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FBFD21-F2C0-4CFC-9CEE-A43D4B709E01}" name="tblBudget" displayName="tblBudget" ref="A1:D61" totalsRowShown="0">
  <autoFilter ref="A1:D61" xr:uid="{BDFBFD21-F2C0-4CFC-9CEE-A43D4B709E01}"/>
  <tableColumns count="4">
    <tableColumn id="1" xr3:uid="{4FDF285D-C880-45BE-B68F-51BA65D95D11}" name="Month"/>
    <tableColumn id="2" xr3:uid="{839D26BB-1C63-465C-B864-2363C5D43E8E}" name="Department"/>
    <tableColumn id="3" xr3:uid="{269EF50F-3869-470C-A5FC-C93903964BCD}" name="Budget_Amount"/>
    <tableColumn id="4" xr3:uid="{FC966A5D-98C0-4599-93F1-AD34241264BF}" name="Month Name" dataDxfId="0">
      <calculatedColumnFormula>TEXT(DATE(2024, tblBudget[[#This Row],[Month]], 1), "mmm")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AAF41A-0723-47EA-8B74-9A25734434C8}" name="tblPayroll" displayName="tblPayroll" ref="A1:E201" totalsRowShown="0">
  <autoFilter ref="A1:E201" xr:uid="{10AAF41A-0723-47EA-8B74-9A25734434C8}"/>
  <tableColumns count="5">
    <tableColumn id="1" xr3:uid="{271F3B79-7D7F-483C-8084-505F4DE96A43}" name="Employee_ID"/>
    <tableColumn id="2" xr3:uid="{782155DE-13C4-4FBA-90B1-ED79AAE88CE2}" name="Department"/>
    <tableColumn id="3" xr3:uid="{FD547946-18FF-483B-928A-FEED4A298891}" name="Salary"/>
    <tableColumn id="4" xr3:uid="{2557AEDC-4D4E-4066-B312-EBC2028EDF4A}" name="Bonus"/>
    <tableColumn id="5" xr3:uid="{EE5C2FA7-1337-4CFB-8CF7-AF81B9CF13BB}" name="Total_Pa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D64EC8-16D8-4F7A-B146-74D93BEC6F12}" name="tblAsset" displayName="tblAsset" ref="A1:E7" totalsRowShown="0">
  <autoFilter ref="A1:E7" xr:uid="{01D64EC8-16D8-4F7A-B146-74D93BEC6F12}"/>
  <tableColumns count="5">
    <tableColumn id="1" xr3:uid="{41359EC7-DB7A-47DF-9ED8-0A46B5BB97B1}" name="Asset_Name"/>
    <tableColumn id="2" xr3:uid="{D39C5B1E-8EBE-4C4B-82FE-C24A10C8EFFB}" name="Purchase_Date" dataDxfId="9"/>
    <tableColumn id="3" xr3:uid="{9C86C355-E0F5-4F0F-913B-1AAB4634DBE1}" name="Cost"/>
    <tableColumn id="4" xr3:uid="{648CD8A1-81BF-4D3C-9AC5-E8F9E00BD7B8}" name="Depreciation_Rate"/>
    <tableColumn id="5" xr3:uid="{8363D2C6-F449-4734-92AC-17A5DA1D7AAC}" name="Depreciation" dataDxfId="4">
      <calculatedColumnFormula>C2*D2 / 100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FCAF74-1C15-4D49-8668-D7E9E817A18B}" name="tblInventory" displayName="tblInventory" ref="A1:C6" totalsRowShown="0">
  <autoFilter ref="A1:C6" xr:uid="{99FCAF74-1C15-4D49-8668-D7E9E817A18B}"/>
  <tableColumns count="3">
    <tableColumn id="1" xr3:uid="{E1202E87-186F-4615-970D-CF89255A50F3}" name="Product"/>
    <tableColumn id="2" xr3:uid="{9DAAB207-5101-4F1A-85F0-95C0ECAC1EFF}" name="Opening_Inventory"/>
    <tableColumn id="3" xr3:uid="{EF4D8847-14D0-4A9A-AC87-EBD2B56D7506}" name="Closing_Invent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opLeftCell="C1" workbookViewId="0">
      <selection activeCell="N15" sqref="N15:O27"/>
    </sheetView>
  </sheetViews>
  <sheetFormatPr defaultRowHeight="14.4" x14ac:dyDescent="0.3"/>
  <cols>
    <col min="1" max="1" width="21" style="1" customWidth="1"/>
    <col min="2" max="2" width="12.44140625" customWidth="1"/>
    <col min="3" max="3" width="9.5546875" customWidth="1"/>
    <col min="4" max="4" width="10.21875" customWidth="1"/>
    <col min="5" max="5" width="11.5546875" customWidth="1"/>
    <col min="6" max="6" width="15" customWidth="1"/>
    <col min="8" max="8" width="18.5546875" customWidth="1"/>
    <col min="9" max="9" width="14.88671875" customWidth="1"/>
    <col min="13" max="13" width="12.5546875" bestFit="1" customWidth="1"/>
    <col min="14" max="15" width="9" bestFit="1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1777</v>
      </c>
    </row>
    <row r="2" spans="1:15" x14ac:dyDescent="0.3">
      <c r="A2" s="1">
        <v>45297</v>
      </c>
      <c r="B2" t="s">
        <v>18</v>
      </c>
      <c r="C2" t="s">
        <v>13</v>
      </c>
      <c r="D2">
        <v>3</v>
      </c>
      <c r="E2">
        <v>11653</v>
      </c>
      <c r="F2">
        <v>34959</v>
      </c>
      <c r="G2" t="s">
        <v>19</v>
      </c>
      <c r="H2" t="s">
        <v>17</v>
      </c>
      <c r="I2" t="str">
        <f>TEXT(tblSales[[#This Row],[Date]],"mmm")</f>
        <v>Jan</v>
      </c>
    </row>
    <row r="3" spans="1:15" x14ac:dyDescent="0.3">
      <c r="A3" s="1">
        <v>45308</v>
      </c>
      <c r="B3" t="s">
        <v>28</v>
      </c>
      <c r="C3" t="s">
        <v>9</v>
      </c>
      <c r="D3">
        <v>4</v>
      </c>
      <c r="E3">
        <v>41584</v>
      </c>
      <c r="F3">
        <v>166336</v>
      </c>
      <c r="G3" t="s">
        <v>14</v>
      </c>
      <c r="H3" t="s">
        <v>17</v>
      </c>
      <c r="I3" t="str">
        <f>TEXT(tblSales[[#This Row],[Date]],"mmm")</f>
        <v>Jan</v>
      </c>
    </row>
    <row r="4" spans="1:15" x14ac:dyDescent="0.3">
      <c r="A4" s="1">
        <v>45318</v>
      </c>
      <c r="B4" t="s">
        <v>29</v>
      </c>
      <c r="C4" t="s">
        <v>26</v>
      </c>
      <c r="D4">
        <v>19</v>
      </c>
      <c r="E4">
        <v>10960</v>
      </c>
      <c r="F4">
        <v>208240</v>
      </c>
      <c r="G4" t="s">
        <v>19</v>
      </c>
      <c r="H4" t="s">
        <v>30</v>
      </c>
      <c r="I4" t="str">
        <f>TEXT(tblSales[[#This Row],[Date]],"mmm")</f>
        <v>Jan</v>
      </c>
    </row>
    <row r="5" spans="1:15" x14ac:dyDescent="0.3">
      <c r="A5" s="1">
        <v>45304</v>
      </c>
      <c r="B5" t="s">
        <v>43</v>
      </c>
      <c r="C5" t="s">
        <v>26</v>
      </c>
      <c r="D5">
        <v>10</v>
      </c>
      <c r="E5">
        <v>41598</v>
      </c>
      <c r="F5">
        <v>415980</v>
      </c>
      <c r="G5" t="s">
        <v>23</v>
      </c>
      <c r="H5" t="s">
        <v>15</v>
      </c>
      <c r="I5" t="str">
        <f>TEXT(tblSales[[#This Row],[Date]],"mmm")</f>
        <v>Jan</v>
      </c>
    </row>
    <row r="6" spans="1:15" x14ac:dyDescent="0.3">
      <c r="A6" s="1">
        <v>45298</v>
      </c>
      <c r="B6" t="s">
        <v>53</v>
      </c>
      <c r="C6" t="s">
        <v>35</v>
      </c>
      <c r="D6">
        <v>32</v>
      </c>
      <c r="E6">
        <v>11985</v>
      </c>
      <c r="F6">
        <v>383520</v>
      </c>
      <c r="G6" t="s">
        <v>10</v>
      </c>
      <c r="H6" t="s">
        <v>11</v>
      </c>
      <c r="I6" t="str">
        <f>TEXT(tblSales[[#This Row],[Date]],"mmm")</f>
        <v>Jan</v>
      </c>
    </row>
    <row r="7" spans="1:15" x14ac:dyDescent="0.3">
      <c r="A7" s="1">
        <v>45318</v>
      </c>
      <c r="B7" t="s">
        <v>63</v>
      </c>
      <c r="C7" t="s">
        <v>22</v>
      </c>
      <c r="D7">
        <v>3</v>
      </c>
      <c r="E7">
        <v>14881</v>
      </c>
      <c r="F7">
        <v>44643</v>
      </c>
      <c r="G7" t="s">
        <v>10</v>
      </c>
      <c r="H7" t="s">
        <v>27</v>
      </c>
      <c r="I7" t="str">
        <f>TEXT(tblSales[[#This Row],[Date]],"mmm")</f>
        <v>Jan</v>
      </c>
    </row>
    <row r="8" spans="1:15" x14ac:dyDescent="0.3">
      <c r="A8" s="1">
        <v>45320</v>
      </c>
      <c r="B8" t="s">
        <v>81</v>
      </c>
      <c r="C8" t="s">
        <v>9</v>
      </c>
      <c r="D8">
        <v>9</v>
      </c>
      <c r="E8">
        <v>6883</v>
      </c>
      <c r="F8">
        <v>61947</v>
      </c>
      <c r="G8" t="s">
        <v>19</v>
      </c>
      <c r="H8" t="s">
        <v>30</v>
      </c>
      <c r="I8" t="str">
        <f>TEXT(tblSales[[#This Row],[Date]],"mmm")</f>
        <v>Jan</v>
      </c>
    </row>
    <row r="9" spans="1:15" x14ac:dyDescent="0.3">
      <c r="A9" s="1">
        <v>45296</v>
      </c>
      <c r="B9" t="s">
        <v>83</v>
      </c>
      <c r="C9" t="s">
        <v>22</v>
      </c>
      <c r="D9">
        <v>11</v>
      </c>
      <c r="E9">
        <v>31200</v>
      </c>
      <c r="F9">
        <v>343200</v>
      </c>
      <c r="G9" t="s">
        <v>23</v>
      </c>
      <c r="H9" t="s">
        <v>17</v>
      </c>
      <c r="I9" t="str">
        <f>TEXT(tblSales[[#This Row],[Date]],"mmm")</f>
        <v>Jan</v>
      </c>
    </row>
    <row r="10" spans="1:15" x14ac:dyDescent="0.3">
      <c r="A10" s="1">
        <v>45293</v>
      </c>
      <c r="B10" t="s">
        <v>90</v>
      </c>
      <c r="C10" t="s">
        <v>9</v>
      </c>
      <c r="D10">
        <v>24</v>
      </c>
      <c r="E10">
        <v>22918</v>
      </c>
      <c r="F10">
        <v>550032</v>
      </c>
      <c r="G10" t="s">
        <v>14</v>
      </c>
      <c r="H10" t="s">
        <v>15</v>
      </c>
      <c r="I10" t="str">
        <f>TEXT(tblSales[[#This Row],[Date]],"mmm")</f>
        <v>Jan</v>
      </c>
    </row>
    <row r="11" spans="1:15" x14ac:dyDescent="0.3">
      <c r="A11" s="1">
        <v>45313</v>
      </c>
      <c r="B11" t="s">
        <v>106</v>
      </c>
      <c r="C11" t="s">
        <v>35</v>
      </c>
      <c r="D11">
        <v>25</v>
      </c>
      <c r="E11">
        <v>17127</v>
      </c>
      <c r="F11">
        <v>428175</v>
      </c>
      <c r="G11" t="s">
        <v>23</v>
      </c>
      <c r="H11" t="s">
        <v>30</v>
      </c>
      <c r="I11" t="str">
        <f>TEXT(tblSales[[#This Row],[Date]],"mmm")</f>
        <v>Jan</v>
      </c>
    </row>
    <row r="12" spans="1:15" x14ac:dyDescent="0.3">
      <c r="A12" s="1">
        <v>45302</v>
      </c>
      <c r="B12" t="s">
        <v>116</v>
      </c>
      <c r="C12" t="s">
        <v>35</v>
      </c>
      <c r="D12">
        <v>29</v>
      </c>
      <c r="E12">
        <v>27150</v>
      </c>
      <c r="F12">
        <v>787350</v>
      </c>
      <c r="G12" t="s">
        <v>10</v>
      </c>
      <c r="H12" t="s">
        <v>15</v>
      </c>
      <c r="I12" t="str">
        <f>TEXT(tblSales[[#This Row],[Date]],"mmm")</f>
        <v>Jan</v>
      </c>
    </row>
    <row r="13" spans="1:15" x14ac:dyDescent="0.3">
      <c r="A13" s="1">
        <v>45305</v>
      </c>
      <c r="B13" t="s">
        <v>120</v>
      </c>
      <c r="C13" t="s">
        <v>9</v>
      </c>
      <c r="D13">
        <v>5</v>
      </c>
      <c r="E13">
        <v>8374</v>
      </c>
      <c r="F13">
        <v>41870</v>
      </c>
      <c r="G13" t="s">
        <v>10</v>
      </c>
      <c r="H13" t="s">
        <v>17</v>
      </c>
      <c r="I13" t="str">
        <f>TEXT(tblSales[[#This Row],[Date]],"mmm")</f>
        <v>Jan</v>
      </c>
    </row>
    <row r="14" spans="1:15" x14ac:dyDescent="0.3">
      <c r="A14" s="1">
        <v>45294</v>
      </c>
      <c r="B14" t="s">
        <v>159</v>
      </c>
      <c r="C14" t="s">
        <v>9</v>
      </c>
      <c r="D14">
        <v>20</v>
      </c>
      <c r="E14">
        <v>43691</v>
      </c>
      <c r="F14">
        <v>873820</v>
      </c>
      <c r="G14" t="s">
        <v>19</v>
      </c>
      <c r="H14" t="s">
        <v>11</v>
      </c>
      <c r="I14" t="str">
        <f>TEXT(tblSales[[#This Row],[Date]],"mmm")</f>
        <v>Jan</v>
      </c>
    </row>
    <row r="15" spans="1:15" x14ac:dyDescent="0.3">
      <c r="A15" s="1">
        <v>45318</v>
      </c>
      <c r="B15" t="s">
        <v>164</v>
      </c>
      <c r="C15" t="s">
        <v>9</v>
      </c>
      <c r="D15">
        <v>10</v>
      </c>
      <c r="E15">
        <v>34942</v>
      </c>
      <c r="F15">
        <v>349420</v>
      </c>
      <c r="G15" t="s">
        <v>10</v>
      </c>
      <c r="H15" t="s">
        <v>11</v>
      </c>
      <c r="I15" t="str">
        <f>TEXT(tblSales[[#This Row],[Date]],"mmm")</f>
        <v>Jan</v>
      </c>
      <c r="N15" s="37" t="s">
        <v>1539</v>
      </c>
      <c r="O15" t="s">
        <v>1810</v>
      </c>
    </row>
    <row r="16" spans="1:15" x14ac:dyDescent="0.3">
      <c r="A16" s="1">
        <v>45321</v>
      </c>
      <c r="B16" t="s">
        <v>174</v>
      </c>
      <c r="C16" t="s">
        <v>13</v>
      </c>
      <c r="D16">
        <v>10</v>
      </c>
      <c r="E16">
        <v>30933</v>
      </c>
      <c r="F16">
        <v>309330</v>
      </c>
      <c r="G16" t="s">
        <v>23</v>
      </c>
      <c r="H16" t="s">
        <v>15</v>
      </c>
      <c r="I16" t="str">
        <f>TEXT(tblSales[[#This Row],[Date]],"mmm")</f>
        <v>Jan</v>
      </c>
      <c r="N16" s="38" t="s">
        <v>1779</v>
      </c>
      <c r="O16" s="39">
        <v>53330265</v>
      </c>
    </row>
    <row r="17" spans="1:15" x14ac:dyDescent="0.3">
      <c r="A17" s="1">
        <v>45306</v>
      </c>
      <c r="B17" t="s">
        <v>182</v>
      </c>
      <c r="C17" t="s">
        <v>13</v>
      </c>
      <c r="D17">
        <v>30</v>
      </c>
      <c r="E17">
        <v>29870</v>
      </c>
      <c r="F17">
        <v>896100</v>
      </c>
      <c r="G17" t="s">
        <v>10</v>
      </c>
      <c r="H17" t="s">
        <v>30</v>
      </c>
      <c r="I17" t="str">
        <f>TEXT(tblSales[[#This Row],[Date]],"mmm")</f>
        <v>Jan</v>
      </c>
      <c r="N17" s="38" t="s">
        <v>1780</v>
      </c>
      <c r="O17" s="39">
        <v>56760805</v>
      </c>
    </row>
    <row r="18" spans="1:15" x14ac:dyDescent="0.3">
      <c r="A18" s="1">
        <v>45302</v>
      </c>
      <c r="B18" t="s">
        <v>185</v>
      </c>
      <c r="C18" t="s">
        <v>22</v>
      </c>
      <c r="D18">
        <v>31</v>
      </c>
      <c r="E18">
        <v>33496</v>
      </c>
      <c r="F18">
        <v>1038376</v>
      </c>
      <c r="G18" t="s">
        <v>23</v>
      </c>
      <c r="H18" t="s">
        <v>17</v>
      </c>
      <c r="I18" t="str">
        <f>TEXT(tblSales[[#This Row],[Date]],"mmm")</f>
        <v>Jan</v>
      </c>
      <c r="N18" s="38" t="s">
        <v>1781</v>
      </c>
      <c r="O18" s="39">
        <v>63822253</v>
      </c>
    </row>
    <row r="19" spans="1:15" x14ac:dyDescent="0.3">
      <c r="A19" s="1">
        <v>45319</v>
      </c>
      <c r="B19" t="s">
        <v>188</v>
      </c>
      <c r="C19" t="s">
        <v>35</v>
      </c>
      <c r="D19">
        <v>26</v>
      </c>
      <c r="E19">
        <v>22738</v>
      </c>
      <c r="F19">
        <v>591188</v>
      </c>
      <c r="G19" t="s">
        <v>14</v>
      </c>
      <c r="H19" t="s">
        <v>27</v>
      </c>
      <c r="I19" t="str">
        <f>TEXT(tblSales[[#This Row],[Date]],"mmm")</f>
        <v>Jan</v>
      </c>
      <c r="N19" s="38" t="s">
        <v>1782</v>
      </c>
      <c r="O19" s="39">
        <v>65762706</v>
      </c>
    </row>
    <row r="20" spans="1:15" x14ac:dyDescent="0.3">
      <c r="A20" s="1">
        <v>45302</v>
      </c>
      <c r="B20" t="s">
        <v>196</v>
      </c>
      <c r="C20" t="s">
        <v>35</v>
      </c>
      <c r="D20">
        <v>12</v>
      </c>
      <c r="E20">
        <v>33716</v>
      </c>
      <c r="F20">
        <v>404592</v>
      </c>
      <c r="G20" t="s">
        <v>14</v>
      </c>
      <c r="H20" t="s">
        <v>11</v>
      </c>
      <c r="I20" t="str">
        <f>TEXT(tblSales[[#This Row],[Date]],"mmm")</f>
        <v>Jan</v>
      </c>
      <c r="N20" s="38" t="s">
        <v>1778</v>
      </c>
      <c r="O20" s="39">
        <v>60741035</v>
      </c>
    </row>
    <row r="21" spans="1:15" x14ac:dyDescent="0.3">
      <c r="A21" s="1">
        <v>45318</v>
      </c>
      <c r="B21" t="s">
        <v>203</v>
      </c>
      <c r="C21" t="s">
        <v>26</v>
      </c>
      <c r="D21">
        <v>1</v>
      </c>
      <c r="E21">
        <v>7106</v>
      </c>
      <c r="F21">
        <v>7106</v>
      </c>
      <c r="G21" t="s">
        <v>14</v>
      </c>
      <c r="H21" t="s">
        <v>17</v>
      </c>
      <c r="I21" t="str">
        <f>TEXT(tblSales[[#This Row],[Date]],"mmm")</f>
        <v>Jan</v>
      </c>
      <c r="N21" s="38" t="s">
        <v>1783</v>
      </c>
      <c r="O21" s="39">
        <v>58848659</v>
      </c>
    </row>
    <row r="22" spans="1:15" x14ac:dyDescent="0.3">
      <c r="A22" s="1">
        <v>45307</v>
      </c>
      <c r="B22" t="s">
        <v>211</v>
      </c>
      <c r="C22" t="s">
        <v>35</v>
      </c>
      <c r="D22">
        <v>3</v>
      </c>
      <c r="E22">
        <v>18856</v>
      </c>
      <c r="F22">
        <v>56568</v>
      </c>
      <c r="G22" t="s">
        <v>23</v>
      </c>
      <c r="H22" t="s">
        <v>27</v>
      </c>
      <c r="I22" t="str">
        <f>TEXT(tblSales[[#This Row],[Date]],"mmm")</f>
        <v>Jan</v>
      </c>
      <c r="N22" s="38" t="s">
        <v>1784</v>
      </c>
      <c r="O22" s="39">
        <v>76418690</v>
      </c>
    </row>
    <row r="23" spans="1:15" x14ac:dyDescent="0.3">
      <c r="A23" s="1">
        <v>45305</v>
      </c>
      <c r="B23" t="s">
        <v>214</v>
      </c>
      <c r="C23" t="s">
        <v>26</v>
      </c>
      <c r="D23">
        <v>10</v>
      </c>
      <c r="E23">
        <v>20259</v>
      </c>
      <c r="F23">
        <v>202590</v>
      </c>
      <c r="G23" t="s">
        <v>14</v>
      </c>
      <c r="H23" t="s">
        <v>30</v>
      </c>
      <c r="I23" t="str">
        <f>TEXT(tblSales[[#This Row],[Date]],"mmm")</f>
        <v>Jan</v>
      </c>
      <c r="N23" s="38" t="s">
        <v>1785</v>
      </c>
      <c r="O23" s="39">
        <v>68394112</v>
      </c>
    </row>
    <row r="24" spans="1:15" x14ac:dyDescent="0.3">
      <c r="A24" s="1">
        <v>45295</v>
      </c>
      <c r="B24" t="s">
        <v>234</v>
      </c>
      <c r="C24" t="s">
        <v>13</v>
      </c>
      <c r="D24">
        <v>10</v>
      </c>
      <c r="E24">
        <v>41827</v>
      </c>
      <c r="F24">
        <v>418270</v>
      </c>
      <c r="G24" t="s">
        <v>14</v>
      </c>
      <c r="H24" t="s">
        <v>17</v>
      </c>
      <c r="I24" t="str">
        <f>TEXT(tblSales[[#This Row],[Date]],"mmm")</f>
        <v>Jan</v>
      </c>
      <c r="N24" s="38" t="s">
        <v>1786</v>
      </c>
      <c r="O24" s="39">
        <v>70175354</v>
      </c>
    </row>
    <row r="25" spans="1:15" x14ac:dyDescent="0.3">
      <c r="A25" s="1">
        <v>45301</v>
      </c>
      <c r="B25" t="s">
        <v>235</v>
      </c>
      <c r="C25" t="s">
        <v>9</v>
      </c>
      <c r="D25">
        <v>7</v>
      </c>
      <c r="E25">
        <v>28984</v>
      </c>
      <c r="F25">
        <v>202888</v>
      </c>
      <c r="G25" t="s">
        <v>23</v>
      </c>
      <c r="H25" t="s">
        <v>30</v>
      </c>
      <c r="I25" t="str">
        <f>TEXT(tblSales[[#This Row],[Date]],"mmm")</f>
        <v>Jan</v>
      </c>
      <c r="N25" s="38" t="s">
        <v>1787</v>
      </c>
      <c r="O25" s="39">
        <v>63047495</v>
      </c>
    </row>
    <row r="26" spans="1:15" x14ac:dyDescent="0.3">
      <c r="A26" s="1">
        <v>45308</v>
      </c>
      <c r="B26" t="s">
        <v>237</v>
      </c>
      <c r="C26" t="s">
        <v>26</v>
      </c>
      <c r="D26">
        <v>7</v>
      </c>
      <c r="E26">
        <v>37801</v>
      </c>
      <c r="F26">
        <v>264607</v>
      </c>
      <c r="G26" t="s">
        <v>14</v>
      </c>
      <c r="H26" t="s">
        <v>17</v>
      </c>
      <c r="I26" t="str">
        <f>TEXT(tblSales[[#This Row],[Date]],"mmm")</f>
        <v>Jan</v>
      </c>
      <c r="N26" s="38" t="s">
        <v>1788</v>
      </c>
      <c r="O26" s="39">
        <v>56272966</v>
      </c>
    </row>
    <row r="27" spans="1:15" x14ac:dyDescent="0.3">
      <c r="A27" s="1">
        <v>45301</v>
      </c>
      <c r="B27" t="s">
        <v>269</v>
      </c>
      <c r="C27" t="s">
        <v>13</v>
      </c>
      <c r="D27">
        <v>21</v>
      </c>
      <c r="E27">
        <v>39062</v>
      </c>
      <c r="F27">
        <v>820302</v>
      </c>
      <c r="G27" t="s">
        <v>23</v>
      </c>
      <c r="H27" t="s">
        <v>11</v>
      </c>
      <c r="I27" t="str">
        <f>TEXT(tblSales[[#This Row],[Date]],"mmm")</f>
        <v>Jan</v>
      </c>
      <c r="N27" s="38" t="s">
        <v>1789</v>
      </c>
      <c r="O27" s="39">
        <v>54714295</v>
      </c>
    </row>
    <row r="28" spans="1:15" x14ac:dyDescent="0.3">
      <c r="A28" s="1">
        <v>45317</v>
      </c>
      <c r="B28" t="s">
        <v>270</v>
      </c>
      <c r="C28" t="s">
        <v>35</v>
      </c>
      <c r="D28">
        <v>20</v>
      </c>
      <c r="E28">
        <v>16405</v>
      </c>
      <c r="F28">
        <v>328100</v>
      </c>
      <c r="G28" t="s">
        <v>19</v>
      </c>
      <c r="H28" t="s">
        <v>17</v>
      </c>
      <c r="I28" t="str">
        <f>TEXT(tblSales[[#This Row],[Date]],"mmm")</f>
        <v>Jan</v>
      </c>
    </row>
    <row r="29" spans="1:15" x14ac:dyDescent="0.3">
      <c r="A29" s="1">
        <v>45292</v>
      </c>
      <c r="B29" t="s">
        <v>272</v>
      </c>
      <c r="C29" t="s">
        <v>35</v>
      </c>
      <c r="D29">
        <v>40</v>
      </c>
      <c r="E29">
        <v>40147</v>
      </c>
      <c r="F29">
        <v>1605880</v>
      </c>
      <c r="G29" t="s">
        <v>14</v>
      </c>
      <c r="H29" t="s">
        <v>27</v>
      </c>
      <c r="I29" t="str">
        <f>TEXT(tblSales[[#This Row],[Date]],"mmm")</f>
        <v>Jan</v>
      </c>
    </row>
    <row r="30" spans="1:15" x14ac:dyDescent="0.3">
      <c r="A30" s="1">
        <v>45298</v>
      </c>
      <c r="B30" t="s">
        <v>274</v>
      </c>
      <c r="C30" t="s">
        <v>13</v>
      </c>
      <c r="D30">
        <v>7</v>
      </c>
      <c r="E30">
        <v>42169</v>
      </c>
      <c r="F30">
        <v>295183</v>
      </c>
      <c r="G30" t="s">
        <v>19</v>
      </c>
      <c r="H30" t="s">
        <v>15</v>
      </c>
      <c r="I30" t="str">
        <f>TEXT(tblSales[[#This Row],[Date]],"mmm")</f>
        <v>Jan</v>
      </c>
    </row>
    <row r="31" spans="1:15" x14ac:dyDescent="0.3">
      <c r="A31" s="1">
        <v>45308</v>
      </c>
      <c r="B31" t="s">
        <v>277</v>
      </c>
      <c r="C31" t="s">
        <v>26</v>
      </c>
      <c r="D31">
        <v>7</v>
      </c>
      <c r="E31">
        <v>14149</v>
      </c>
      <c r="F31">
        <v>99043</v>
      </c>
      <c r="G31" t="s">
        <v>23</v>
      </c>
      <c r="H31" t="s">
        <v>15</v>
      </c>
      <c r="I31" t="str">
        <f>TEXT(tblSales[[#This Row],[Date]],"mmm")</f>
        <v>Jan</v>
      </c>
    </row>
    <row r="32" spans="1:15" x14ac:dyDescent="0.3">
      <c r="A32" s="1">
        <v>45293</v>
      </c>
      <c r="B32" t="s">
        <v>282</v>
      </c>
      <c r="C32" t="s">
        <v>9</v>
      </c>
      <c r="D32">
        <v>25</v>
      </c>
      <c r="E32">
        <v>15832</v>
      </c>
      <c r="F32">
        <v>395800</v>
      </c>
      <c r="G32" t="s">
        <v>10</v>
      </c>
      <c r="H32" t="s">
        <v>30</v>
      </c>
      <c r="I32" t="str">
        <f>TEXT(tblSales[[#This Row],[Date]],"mmm")</f>
        <v>Jan</v>
      </c>
    </row>
    <row r="33" spans="1:9" x14ac:dyDescent="0.3">
      <c r="A33" s="1">
        <v>45314</v>
      </c>
      <c r="B33" t="s">
        <v>283</v>
      </c>
      <c r="C33" t="s">
        <v>35</v>
      </c>
      <c r="D33">
        <v>9</v>
      </c>
      <c r="E33">
        <v>23753</v>
      </c>
      <c r="F33">
        <v>213777</v>
      </c>
      <c r="G33" t="s">
        <v>14</v>
      </c>
      <c r="H33" t="s">
        <v>17</v>
      </c>
      <c r="I33" t="str">
        <f>TEXT(tblSales[[#This Row],[Date]],"mmm")</f>
        <v>Jan</v>
      </c>
    </row>
    <row r="34" spans="1:9" x14ac:dyDescent="0.3">
      <c r="A34" s="1">
        <v>45296</v>
      </c>
      <c r="B34" t="s">
        <v>290</v>
      </c>
      <c r="C34" t="s">
        <v>35</v>
      </c>
      <c r="D34">
        <v>33</v>
      </c>
      <c r="E34">
        <v>11068</v>
      </c>
      <c r="F34">
        <v>365244</v>
      </c>
      <c r="G34" t="s">
        <v>19</v>
      </c>
      <c r="H34" t="s">
        <v>11</v>
      </c>
      <c r="I34" t="str">
        <f>TEXT(tblSales[[#This Row],[Date]],"mmm")</f>
        <v>Jan</v>
      </c>
    </row>
    <row r="35" spans="1:9" x14ac:dyDescent="0.3">
      <c r="A35" s="1">
        <v>45317</v>
      </c>
      <c r="B35" t="s">
        <v>306</v>
      </c>
      <c r="C35" t="s">
        <v>26</v>
      </c>
      <c r="D35">
        <v>27</v>
      </c>
      <c r="E35">
        <v>11739</v>
      </c>
      <c r="F35">
        <v>316953</v>
      </c>
      <c r="G35" t="s">
        <v>23</v>
      </c>
      <c r="H35" t="s">
        <v>11</v>
      </c>
      <c r="I35" t="str">
        <f>TEXT(tblSales[[#This Row],[Date]],"mmm")</f>
        <v>Jan</v>
      </c>
    </row>
    <row r="36" spans="1:9" x14ac:dyDescent="0.3">
      <c r="A36" s="1">
        <v>45314</v>
      </c>
      <c r="B36" t="s">
        <v>329</v>
      </c>
      <c r="C36" t="s">
        <v>9</v>
      </c>
      <c r="D36">
        <v>22</v>
      </c>
      <c r="E36">
        <v>5331</v>
      </c>
      <c r="F36">
        <v>117282</v>
      </c>
      <c r="G36" t="s">
        <v>23</v>
      </c>
      <c r="H36" t="s">
        <v>17</v>
      </c>
      <c r="I36" t="str">
        <f>TEXT(tblSales[[#This Row],[Date]],"mmm")</f>
        <v>Jan</v>
      </c>
    </row>
    <row r="37" spans="1:9" x14ac:dyDescent="0.3">
      <c r="A37" s="1">
        <v>45321</v>
      </c>
      <c r="B37" t="s">
        <v>340</v>
      </c>
      <c r="C37" t="s">
        <v>22</v>
      </c>
      <c r="D37">
        <v>17</v>
      </c>
      <c r="E37">
        <v>13037</v>
      </c>
      <c r="F37">
        <v>221629</v>
      </c>
      <c r="G37" t="s">
        <v>14</v>
      </c>
      <c r="H37" t="s">
        <v>11</v>
      </c>
      <c r="I37" t="str">
        <f>TEXT(tblSales[[#This Row],[Date]],"mmm")</f>
        <v>Jan</v>
      </c>
    </row>
    <row r="38" spans="1:9" x14ac:dyDescent="0.3">
      <c r="A38" s="1">
        <v>45298</v>
      </c>
      <c r="B38" t="s">
        <v>362</v>
      </c>
      <c r="C38" t="s">
        <v>22</v>
      </c>
      <c r="D38">
        <v>19</v>
      </c>
      <c r="E38">
        <v>9879</v>
      </c>
      <c r="F38">
        <v>187701</v>
      </c>
      <c r="G38" t="s">
        <v>19</v>
      </c>
      <c r="H38" t="s">
        <v>17</v>
      </c>
      <c r="I38" t="str">
        <f>TEXT(tblSales[[#This Row],[Date]],"mmm")</f>
        <v>Jan</v>
      </c>
    </row>
    <row r="39" spans="1:9" x14ac:dyDescent="0.3">
      <c r="A39" s="1">
        <v>45311</v>
      </c>
      <c r="B39" t="s">
        <v>367</v>
      </c>
      <c r="C39" t="s">
        <v>22</v>
      </c>
      <c r="D39">
        <v>16</v>
      </c>
      <c r="E39">
        <v>5472</v>
      </c>
      <c r="F39">
        <v>87552</v>
      </c>
      <c r="G39" t="s">
        <v>23</v>
      </c>
      <c r="H39" t="s">
        <v>27</v>
      </c>
      <c r="I39" t="str">
        <f>TEXT(tblSales[[#This Row],[Date]],"mmm")</f>
        <v>Jan</v>
      </c>
    </row>
    <row r="40" spans="1:9" x14ac:dyDescent="0.3">
      <c r="A40" s="1">
        <v>45312</v>
      </c>
      <c r="B40" t="s">
        <v>369</v>
      </c>
      <c r="C40" t="s">
        <v>26</v>
      </c>
      <c r="D40">
        <v>2</v>
      </c>
      <c r="E40">
        <v>38708</v>
      </c>
      <c r="F40">
        <v>77416</v>
      </c>
      <c r="G40" t="s">
        <v>23</v>
      </c>
      <c r="H40" t="s">
        <v>15</v>
      </c>
      <c r="I40" t="str">
        <f>TEXT(tblSales[[#This Row],[Date]],"mmm")</f>
        <v>Jan</v>
      </c>
    </row>
    <row r="41" spans="1:9" x14ac:dyDescent="0.3">
      <c r="A41" s="1">
        <v>45305</v>
      </c>
      <c r="B41" t="s">
        <v>376</v>
      </c>
      <c r="C41" t="s">
        <v>26</v>
      </c>
      <c r="D41">
        <v>19</v>
      </c>
      <c r="E41">
        <v>5972</v>
      </c>
      <c r="F41">
        <v>113468</v>
      </c>
      <c r="G41" t="s">
        <v>14</v>
      </c>
      <c r="H41" t="s">
        <v>15</v>
      </c>
      <c r="I41" t="str">
        <f>TEXT(tblSales[[#This Row],[Date]],"mmm")</f>
        <v>Jan</v>
      </c>
    </row>
    <row r="42" spans="1:9" x14ac:dyDescent="0.3">
      <c r="A42" s="1">
        <v>45298</v>
      </c>
      <c r="B42" t="s">
        <v>393</v>
      </c>
      <c r="C42" t="s">
        <v>35</v>
      </c>
      <c r="D42">
        <v>18</v>
      </c>
      <c r="E42">
        <v>40810</v>
      </c>
      <c r="F42">
        <v>734580</v>
      </c>
      <c r="G42" t="s">
        <v>19</v>
      </c>
      <c r="H42" t="s">
        <v>15</v>
      </c>
      <c r="I42" t="str">
        <f>TEXT(tblSales[[#This Row],[Date]],"mmm")</f>
        <v>Jan</v>
      </c>
    </row>
    <row r="43" spans="1:9" x14ac:dyDescent="0.3">
      <c r="A43" s="1">
        <v>45321</v>
      </c>
      <c r="B43" t="s">
        <v>394</v>
      </c>
      <c r="C43" t="s">
        <v>35</v>
      </c>
      <c r="D43">
        <v>23</v>
      </c>
      <c r="E43">
        <v>23935</v>
      </c>
      <c r="F43">
        <v>550505</v>
      </c>
      <c r="G43" t="s">
        <v>10</v>
      </c>
      <c r="H43" t="s">
        <v>27</v>
      </c>
      <c r="I43" t="str">
        <f>TEXT(tblSales[[#This Row],[Date]],"mmm")</f>
        <v>Jan</v>
      </c>
    </row>
    <row r="44" spans="1:9" x14ac:dyDescent="0.3">
      <c r="A44" s="1">
        <v>45293</v>
      </c>
      <c r="B44" t="s">
        <v>397</v>
      </c>
      <c r="C44" t="s">
        <v>13</v>
      </c>
      <c r="D44">
        <v>3</v>
      </c>
      <c r="E44">
        <v>32042</v>
      </c>
      <c r="F44">
        <v>96126</v>
      </c>
      <c r="G44" t="s">
        <v>19</v>
      </c>
      <c r="H44" t="s">
        <v>30</v>
      </c>
      <c r="I44" t="str">
        <f>TEXT(tblSales[[#This Row],[Date]],"mmm")</f>
        <v>Jan</v>
      </c>
    </row>
    <row r="45" spans="1:9" x14ac:dyDescent="0.3">
      <c r="A45" s="1">
        <v>45311</v>
      </c>
      <c r="B45" t="s">
        <v>406</v>
      </c>
      <c r="C45" t="s">
        <v>9</v>
      </c>
      <c r="D45">
        <v>32</v>
      </c>
      <c r="E45">
        <v>5565</v>
      </c>
      <c r="F45">
        <v>178080</v>
      </c>
      <c r="G45" t="s">
        <v>23</v>
      </c>
      <c r="H45" t="s">
        <v>15</v>
      </c>
      <c r="I45" t="str">
        <f>TEXT(tblSales[[#This Row],[Date]],"mmm")</f>
        <v>Jan</v>
      </c>
    </row>
    <row r="46" spans="1:9" x14ac:dyDescent="0.3">
      <c r="A46" s="1">
        <v>45310</v>
      </c>
      <c r="B46" t="s">
        <v>407</v>
      </c>
      <c r="C46" t="s">
        <v>22</v>
      </c>
      <c r="D46">
        <v>30</v>
      </c>
      <c r="E46">
        <v>22317</v>
      </c>
      <c r="F46">
        <v>669510</v>
      </c>
      <c r="G46" t="s">
        <v>10</v>
      </c>
      <c r="H46" t="s">
        <v>11</v>
      </c>
      <c r="I46" t="str">
        <f>TEXT(tblSales[[#This Row],[Date]],"mmm")</f>
        <v>Jan</v>
      </c>
    </row>
    <row r="47" spans="1:9" x14ac:dyDescent="0.3">
      <c r="A47" s="1">
        <v>45300</v>
      </c>
      <c r="B47" t="s">
        <v>416</v>
      </c>
      <c r="C47" t="s">
        <v>26</v>
      </c>
      <c r="D47">
        <v>10</v>
      </c>
      <c r="E47">
        <v>32652</v>
      </c>
      <c r="F47">
        <v>326520</v>
      </c>
      <c r="G47" t="s">
        <v>19</v>
      </c>
      <c r="H47" t="s">
        <v>27</v>
      </c>
      <c r="I47" t="str">
        <f>TEXT(tblSales[[#This Row],[Date]],"mmm")</f>
        <v>Jan</v>
      </c>
    </row>
    <row r="48" spans="1:9" x14ac:dyDescent="0.3">
      <c r="A48" s="1">
        <v>45304</v>
      </c>
      <c r="B48" t="s">
        <v>490</v>
      </c>
      <c r="C48" t="s">
        <v>22</v>
      </c>
      <c r="D48">
        <v>20</v>
      </c>
      <c r="E48">
        <v>44822</v>
      </c>
      <c r="F48">
        <v>896440</v>
      </c>
      <c r="G48" t="s">
        <v>10</v>
      </c>
      <c r="H48" t="s">
        <v>27</v>
      </c>
      <c r="I48" t="str">
        <f>TEXT(tblSales[[#This Row],[Date]],"mmm")</f>
        <v>Jan</v>
      </c>
    </row>
    <row r="49" spans="1:9" x14ac:dyDescent="0.3">
      <c r="A49" s="1">
        <v>45308</v>
      </c>
      <c r="B49" t="s">
        <v>543</v>
      </c>
      <c r="C49" t="s">
        <v>35</v>
      </c>
      <c r="D49">
        <v>17</v>
      </c>
      <c r="E49">
        <v>12493</v>
      </c>
      <c r="F49">
        <v>212381</v>
      </c>
      <c r="G49" t="s">
        <v>10</v>
      </c>
      <c r="H49" t="s">
        <v>11</v>
      </c>
      <c r="I49" t="str">
        <f>TEXT(tblSales[[#This Row],[Date]],"mmm")</f>
        <v>Jan</v>
      </c>
    </row>
    <row r="50" spans="1:9" x14ac:dyDescent="0.3">
      <c r="A50" s="1">
        <v>45297</v>
      </c>
      <c r="B50" t="s">
        <v>550</v>
      </c>
      <c r="C50" t="s">
        <v>26</v>
      </c>
      <c r="D50">
        <v>5</v>
      </c>
      <c r="E50">
        <v>31628</v>
      </c>
      <c r="F50">
        <v>158140</v>
      </c>
      <c r="G50" t="s">
        <v>23</v>
      </c>
      <c r="H50" t="s">
        <v>11</v>
      </c>
      <c r="I50" t="str">
        <f>TEXT(tblSales[[#This Row],[Date]],"mmm")</f>
        <v>Jan</v>
      </c>
    </row>
    <row r="51" spans="1:9" x14ac:dyDescent="0.3">
      <c r="A51" s="1">
        <v>45303</v>
      </c>
      <c r="B51" t="s">
        <v>559</v>
      </c>
      <c r="C51" t="s">
        <v>26</v>
      </c>
      <c r="D51">
        <v>11</v>
      </c>
      <c r="E51">
        <v>35909</v>
      </c>
      <c r="F51">
        <v>394999</v>
      </c>
      <c r="G51" t="s">
        <v>14</v>
      </c>
      <c r="H51" t="s">
        <v>17</v>
      </c>
      <c r="I51" t="str">
        <f>TEXT(tblSales[[#This Row],[Date]],"mmm")</f>
        <v>Jan</v>
      </c>
    </row>
    <row r="52" spans="1:9" x14ac:dyDescent="0.3">
      <c r="A52" s="1">
        <v>45316</v>
      </c>
      <c r="B52" t="s">
        <v>573</v>
      </c>
      <c r="C52" t="s">
        <v>9</v>
      </c>
      <c r="D52">
        <v>9</v>
      </c>
      <c r="E52">
        <v>14668</v>
      </c>
      <c r="F52">
        <v>132012</v>
      </c>
      <c r="G52" t="s">
        <v>14</v>
      </c>
      <c r="H52" t="s">
        <v>17</v>
      </c>
      <c r="I52" t="str">
        <f>TEXT(tblSales[[#This Row],[Date]],"mmm")</f>
        <v>Jan</v>
      </c>
    </row>
    <row r="53" spans="1:9" x14ac:dyDescent="0.3">
      <c r="A53" s="1">
        <v>45314</v>
      </c>
      <c r="B53" t="s">
        <v>574</v>
      </c>
      <c r="C53" t="s">
        <v>35</v>
      </c>
      <c r="D53">
        <v>37</v>
      </c>
      <c r="E53">
        <v>27274</v>
      </c>
      <c r="F53">
        <v>1009138</v>
      </c>
      <c r="G53" t="s">
        <v>14</v>
      </c>
      <c r="H53" t="s">
        <v>17</v>
      </c>
      <c r="I53" t="str">
        <f>TEXT(tblSales[[#This Row],[Date]],"mmm")</f>
        <v>Jan</v>
      </c>
    </row>
    <row r="54" spans="1:9" x14ac:dyDescent="0.3">
      <c r="A54" s="1">
        <v>45303</v>
      </c>
      <c r="B54" t="s">
        <v>582</v>
      </c>
      <c r="C54" t="s">
        <v>26</v>
      </c>
      <c r="D54">
        <v>38</v>
      </c>
      <c r="E54">
        <v>29214</v>
      </c>
      <c r="F54">
        <v>1110132</v>
      </c>
      <c r="G54" t="s">
        <v>23</v>
      </c>
      <c r="H54" t="s">
        <v>30</v>
      </c>
      <c r="I54" t="str">
        <f>TEXT(tblSales[[#This Row],[Date]],"mmm")</f>
        <v>Jan</v>
      </c>
    </row>
    <row r="55" spans="1:9" x14ac:dyDescent="0.3">
      <c r="A55" s="1">
        <v>45307</v>
      </c>
      <c r="B55" t="s">
        <v>585</v>
      </c>
      <c r="C55" t="s">
        <v>35</v>
      </c>
      <c r="D55">
        <v>5</v>
      </c>
      <c r="E55">
        <v>35659</v>
      </c>
      <c r="F55">
        <v>178295</v>
      </c>
      <c r="G55" t="s">
        <v>14</v>
      </c>
      <c r="H55" t="s">
        <v>17</v>
      </c>
      <c r="I55" t="str">
        <f>TEXT(tblSales[[#This Row],[Date]],"mmm")</f>
        <v>Jan</v>
      </c>
    </row>
    <row r="56" spans="1:9" x14ac:dyDescent="0.3">
      <c r="A56" s="1">
        <v>45322</v>
      </c>
      <c r="B56" t="s">
        <v>603</v>
      </c>
      <c r="C56" t="s">
        <v>22</v>
      </c>
      <c r="D56">
        <v>36</v>
      </c>
      <c r="E56">
        <v>24801</v>
      </c>
      <c r="F56">
        <v>892836</v>
      </c>
      <c r="G56" t="s">
        <v>19</v>
      </c>
      <c r="H56" t="s">
        <v>11</v>
      </c>
      <c r="I56" t="str">
        <f>TEXT(tblSales[[#This Row],[Date]],"mmm")</f>
        <v>Jan</v>
      </c>
    </row>
    <row r="57" spans="1:9" x14ac:dyDescent="0.3">
      <c r="A57" s="1">
        <v>45318</v>
      </c>
      <c r="B57" t="s">
        <v>615</v>
      </c>
      <c r="C57" t="s">
        <v>35</v>
      </c>
      <c r="D57">
        <v>12</v>
      </c>
      <c r="E57">
        <v>9114</v>
      </c>
      <c r="F57">
        <v>109368</v>
      </c>
      <c r="G57" t="s">
        <v>19</v>
      </c>
      <c r="H57" t="s">
        <v>11</v>
      </c>
      <c r="I57" t="str">
        <f>TEXT(tblSales[[#This Row],[Date]],"mmm")</f>
        <v>Jan</v>
      </c>
    </row>
    <row r="58" spans="1:9" x14ac:dyDescent="0.3">
      <c r="A58" s="1">
        <v>45295</v>
      </c>
      <c r="B58" t="s">
        <v>634</v>
      </c>
      <c r="C58" t="s">
        <v>13</v>
      </c>
      <c r="D58">
        <v>16</v>
      </c>
      <c r="E58">
        <v>20318</v>
      </c>
      <c r="F58">
        <v>325088</v>
      </c>
      <c r="G58" t="s">
        <v>14</v>
      </c>
      <c r="H58" t="s">
        <v>27</v>
      </c>
      <c r="I58" t="str">
        <f>TEXT(tblSales[[#This Row],[Date]],"mmm")</f>
        <v>Jan</v>
      </c>
    </row>
    <row r="59" spans="1:9" x14ac:dyDescent="0.3">
      <c r="A59" s="1">
        <v>45295</v>
      </c>
      <c r="B59" t="s">
        <v>636</v>
      </c>
      <c r="C59" t="s">
        <v>9</v>
      </c>
      <c r="D59">
        <v>4</v>
      </c>
      <c r="E59">
        <v>18173</v>
      </c>
      <c r="F59">
        <v>72692</v>
      </c>
      <c r="G59" t="s">
        <v>19</v>
      </c>
      <c r="H59" t="s">
        <v>17</v>
      </c>
      <c r="I59" t="str">
        <f>TEXT(tblSales[[#This Row],[Date]],"mmm")</f>
        <v>Jan</v>
      </c>
    </row>
    <row r="60" spans="1:9" x14ac:dyDescent="0.3">
      <c r="A60" s="1">
        <v>45318</v>
      </c>
      <c r="B60" t="s">
        <v>668</v>
      </c>
      <c r="C60" t="s">
        <v>35</v>
      </c>
      <c r="D60">
        <v>11</v>
      </c>
      <c r="E60">
        <v>44690</v>
      </c>
      <c r="F60">
        <v>491590</v>
      </c>
      <c r="G60" t="s">
        <v>19</v>
      </c>
      <c r="H60" t="s">
        <v>27</v>
      </c>
      <c r="I60" t="str">
        <f>TEXT(tblSales[[#This Row],[Date]],"mmm")</f>
        <v>Jan</v>
      </c>
    </row>
    <row r="61" spans="1:9" x14ac:dyDescent="0.3">
      <c r="A61" s="1">
        <v>45318</v>
      </c>
      <c r="B61" t="s">
        <v>674</v>
      </c>
      <c r="C61" t="s">
        <v>26</v>
      </c>
      <c r="D61">
        <v>16</v>
      </c>
      <c r="E61">
        <v>29410</v>
      </c>
      <c r="F61">
        <v>470560</v>
      </c>
      <c r="G61" t="s">
        <v>14</v>
      </c>
      <c r="H61" t="s">
        <v>11</v>
      </c>
      <c r="I61" t="str">
        <f>TEXT(tblSales[[#This Row],[Date]],"mmm")</f>
        <v>Jan</v>
      </c>
    </row>
    <row r="62" spans="1:9" x14ac:dyDescent="0.3">
      <c r="A62" s="1">
        <v>45308</v>
      </c>
      <c r="B62" t="s">
        <v>697</v>
      </c>
      <c r="C62" t="s">
        <v>26</v>
      </c>
      <c r="D62">
        <v>33</v>
      </c>
      <c r="E62">
        <v>5808</v>
      </c>
      <c r="F62">
        <v>191664</v>
      </c>
      <c r="G62" t="s">
        <v>19</v>
      </c>
      <c r="H62" t="s">
        <v>15</v>
      </c>
      <c r="I62" t="str">
        <f>TEXT(tblSales[[#This Row],[Date]],"mmm")</f>
        <v>Jan</v>
      </c>
    </row>
    <row r="63" spans="1:9" x14ac:dyDescent="0.3">
      <c r="A63" s="1">
        <v>45309</v>
      </c>
      <c r="B63" t="s">
        <v>748</v>
      </c>
      <c r="C63" t="s">
        <v>35</v>
      </c>
      <c r="D63">
        <v>22</v>
      </c>
      <c r="E63">
        <v>19402</v>
      </c>
      <c r="F63">
        <v>426844</v>
      </c>
      <c r="G63" t="s">
        <v>10</v>
      </c>
      <c r="H63" t="s">
        <v>30</v>
      </c>
      <c r="I63" t="str">
        <f>TEXT(tblSales[[#This Row],[Date]],"mmm")</f>
        <v>Jan</v>
      </c>
    </row>
    <row r="64" spans="1:9" x14ac:dyDescent="0.3">
      <c r="A64" s="1">
        <v>45304</v>
      </c>
      <c r="B64" t="s">
        <v>757</v>
      </c>
      <c r="C64" t="s">
        <v>22</v>
      </c>
      <c r="D64">
        <v>8</v>
      </c>
      <c r="E64">
        <v>26938</v>
      </c>
      <c r="F64">
        <v>215504</v>
      </c>
      <c r="G64" t="s">
        <v>19</v>
      </c>
      <c r="H64" t="s">
        <v>30</v>
      </c>
      <c r="I64" t="str">
        <f>TEXT(tblSales[[#This Row],[Date]],"mmm")</f>
        <v>Jan</v>
      </c>
    </row>
    <row r="65" spans="1:9" x14ac:dyDescent="0.3">
      <c r="A65" s="1">
        <v>45307</v>
      </c>
      <c r="B65" t="s">
        <v>758</v>
      </c>
      <c r="C65" t="s">
        <v>13</v>
      </c>
      <c r="D65">
        <v>3</v>
      </c>
      <c r="E65">
        <v>30325</v>
      </c>
      <c r="F65">
        <v>90975</v>
      </c>
      <c r="G65" t="s">
        <v>23</v>
      </c>
      <c r="H65" t="s">
        <v>27</v>
      </c>
      <c r="I65" t="str">
        <f>TEXT(tblSales[[#This Row],[Date]],"mmm")</f>
        <v>Jan</v>
      </c>
    </row>
    <row r="66" spans="1:9" x14ac:dyDescent="0.3">
      <c r="A66" s="1">
        <v>45294</v>
      </c>
      <c r="B66" t="s">
        <v>768</v>
      </c>
      <c r="C66" t="s">
        <v>13</v>
      </c>
      <c r="D66">
        <v>4</v>
      </c>
      <c r="E66">
        <v>10614</v>
      </c>
      <c r="F66">
        <v>42456</v>
      </c>
      <c r="G66" t="s">
        <v>14</v>
      </c>
      <c r="H66" t="s">
        <v>27</v>
      </c>
      <c r="I66" t="str">
        <f>TEXT(tblSales[[#This Row],[Date]],"mmm")</f>
        <v>Jan</v>
      </c>
    </row>
    <row r="67" spans="1:9" x14ac:dyDescent="0.3">
      <c r="A67" s="1">
        <v>45301</v>
      </c>
      <c r="B67" t="s">
        <v>773</v>
      </c>
      <c r="C67" t="s">
        <v>35</v>
      </c>
      <c r="D67">
        <v>23</v>
      </c>
      <c r="E67">
        <v>38226</v>
      </c>
      <c r="F67">
        <v>879198</v>
      </c>
      <c r="G67" t="s">
        <v>10</v>
      </c>
      <c r="H67" t="s">
        <v>11</v>
      </c>
      <c r="I67" t="str">
        <f>TEXT(tblSales[[#This Row],[Date]],"mmm")</f>
        <v>Jan</v>
      </c>
    </row>
    <row r="68" spans="1:9" x14ac:dyDescent="0.3">
      <c r="A68" s="1">
        <v>45302</v>
      </c>
      <c r="B68" t="s">
        <v>787</v>
      </c>
      <c r="C68" t="s">
        <v>13</v>
      </c>
      <c r="D68">
        <v>28</v>
      </c>
      <c r="E68">
        <v>12480</v>
      </c>
      <c r="F68">
        <v>349440</v>
      </c>
      <c r="G68" t="s">
        <v>14</v>
      </c>
      <c r="H68" t="s">
        <v>30</v>
      </c>
      <c r="I68" t="str">
        <f>TEXT(tblSales[[#This Row],[Date]],"mmm")</f>
        <v>Jan</v>
      </c>
    </row>
    <row r="69" spans="1:9" x14ac:dyDescent="0.3">
      <c r="A69" s="1">
        <v>45316</v>
      </c>
      <c r="B69" t="s">
        <v>793</v>
      </c>
      <c r="C69" t="s">
        <v>9</v>
      </c>
      <c r="D69">
        <v>9</v>
      </c>
      <c r="E69">
        <v>25236</v>
      </c>
      <c r="F69">
        <v>227124</v>
      </c>
      <c r="G69" t="s">
        <v>14</v>
      </c>
      <c r="H69" t="s">
        <v>27</v>
      </c>
      <c r="I69" t="str">
        <f>TEXT(tblSales[[#This Row],[Date]],"mmm")</f>
        <v>Jan</v>
      </c>
    </row>
    <row r="70" spans="1:9" x14ac:dyDescent="0.3">
      <c r="A70" s="1">
        <v>45321</v>
      </c>
      <c r="B70" t="s">
        <v>800</v>
      </c>
      <c r="C70" t="s">
        <v>22</v>
      </c>
      <c r="D70">
        <v>37</v>
      </c>
      <c r="E70">
        <v>17667</v>
      </c>
      <c r="F70">
        <v>653679</v>
      </c>
      <c r="G70" t="s">
        <v>23</v>
      </c>
      <c r="H70" t="s">
        <v>27</v>
      </c>
      <c r="I70" t="str">
        <f>TEXT(tblSales[[#This Row],[Date]],"mmm")</f>
        <v>Jan</v>
      </c>
    </row>
    <row r="71" spans="1:9" x14ac:dyDescent="0.3">
      <c r="A71" s="1">
        <v>45316</v>
      </c>
      <c r="B71" t="s">
        <v>810</v>
      </c>
      <c r="C71" t="s">
        <v>35</v>
      </c>
      <c r="D71">
        <v>2</v>
      </c>
      <c r="E71">
        <v>31499</v>
      </c>
      <c r="F71">
        <v>62998</v>
      </c>
      <c r="G71" t="s">
        <v>19</v>
      </c>
      <c r="H71" t="s">
        <v>15</v>
      </c>
      <c r="I71" t="str">
        <f>TEXT(tblSales[[#This Row],[Date]],"mmm")</f>
        <v>Jan</v>
      </c>
    </row>
    <row r="72" spans="1:9" x14ac:dyDescent="0.3">
      <c r="A72" s="1">
        <v>45292</v>
      </c>
      <c r="B72" t="s">
        <v>818</v>
      </c>
      <c r="C72" t="s">
        <v>35</v>
      </c>
      <c r="D72">
        <v>15</v>
      </c>
      <c r="E72">
        <v>33493</v>
      </c>
      <c r="F72">
        <v>502395</v>
      </c>
      <c r="G72" t="s">
        <v>19</v>
      </c>
      <c r="H72" t="s">
        <v>11</v>
      </c>
      <c r="I72" t="str">
        <f>TEXT(tblSales[[#This Row],[Date]],"mmm")</f>
        <v>Jan</v>
      </c>
    </row>
    <row r="73" spans="1:9" x14ac:dyDescent="0.3">
      <c r="A73" s="1">
        <v>45322</v>
      </c>
      <c r="B73" t="s">
        <v>821</v>
      </c>
      <c r="C73" t="s">
        <v>22</v>
      </c>
      <c r="D73">
        <v>18</v>
      </c>
      <c r="E73">
        <v>27240</v>
      </c>
      <c r="F73">
        <v>490320</v>
      </c>
      <c r="G73" t="s">
        <v>14</v>
      </c>
      <c r="H73" t="s">
        <v>30</v>
      </c>
      <c r="I73" t="str">
        <f>TEXT(tblSales[[#This Row],[Date]],"mmm")</f>
        <v>Jan</v>
      </c>
    </row>
    <row r="74" spans="1:9" x14ac:dyDescent="0.3">
      <c r="A74" s="1">
        <v>45300</v>
      </c>
      <c r="B74" t="s">
        <v>827</v>
      </c>
      <c r="C74" t="s">
        <v>22</v>
      </c>
      <c r="D74">
        <v>14</v>
      </c>
      <c r="E74">
        <v>31050</v>
      </c>
      <c r="F74">
        <v>434700</v>
      </c>
      <c r="G74" t="s">
        <v>19</v>
      </c>
      <c r="H74" t="s">
        <v>11</v>
      </c>
      <c r="I74" t="str">
        <f>TEXT(tblSales[[#This Row],[Date]],"mmm")</f>
        <v>Jan</v>
      </c>
    </row>
    <row r="75" spans="1:9" x14ac:dyDescent="0.3">
      <c r="A75" s="1">
        <v>45305</v>
      </c>
      <c r="B75" t="s">
        <v>890</v>
      </c>
      <c r="C75" t="s">
        <v>35</v>
      </c>
      <c r="D75">
        <v>23</v>
      </c>
      <c r="E75">
        <v>17803</v>
      </c>
      <c r="F75">
        <v>409469</v>
      </c>
      <c r="G75" t="s">
        <v>14</v>
      </c>
      <c r="H75" t="s">
        <v>17</v>
      </c>
      <c r="I75" t="str">
        <f>TEXT(tblSales[[#This Row],[Date]],"mmm")</f>
        <v>Jan</v>
      </c>
    </row>
    <row r="76" spans="1:9" x14ac:dyDescent="0.3">
      <c r="A76" s="1">
        <v>45312</v>
      </c>
      <c r="B76" t="s">
        <v>906</v>
      </c>
      <c r="C76" t="s">
        <v>35</v>
      </c>
      <c r="D76">
        <v>7</v>
      </c>
      <c r="E76">
        <v>44713</v>
      </c>
      <c r="F76">
        <v>312991</v>
      </c>
      <c r="G76" t="s">
        <v>10</v>
      </c>
      <c r="H76" t="s">
        <v>30</v>
      </c>
      <c r="I76" t="str">
        <f>TEXT(tblSales[[#This Row],[Date]],"mmm")</f>
        <v>Jan</v>
      </c>
    </row>
    <row r="77" spans="1:9" x14ac:dyDescent="0.3">
      <c r="A77" s="1">
        <v>45309</v>
      </c>
      <c r="B77" t="s">
        <v>927</v>
      </c>
      <c r="C77" t="s">
        <v>22</v>
      </c>
      <c r="D77">
        <v>9</v>
      </c>
      <c r="E77">
        <v>25656</v>
      </c>
      <c r="F77">
        <v>230904</v>
      </c>
      <c r="G77" t="s">
        <v>14</v>
      </c>
      <c r="H77" t="s">
        <v>27</v>
      </c>
      <c r="I77" t="str">
        <f>TEXT(tblSales[[#This Row],[Date]],"mmm")</f>
        <v>Jan</v>
      </c>
    </row>
    <row r="78" spans="1:9" x14ac:dyDescent="0.3">
      <c r="A78" s="1">
        <v>45299</v>
      </c>
      <c r="B78" t="s">
        <v>928</v>
      </c>
      <c r="C78" t="s">
        <v>9</v>
      </c>
      <c r="D78">
        <v>27</v>
      </c>
      <c r="E78">
        <v>17575</v>
      </c>
      <c r="F78">
        <v>474525</v>
      </c>
      <c r="G78" t="s">
        <v>10</v>
      </c>
      <c r="H78" t="s">
        <v>15</v>
      </c>
      <c r="I78" t="str">
        <f>TEXT(tblSales[[#This Row],[Date]],"mmm")</f>
        <v>Jan</v>
      </c>
    </row>
    <row r="79" spans="1:9" x14ac:dyDescent="0.3">
      <c r="A79" s="1">
        <v>45312</v>
      </c>
      <c r="B79" t="s">
        <v>932</v>
      </c>
      <c r="C79" t="s">
        <v>13</v>
      </c>
      <c r="D79">
        <v>31</v>
      </c>
      <c r="E79">
        <v>21300</v>
      </c>
      <c r="F79">
        <v>660300</v>
      </c>
      <c r="G79" t="s">
        <v>19</v>
      </c>
      <c r="H79" t="s">
        <v>15</v>
      </c>
      <c r="I79" t="str">
        <f>TEXT(tblSales[[#This Row],[Date]],"mmm")</f>
        <v>Jan</v>
      </c>
    </row>
    <row r="80" spans="1:9" x14ac:dyDescent="0.3">
      <c r="A80" s="1">
        <v>45312</v>
      </c>
      <c r="B80" t="s">
        <v>934</v>
      </c>
      <c r="C80" t="s">
        <v>26</v>
      </c>
      <c r="D80">
        <v>23</v>
      </c>
      <c r="E80">
        <v>16459</v>
      </c>
      <c r="F80">
        <v>378557</v>
      </c>
      <c r="G80" t="s">
        <v>14</v>
      </c>
      <c r="H80" t="s">
        <v>11</v>
      </c>
      <c r="I80" t="str">
        <f>TEXT(tblSales[[#This Row],[Date]],"mmm")</f>
        <v>Jan</v>
      </c>
    </row>
    <row r="81" spans="1:9" x14ac:dyDescent="0.3">
      <c r="A81" s="1">
        <v>45311</v>
      </c>
      <c r="B81" t="s">
        <v>941</v>
      </c>
      <c r="C81" t="s">
        <v>35</v>
      </c>
      <c r="D81">
        <v>19</v>
      </c>
      <c r="E81">
        <v>31385</v>
      </c>
      <c r="F81">
        <v>596315</v>
      </c>
      <c r="G81" t="s">
        <v>14</v>
      </c>
      <c r="H81" t="s">
        <v>15</v>
      </c>
      <c r="I81" t="str">
        <f>TEXT(tblSales[[#This Row],[Date]],"mmm")</f>
        <v>Jan</v>
      </c>
    </row>
    <row r="82" spans="1:9" x14ac:dyDescent="0.3">
      <c r="A82" s="1">
        <v>45311</v>
      </c>
      <c r="B82" t="s">
        <v>956</v>
      </c>
      <c r="C82" t="s">
        <v>9</v>
      </c>
      <c r="D82">
        <v>37</v>
      </c>
      <c r="E82">
        <v>7897</v>
      </c>
      <c r="F82">
        <v>292189</v>
      </c>
      <c r="G82" t="s">
        <v>19</v>
      </c>
      <c r="H82" t="s">
        <v>15</v>
      </c>
      <c r="I82" t="str">
        <f>TEXT(tblSales[[#This Row],[Date]],"mmm")</f>
        <v>Jan</v>
      </c>
    </row>
    <row r="83" spans="1:9" x14ac:dyDescent="0.3">
      <c r="A83" s="1">
        <v>45308</v>
      </c>
      <c r="B83" t="s">
        <v>960</v>
      </c>
      <c r="C83" t="s">
        <v>26</v>
      </c>
      <c r="D83">
        <v>15</v>
      </c>
      <c r="E83">
        <v>30454</v>
      </c>
      <c r="F83">
        <v>456810</v>
      </c>
      <c r="G83" t="s">
        <v>19</v>
      </c>
      <c r="H83" t="s">
        <v>17</v>
      </c>
      <c r="I83" t="str">
        <f>TEXT(tblSales[[#This Row],[Date]],"mmm")</f>
        <v>Jan</v>
      </c>
    </row>
    <row r="84" spans="1:9" x14ac:dyDescent="0.3">
      <c r="A84" s="1">
        <v>45306</v>
      </c>
      <c r="B84" t="s">
        <v>963</v>
      </c>
      <c r="C84" t="s">
        <v>22</v>
      </c>
      <c r="D84">
        <v>9</v>
      </c>
      <c r="E84">
        <v>21798</v>
      </c>
      <c r="F84">
        <v>196182</v>
      </c>
      <c r="G84" t="s">
        <v>10</v>
      </c>
      <c r="H84" t="s">
        <v>30</v>
      </c>
      <c r="I84" t="str">
        <f>TEXT(tblSales[[#This Row],[Date]],"mmm")</f>
        <v>Jan</v>
      </c>
    </row>
    <row r="85" spans="1:9" x14ac:dyDescent="0.3">
      <c r="A85" s="1">
        <v>45301</v>
      </c>
      <c r="B85" t="s">
        <v>986</v>
      </c>
      <c r="C85" t="s">
        <v>26</v>
      </c>
      <c r="D85">
        <v>32</v>
      </c>
      <c r="E85">
        <v>13808</v>
      </c>
      <c r="F85">
        <v>441856</v>
      </c>
      <c r="G85" t="s">
        <v>23</v>
      </c>
      <c r="H85" t="s">
        <v>17</v>
      </c>
      <c r="I85" t="str">
        <f>TEXT(tblSales[[#This Row],[Date]],"mmm")</f>
        <v>Jan</v>
      </c>
    </row>
    <row r="86" spans="1:9" x14ac:dyDescent="0.3">
      <c r="A86" s="1">
        <v>45315</v>
      </c>
      <c r="B86" t="s">
        <v>994</v>
      </c>
      <c r="C86" t="s">
        <v>26</v>
      </c>
      <c r="D86">
        <v>21</v>
      </c>
      <c r="E86">
        <v>32884</v>
      </c>
      <c r="F86">
        <v>690564</v>
      </c>
      <c r="G86" t="s">
        <v>10</v>
      </c>
      <c r="H86" t="s">
        <v>15</v>
      </c>
      <c r="I86" t="str">
        <f>TEXT(tblSales[[#This Row],[Date]],"mmm")</f>
        <v>Jan</v>
      </c>
    </row>
    <row r="87" spans="1:9" x14ac:dyDescent="0.3">
      <c r="A87" s="1">
        <v>45319</v>
      </c>
      <c r="B87" t="s">
        <v>1039</v>
      </c>
      <c r="C87" t="s">
        <v>35</v>
      </c>
      <c r="D87">
        <v>8</v>
      </c>
      <c r="E87">
        <v>15899</v>
      </c>
      <c r="F87">
        <v>127192</v>
      </c>
      <c r="G87" t="s">
        <v>19</v>
      </c>
      <c r="H87" t="s">
        <v>30</v>
      </c>
      <c r="I87" t="str">
        <f>TEXT(tblSales[[#This Row],[Date]],"mmm")</f>
        <v>Jan</v>
      </c>
    </row>
    <row r="88" spans="1:9" x14ac:dyDescent="0.3">
      <c r="A88" s="1">
        <v>45317</v>
      </c>
      <c r="B88" t="s">
        <v>1041</v>
      </c>
      <c r="C88" t="s">
        <v>9</v>
      </c>
      <c r="D88">
        <v>34</v>
      </c>
      <c r="E88">
        <v>7698</v>
      </c>
      <c r="F88">
        <v>261732</v>
      </c>
      <c r="G88" t="s">
        <v>10</v>
      </c>
      <c r="H88" t="s">
        <v>15</v>
      </c>
      <c r="I88" t="str">
        <f>TEXT(tblSales[[#This Row],[Date]],"mmm")</f>
        <v>Jan</v>
      </c>
    </row>
    <row r="89" spans="1:9" x14ac:dyDescent="0.3">
      <c r="A89" s="1">
        <v>45309</v>
      </c>
      <c r="B89" t="s">
        <v>1042</v>
      </c>
      <c r="C89" t="s">
        <v>9</v>
      </c>
      <c r="D89">
        <v>35</v>
      </c>
      <c r="E89">
        <v>12728</v>
      </c>
      <c r="F89">
        <v>445480</v>
      </c>
      <c r="G89" t="s">
        <v>23</v>
      </c>
      <c r="H89" t="s">
        <v>30</v>
      </c>
      <c r="I89" t="str">
        <f>TEXT(tblSales[[#This Row],[Date]],"mmm")</f>
        <v>Jan</v>
      </c>
    </row>
    <row r="90" spans="1:9" x14ac:dyDescent="0.3">
      <c r="A90" s="1">
        <v>45293</v>
      </c>
      <c r="B90" t="s">
        <v>1064</v>
      </c>
      <c r="C90" t="s">
        <v>22</v>
      </c>
      <c r="D90">
        <v>16</v>
      </c>
      <c r="E90">
        <v>20683</v>
      </c>
      <c r="F90">
        <v>330928</v>
      </c>
      <c r="G90" t="s">
        <v>19</v>
      </c>
      <c r="H90" t="s">
        <v>17</v>
      </c>
      <c r="I90" t="str">
        <f>TEXT(tblSales[[#This Row],[Date]],"mmm")</f>
        <v>Jan</v>
      </c>
    </row>
    <row r="91" spans="1:9" x14ac:dyDescent="0.3">
      <c r="A91" s="1">
        <v>45309</v>
      </c>
      <c r="B91" t="s">
        <v>1080</v>
      </c>
      <c r="C91" t="s">
        <v>26</v>
      </c>
      <c r="D91">
        <v>32</v>
      </c>
      <c r="E91">
        <v>32392</v>
      </c>
      <c r="F91">
        <v>1036544</v>
      </c>
      <c r="G91" t="s">
        <v>19</v>
      </c>
      <c r="H91" t="s">
        <v>17</v>
      </c>
      <c r="I91" t="str">
        <f>TEXT(tblSales[[#This Row],[Date]],"mmm")</f>
        <v>Jan</v>
      </c>
    </row>
    <row r="92" spans="1:9" x14ac:dyDescent="0.3">
      <c r="A92" s="1">
        <v>45300</v>
      </c>
      <c r="B92" t="s">
        <v>1083</v>
      </c>
      <c r="C92" t="s">
        <v>9</v>
      </c>
      <c r="D92">
        <v>20</v>
      </c>
      <c r="E92">
        <v>38736</v>
      </c>
      <c r="F92">
        <v>774720</v>
      </c>
      <c r="G92" t="s">
        <v>10</v>
      </c>
      <c r="H92" t="s">
        <v>15</v>
      </c>
      <c r="I92" t="str">
        <f>TEXT(tblSales[[#This Row],[Date]],"mmm")</f>
        <v>Jan</v>
      </c>
    </row>
    <row r="93" spans="1:9" x14ac:dyDescent="0.3">
      <c r="A93" s="1">
        <v>45294</v>
      </c>
      <c r="B93" t="s">
        <v>1093</v>
      </c>
      <c r="C93" t="s">
        <v>35</v>
      </c>
      <c r="D93">
        <v>2</v>
      </c>
      <c r="E93">
        <v>38648</v>
      </c>
      <c r="F93">
        <v>77296</v>
      </c>
      <c r="G93" t="s">
        <v>10</v>
      </c>
      <c r="H93" t="s">
        <v>11</v>
      </c>
      <c r="I93" t="str">
        <f>TEXT(tblSales[[#This Row],[Date]],"mmm")</f>
        <v>Jan</v>
      </c>
    </row>
    <row r="94" spans="1:9" x14ac:dyDescent="0.3">
      <c r="A94" s="1">
        <v>45307</v>
      </c>
      <c r="B94" t="s">
        <v>1098</v>
      </c>
      <c r="C94" t="s">
        <v>9</v>
      </c>
      <c r="D94">
        <v>14</v>
      </c>
      <c r="E94">
        <v>28812</v>
      </c>
      <c r="F94">
        <v>403368</v>
      </c>
      <c r="G94" t="s">
        <v>14</v>
      </c>
      <c r="H94" t="s">
        <v>27</v>
      </c>
      <c r="I94" t="str">
        <f>TEXT(tblSales[[#This Row],[Date]],"mmm")</f>
        <v>Jan</v>
      </c>
    </row>
    <row r="95" spans="1:9" x14ac:dyDescent="0.3">
      <c r="A95" s="1">
        <v>45319</v>
      </c>
      <c r="B95" t="s">
        <v>1129</v>
      </c>
      <c r="C95" t="s">
        <v>35</v>
      </c>
      <c r="D95">
        <v>3</v>
      </c>
      <c r="E95">
        <v>22307</v>
      </c>
      <c r="F95">
        <v>66921</v>
      </c>
      <c r="G95" t="s">
        <v>14</v>
      </c>
      <c r="H95" t="s">
        <v>27</v>
      </c>
      <c r="I95" t="str">
        <f>TEXT(tblSales[[#This Row],[Date]],"mmm")</f>
        <v>Jan</v>
      </c>
    </row>
    <row r="96" spans="1:9" x14ac:dyDescent="0.3">
      <c r="A96" s="1">
        <v>45321</v>
      </c>
      <c r="B96" t="s">
        <v>1134</v>
      </c>
      <c r="C96" t="s">
        <v>13</v>
      </c>
      <c r="D96">
        <v>1</v>
      </c>
      <c r="E96">
        <v>8518</v>
      </c>
      <c r="F96">
        <v>8518</v>
      </c>
      <c r="G96" t="s">
        <v>10</v>
      </c>
      <c r="H96" t="s">
        <v>30</v>
      </c>
      <c r="I96" t="str">
        <f>TEXT(tblSales[[#This Row],[Date]],"mmm")</f>
        <v>Jan</v>
      </c>
    </row>
    <row r="97" spans="1:9" x14ac:dyDescent="0.3">
      <c r="A97" s="1">
        <v>45313</v>
      </c>
      <c r="B97" t="s">
        <v>1137</v>
      </c>
      <c r="C97" t="s">
        <v>9</v>
      </c>
      <c r="D97">
        <v>11</v>
      </c>
      <c r="E97">
        <v>18074</v>
      </c>
      <c r="F97">
        <v>198814</v>
      </c>
      <c r="G97" t="s">
        <v>23</v>
      </c>
      <c r="H97" t="s">
        <v>27</v>
      </c>
      <c r="I97" t="str">
        <f>TEXT(tblSales[[#This Row],[Date]],"mmm")</f>
        <v>Jan</v>
      </c>
    </row>
    <row r="98" spans="1:9" x14ac:dyDescent="0.3">
      <c r="A98" s="1">
        <v>45307</v>
      </c>
      <c r="B98" t="s">
        <v>1140</v>
      </c>
      <c r="C98" t="s">
        <v>13</v>
      </c>
      <c r="D98">
        <v>16</v>
      </c>
      <c r="E98">
        <v>19481</v>
      </c>
      <c r="F98">
        <v>311696</v>
      </c>
      <c r="G98" t="s">
        <v>14</v>
      </c>
      <c r="H98" t="s">
        <v>15</v>
      </c>
      <c r="I98" t="str">
        <f>TEXT(tblSales[[#This Row],[Date]],"mmm")</f>
        <v>Jan</v>
      </c>
    </row>
    <row r="99" spans="1:9" x14ac:dyDescent="0.3">
      <c r="A99" s="1">
        <v>45297</v>
      </c>
      <c r="B99" t="s">
        <v>1144</v>
      </c>
      <c r="C99" t="s">
        <v>13</v>
      </c>
      <c r="D99">
        <v>19</v>
      </c>
      <c r="E99">
        <v>12408</v>
      </c>
      <c r="F99">
        <v>235752</v>
      </c>
      <c r="G99" t="s">
        <v>10</v>
      </c>
      <c r="H99" t="s">
        <v>15</v>
      </c>
      <c r="I99" t="str">
        <f>TEXT(tblSales[[#This Row],[Date]],"mmm")</f>
        <v>Jan</v>
      </c>
    </row>
    <row r="100" spans="1:9" x14ac:dyDescent="0.3">
      <c r="A100" s="1">
        <v>45302</v>
      </c>
      <c r="B100" t="s">
        <v>1154</v>
      </c>
      <c r="C100" t="s">
        <v>26</v>
      </c>
      <c r="D100">
        <v>18</v>
      </c>
      <c r="E100">
        <v>12768</v>
      </c>
      <c r="F100">
        <v>229824</v>
      </c>
      <c r="G100" t="s">
        <v>19</v>
      </c>
      <c r="H100" t="s">
        <v>17</v>
      </c>
      <c r="I100" t="str">
        <f>TEXT(tblSales[[#This Row],[Date]],"mmm")</f>
        <v>Jan</v>
      </c>
    </row>
    <row r="101" spans="1:9" x14ac:dyDescent="0.3">
      <c r="A101" s="1">
        <v>45309</v>
      </c>
      <c r="B101" t="s">
        <v>1163</v>
      </c>
      <c r="C101" t="s">
        <v>9</v>
      </c>
      <c r="D101">
        <v>28</v>
      </c>
      <c r="E101">
        <v>41328</v>
      </c>
      <c r="F101">
        <v>1157184</v>
      </c>
      <c r="G101" t="s">
        <v>23</v>
      </c>
      <c r="H101" t="s">
        <v>30</v>
      </c>
      <c r="I101" t="str">
        <f>TEXT(tblSales[[#This Row],[Date]],"mmm")</f>
        <v>Jan</v>
      </c>
    </row>
    <row r="102" spans="1:9" x14ac:dyDescent="0.3">
      <c r="A102" s="1">
        <v>45311</v>
      </c>
      <c r="B102" t="s">
        <v>1218</v>
      </c>
      <c r="C102" t="s">
        <v>9</v>
      </c>
      <c r="D102">
        <v>36</v>
      </c>
      <c r="E102">
        <v>40873</v>
      </c>
      <c r="F102">
        <v>1471428</v>
      </c>
      <c r="G102" t="s">
        <v>23</v>
      </c>
      <c r="H102" t="s">
        <v>27</v>
      </c>
      <c r="I102" t="str">
        <f>TEXT(tblSales[[#This Row],[Date]],"mmm")</f>
        <v>Jan</v>
      </c>
    </row>
    <row r="103" spans="1:9" x14ac:dyDescent="0.3">
      <c r="A103" s="1">
        <v>45316</v>
      </c>
      <c r="B103" t="s">
        <v>1231</v>
      </c>
      <c r="C103" t="s">
        <v>9</v>
      </c>
      <c r="D103">
        <v>27</v>
      </c>
      <c r="E103">
        <v>12116</v>
      </c>
      <c r="F103">
        <v>327132</v>
      </c>
      <c r="G103" t="s">
        <v>23</v>
      </c>
      <c r="H103" t="s">
        <v>15</v>
      </c>
      <c r="I103" t="str">
        <f>TEXT(tblSales[[#This Row],[Date]],"mmm")</f>
        <v>Jan</v>
      </c>
    </row>
    <row r="104" spans="1:9" x14ac:dyDescent="0.3">
      <c r="A104" s="1">
        <v>45311</v>
      </c>
      <c r="B104" t="s">
        <v>1284</v>
      </c>
      <c r="C104" t="s">
        <v>13</v>
      </c>
      <c r="D104">
        <v>35</v>
      </c>
      <c r="E104">
        <v>13525</v>
      </c>
      <c r="F104">
        <v>473375</v>
      </c>
      <c r="G104" t="s">
        <v>23</v>
      </c>
      <c r="H104" t="s">
        <v>11</v>
      </c>
      <c r="I104" t="str">
        <f>TEXT(tblSales[[#This Row],[Date]],"mmm")</f>
        <v>Jan</v>
      </c>
    </row>
    <row r="105" spans="1:9" x14ac:dyDescent="0.3">
      <c r="A105" s="1">
        <v>45298</v>
      </c>
      <c r="B105" t="s">
        <v>1288</v>
      </c>
      <c r="C105" t="s">
        <v>13</v>
      </c>
      <c r="D105">
        <v>7</v>
      </c>
      <c r="E105">
        <v>13604</v>
      </c>
      <c r="F105">
        <v>95228</v>
      </c>
      <c r="G105" t="s">
        <v>14</v>
      </c>
      <c r="H105" t="s">
        <v>11</v>
      </c>
      <c r="I105" t="str">
        <f>TEXT(tblSales[[#This Row],[Date]],"mmm")</f>
        <v>Jan</v>
      </c>
    </row>
    <row r="106" spans="1:9" x14ac:dyDescent="0.3">
      <c r="A106" s="1">
        <v>45294</v>
      </c>
      <c r="B106" t="s">
        <v>1294</v>
      </c>
      <c r="C106" t="s">
        <v>9</v>
      </c>
      <c r="D106">
        <v>29</v>
      </c>
      <c r="E106">
        <v>28935</v>
      </c>
      <c r="F106">
        <v>839115</v>
      </c>
      <c r="G106" t="s">
        <v>19</v>
      </c>
      <c r="H106" t="s">
        <v>17</v>
      </c>
      <c r="I106" t="str">
        <f>TEXT(tblSales[[#This Row],[Date]],"mmm")</f>
        <v>Jan</v>
      </c>
    </row>
    <row r="107" spans="1:9" x14ac:dyDescent="0.3">
      <c r="A107" s="1">
        <v>45304</v>
      </c>
      <c r="B107" t="s">
        <v>1300</v>
      </c>
      <c r="C107" t="s">
        <v>22</v>
      </c>
      <c r="D107">
        <v>34</v>
      </c>
      <c r="E107">
        <v>38737</v>
      </c>
      <c r="F107">
        <v>1317058</v>
      </c>
      <c r="G107" t="s">
        <v>10</v>
      </c>
      <c r="H107" t="s">
        <v>11</v>
      </c>
      <c r="I107" t="str">
        <f>TEXT(tblSales[[#This Row],[Date]],"mmm")</f>
        <v>Jan</v>
      </c>
    </row>
    <row r="108" spans="1:9" x14ac:dyDescent="0.3">
      <c r="A108" s="1">
        <v>45322</v>
      </c>
      <c r="B108" t="s">
        <v>1313</v>
      </c>
      <c r="C108" t="s">
        <v>22</v>
      </c>
      <c r="D108">
        <v>27</v>
      </c>
      <c r="E108">
        <v>17686</v>
      </c>
      <c r="F108">
        <v>477522</v>
      </c>
      <c r="G108" t="s">
        <v>23</v>
      </c>
      <c r="H108" t="s">
        <v>11</v>
      </c>
      <c r="I108" t="str">
        <f>TEXT(tblSales[[#This Row],[Date]],"mmm")</f>
        <v>Jan</v>
      </c>
    </row>
    <row r="109" spans="1:9" x14ac:dyDescent="0.3">
      <c r="A109" s="1">
        <v>45322</v>
      </c>
      <c r="B109" t="s">
        <v>1317</v>
      </c>
      <c r="C109" t="s">
        <v>35</v>
      </c>
      <c r="D109">
        <v>30</v>
      </c>
      <c r="E109">
        <v>27005</v>
      </c>
      <c r="F109">
        <v>810150</v>
      </c>
      <c r="G109" t="s">
        <v>14</v>
      </c>
      <c r="H109" t="s">
        <v>27</v>
      </c>
      <c r="I109" t="str">
        <f>TEXT(tblSales[[#This Row],[Date]],"mmm")</f>
        <v>Jan</v>
      </c>
    </row>
    <row r="110" spans="1:9" x14ac:dyDescent="0.3">
      <c r="A110" s="1">
        <v>45320</v>
      </c>
      <c r="B110" t="s">
        <v>1320</v>
      </c>
      <c r="C110" t="s">
        <v>26</v>
      </c>
      <c r="D110">
        <v>32</v>
      </c>
      <c r="E110">
        <v>23381</v>
      </c>
      <c r="F110">
        <v>748192</v>
      </c>
      <c r="G110" t="s">
        <v>23</v>
      </c>
      <c r="H110" t="s">
        <v>15</v>
      </c>
      <c r="I110" t="str">
        <f>TEXT(tblSales[[#This Row],[Date]],"mmm")</f>
        <v>Jan</v>
      </c>
    </row>
    <row r="111" spans="1:9" x14ac:dyDescent="0.3">
      <c r="A111" s="1">
        <v>45295</v>
      </c>
      <c r="B111" t="s">
        <v>1343</v>
      </c>
      <c r="C111" t="s">
        <v>26</v>
      </c>
      <c r="D111">
        <v>17</v>
      </c>
      <c r="E111">
        <v>18918</v>
      </c>
      <c r="F111">
        <v>321606</v>
      </c>
      <c r="G111" t="s">
        <v>19</v>
      </c>
      <c r="H111" t="s">
        <v>17</v>
      </c>
      <c r="I111" t="str">
        <f>TEXT(tblSales[[#This Row],[Date]],"mmm")</f>
        <v>Jan</v>
      </c>
    </row>
    <row r="112" spans="1:9" x14ac:dyDescent="0.3">
      <c r="A112" s="1">
        <v>45316</v>
      </c>
      <c r="B112" t="s">
        <v>1362</v>
      </c>
      <c r="C112" t="s">
        <v>35</v>
      </c>
      <c r="D112">
        <v>39</v>
      </c>
      <c r="E112">
        <v>17683</v>
      </c>
      <c r="F112">
        <v>689637</v>
      </c>
      <c r="G112" t="s">
        <v>23</v>
      </c>
      <c r="H112" t="s">
        <v>15</v>
      </c>
      <c r="I112" t="str">
        <f>TEXT(tblSales[[#This Row],[Date]],"mmm")</f>
        <v>Jan</v>
      </c>
    </row>
    <row r="113" spans="1:9" x14ac:dyDescent="0.3">
      <c r="A113" s="1">
        <v>45293</v>
      </c>
      <c r="B113" t="s">
        <v>1385</v>
      </c>
      <c r="C113" t="s">
        <v>26</v>
      </c>
      <c r="D113">
        <v>24</v>
      </c>
      <c r="E113">
        <v>33190</v>
      </c>
      <c r="F113">
        <v>796560</v>
      </c>
      <c r="G113" t="s">
        <v>23</v>
      </c>
      <c r="H113" t="s">
        <v>30</v>
      </c>
      <c r="I113" t="str">
        <f>TEXT(tblSales[[#This Row],[Date]],"mmm")</f>
        <v>Jan</v>
      </c>
    </row>
    <row r="114" spans="1:9" x14ac:dyDescent="0.3">
      <c r="A114" s="1">
        <v>45304</v>
      </c>
      <c r="B114" t="s">
        <v>1395</v>
      </c>
      <c r="C114" t="s">
        <v>9</v>
      </c>
      <c r="D114">
        <v>16</v>
      </c>
      <c r="E114">
        <v>14916</v>
      </c>
      <c r="F114">
        <v>238656</v>
      </c>
      <c r="G114" t="s">
        <v>23</v>
      </c>
      <c r="H114" t="s">
        <v>30</v>
      </c>
      <c r="I114" t="str">
        <f>TEXT(tblSales[[#This Row],[Date]],"mmm")</f>
        <v>Jan</v>
      </c>
    </row>
    <row r="115" spans="1:9" x14ac:dyDescent="0.3">
      <c r="A115" s="1">
        <v>45309</v>
      </c>
      <c r="B115" t="s">
        <v>1415</v>
      </c>
      <c r="C115" t="s">
        <v>9</v>
      </c>
      <c r="D115">
        <v>28</v>
      </c>
      <c r="E115">
        <v>7626</v>
      </c>
      <c r="F115">
        <v>213528</v>
      </c>
      <c r="G115" t="s">
        <v>23</v>
      </c>
      <c r="H115" t="s">
        <v>27</v>
      </c>
      <c r="I115" t="str">
        <f>TEXT(tblSales[[#This Row],[Date]],"mmm")</f>
        <v>Jan</v>
      </c>
    </row>
    <row r="116" spans="1:9" x14ac:dyDescent="0.3">
      <c r="A116" s="1">
        <v>45314</v>
      </c>
      <c r="B116" t="s">
        <v>1419</v>
      </c>
      <c r="C116" t="s">
        <v>22</v>
      </c>
      <c r="D116">
        <v>22</v>
      </c>
      <c r="E116">
        <v>42792</v>
      </c>
      <c r="F116">
        <v>941424</v>
      </c>
      <c r="G116" t="s">
        <v>19</v>
      </c>
      <c r="H116" t="s">
        <v>27</v>
      </c>
      <c r="I116" t="str">
        <f>TEXT(tblSales[[#This Row],[Date]],"mmm")</f>
        <v>Jan</v>
      </c>
    </row>
    <row r="117" spans="1:9" x14ac:dyDescent="0.3">
      <c r="A117" s="1">
        <v>45313</v>
      </c>
      <c r="B117" t="s">
        <v>1425</v>
      </c>
      <c r="C117" t="s">
        <v>26</v>
      </c>
      <c r="D117">
        <v>30</v>
      </c>
      <c r="E117">
        <v>32804</v>
      </c>
      <c r="F117">
        <v>984120</v>
      </c>
      <c r="G117" t="s">
        <v>19</v>
      </c>
      <c r="H117" t="s">
        <v>17</v>
      </c>
      <c r="I117" t="str">
        <f>TEXT(tblSales[[#This Row],[Date]],"mmm")</f>
        <v>Jan</v>
      </c>
    </row>
    <row r="118" spans="1:9" x14ac:dyDescent="0.3">
      <c r="A118" s="1">
        <v>45320</v>
      </c>
      <c r="B118" t="s">
        <v>1428</v>
      </c>
      <c r="C118" t="s">
        <v>22</v>
      </c>
      <c r="D118">
        <v>19</v>
      </c>
      <c r="E118">
        <v>8672</v>
      </c>
      <c r="F118">
        <v>164768</v>
      </c>
      <c r="G118" t="s">
        <v>14</v>
      </c>
      <c r="H118" t="s">
        <v>15</v>
      </c>
      <c r="I118" t="str">
        <f>TEXT(tblSales[[#This Row],[Date]],"mmm")</f>
        <v>Jan</v>
      </c>
    </row>
    <row r="119" spans="1:9" x14ac:dyDescent="0.3">
      <c r="A119" s="1">
        <v>45317</v>
      </c>
      <c r="B119" t="s">
        <v>1442</v>
      </c>
      <c r="C119" t="s">
        <v>26</v>
      </c>
      <c r="D119">
        <v>14</v>
      </c>
      <c r="E119">
        <v>6696</v>
      </c>
      <c r="F119">
        <v>93744</v>
      </c>
      <c r="G119" t="s">
        <v>14</v>
      </c>
      <c r="H119" t="s">
        <v>15</v>
      </c>
      <c r="I119" t="str">
        <f>TEXT(tblSales[[#This Row],[Date]],"mmm")</f>
        <v>Jan</v>
      </c>
    </row>
    <row r="120" spans="1:9" x14ac:dyDescent="0.3">
      <c r="A120" s="1">
        <v>45322</v>
      </c>
      <c r="B120" t="s">
        <v>1447</v>
      </c>
      <c r="C120" t="s">
        <v>26</v>
      </c>
      <c r="D120">
        <v>11</v>
      </c>
      <c r="E120">
        <v>11356</v>
      </c>
      <c r="F120">
        <v>124916</v>
      </c>
      <c r="G120" t="s">
        <v>14</v>
      </c>
      <c r="H120" t="s">
        <v>30</v>
      </c>
      <c r="I120" t="str">
        <f>TEXT(tblSales[[#This Row],[Date]],"mmm")</f>
        <v>Jan</v>
      </c>
    </row>
    <row r="121" spans="1:9" x14ac:dyDescent="0.3">
      <c r="A121" s="1">
        <v>45294</v>
      </c>
      <c r="B121" t="s">
        <v>1453</v>
      </c>
      <c r="C121" t="s">
        <v>13</v>
      </c>
      <c r="D121">
        <v>25</v>
      </c>
      <c r="E121">
        <v>18186</v>
      </c>
      <c r="F121">
        <v>454650</v>
      </c>
      <c r="G121" t="s">
        <v>23</v>
      </c>
      <c r="H121" t="s">
        <v>27</v>
      </c>
      <c r="I121" t="str">
        <f>TEXT(tblSales[[#This Row],[Date]],"mmm")</f>
        <v>Jan</v>
      </c>
    </row>
    <row r="122" spans="1:9" x14ac:dyDescent="0.3">
      <c r="A122" s="1">
        <v>45310</v>
      </c>
      <c r="B122" t="s">
        <v>1458</v>
      </c>
      <c r="C122" t="s">
        <v>35</v>
      </c>
      <c r="D122">
        <v>33</v>
      </c>
      <c r="E122">
        <v>12430</v>
      </c>
      <c r="F122">
        <v>410190</v>
      </c>
      <c r="G122" t="s">
        <v>10</v>
      </c>
      <c r="H122" t="s">
        <v>27</v>
      </c>
      <c r="I122" t="str">
        <f>TEXT(tblSales[[#This Row],[Date]],"mmm")</f>
        <v>Jan</v>
      </c>
    </row>
    <row r="123" spans="1:9" x14ac:dyDescent="0.3">
      <c r="A123" s="1">
        <v>45297</v>
      </c>
      <c r="B123" t="s">
        <v>1468</v>
      </c>
      <c r="C123" t="s">
        <v>9</v>
      </c>
      <c r="D123">
        <v>21</v>
      </c>
      <c r="E123">
        <v>20641</v>
      </c>
      <c r="F123">
        <v>433461</v>
      </c>
      <c r="G123" t="s">
        <v>10</v>
      </c>
      <c r="H123" t="s">
        <v>27</v>
      </c>
      <c r="I123" t="str">
        <f>TEXT(tblSales[[#This Row],[Date]],"mmm")</f>
        <v>Jan</v>
      </c>
    </row>
    <row r="124" spans="1:9" x14ac:dyDescent="0.3">
      <c r="A124" s="1">
        <v>45292</v>
      </c>
      <c r="B124" t="s">
        <v>1482</v>
      </c>
      <c r="C124" t="s">
        <v>9</v>
      </c>
      <c r="D124">
        <v>37</v>
      </c>
      <c r="E124">
        <v>7748</v>
      </c>
      <c r="F124">
        <v>286676</v>
      </c>
      <c r="G124" t="s">
        <v>10</v>
      </c>
      <c r="H124" t="s">
        <v>17</v>
      </c>
      <c r="I124" t="str">
        <f>TEXT(tblSales[[#This Row],[Date]],"mmm")</f>
        <v>Jan</v>
      </c>
    </row>
    <row r="125" spans="1:9" x14ac:dyDescent="0.3">
      <c r="A125" s="1">
        <v>45292</v>
      </c>
      <c r="B125" t="s">
        <v>1507</v>
      </c>
      <c r="C125" t="s">
        <v>26</v>
      </c>
      <c r="D125">
        <v>12</v>
      </c>
      <c r="E125">
        <v>28230</v>
      </c>
      <c r="F125">
        <v>338760</v>
      </c>
      <c r="G125" t="s">
        <v>19</v>
      </c>
      <c r="H125" t="s">
        <v>11</v>
      </c>
      <c r="I125" t="str">
        <f>TEXT(tblSales[[#This Row],[Date]],"mmm")</f>
        <v>Jan</v>
      </c>
    </row>
    <row r="126" spans="1:9" x14ac:dyDescent="0.3">
      <c r="A126" s="1">
        <v>45296</v>
      </c>
      <c r="B126" t="s">
        <v>1509</v>
      </c>
      <c r="C126" t="s">
        <v>22</v>
      </c>
      <c r="D126">
        <v>40</v>
      </c>
      <c r="E126">
        <v>30525</v>
      </c>
      <c r="F126">
        <v>1221000</v>
      </c>
      <c r="G126" t="s">
        <v>10</v>
      </c>
      <c r="H126" t="s">
        <v>11</v>
      </c>
      <c r="I126" t="str">
        <f>TEXT(tblSales[[#This Row],[Date]],"mmm")</f>
        <v>Jan</v>
      </c>
    </row>
    <row r="127" spans="1:9" x14ac:dyDescent="0.3">
      <c r="A127" s="1">
        <v>45301</v>
      </c>
      <c r="B127" t="s">
        <v>1514</v>
      </c>
      <c r="C127" t="s">
        <v>13</v>
      </c>
      <c r="D127">
        <v>17</v>
      </c>
      <c r="E127">
        <v>10009</v>
      </c>
      <c r="F127">
        <v>170153</v>
      </c>
      <c r="G127" t="s">
        <v>19</v>
      </c>
      <c r="H127" t="s">
        <v>11</v>
      </c>
      <c r="I127" t="str">
        <f>TEXT(tblSales[[#This Row],[Date]],"mmm")</f>
        <v>Jan</v>
      </c>
    </row>
    <row r="128" spans="1:9" x14ac:dyDescent="0.3">
      <c r="A128" s="1">
        <v>45305</v>
      </c>
      <c r="B128" t="s">
        <v>1517</v>
      </c>
      <c r="C128" t="s">
        <v>9</v>
      </c>
      <c r="D128">
        <v>23</v>
      </c>
      <c r="E128">
        <v>7733</v>
      </c>
      <c r="F128">
        <v>177859</v>
      </c>
      <c r="G128" t="s">
        <v>14</v>
      </c>
      <c r="H128" t="s">
        <v>11</v>
      </c>
      <c r="I128" t="str">
        <f>TEXT(tblSales[[#This Row],[Date]],"mmm")</f>
        <v>Jan</v>
      </c>
    </row>
    <row r="129" spans="1:9" x14ac:dyDescent="0.3">
      <c r="A129" s="1">
        <v>45341</v>
      </c>
      <c r="B129" t="s">
        <v>36</v>
      </c>
      <c r="C129" t="s">
        <v>26</v>
      </c>
      <c r="D129">
        <v>12</v>
      </c>
      <c r="E129">
        <v>13318</v>
      </c>
      <c r="F129">
        <v>159816</v>
      </c>
      <c r="G129" t="s">
        <v>10</v>
      </c>
      <c r="H129" t="s">
        <v>17</v>
      </c>
      <c r="I129" t="str">
        <f>TEXT(tblSales[[#This Row],[Date]],"mmm")</f>
        <v>Feb</v>
      </c>
    </row>
    <row r="130" spans="1:9" x14ac:dyDescent="0.3">
      <c r="A130" s="1">
        <v>45349</v>
      </c>
      <c r="B130" t="s">
        <v>45</v>
      </c>
      <c r="C130" t="s">
        <v>22</v>
      </c>
      <c r="D130">
        <v>35</v>
      </c>
      <c r="E130">
        <v>42402</v>
      </c>
      <c r="F130">
        <v>1484070</v>
      </c>
      <c r="G130" t="s">
        <v>14</v>
      </c>
      <c r="H130" t="s">
        <v>15</v>
      </c>
      <c r="I130" t="str">
        <f>TEXT(tblSales[[#This Row],[Date]],"mmm")</f>
        <v>Feb</v>
      </c>
    </row>
    <row r="131" spans="1:9" x14ac:dyDescent="0.3">
      <c r="A131" s="1">
        <v>45330</v>
      </c>
      <c r="B131" t="s">
        <v>51</v>
      </c>
      <c r="C131" t="s">
        <v>9</v>
      </c>
      <c r="D131">
        <v>13</v>
      </c>
      <c r="E131">
        <v>12916</v>
      </c>
      <c r="F131">
        <v>167908</v>
      </c>
      <c r="G131" t="s">
        <v>14</v>
      </c>
      <c r="H131" t="s">
        <v>17</v>
      </c>
      <c r="I131" t="str">
        <f>TEXT(tblSales[[#This Row],[Date]],"mmm")</f>
        <v>Feb</v>
      </c>
    </row>
    <row r="132" spans="1:9" x14ac:dyDescent="0.3">
      <c r="A132" s="1">
        <v>45336</v>
      </c>
      <c r="B132" t="s">
        <v>56</v>
      </c>
      <c r="C132" t="s">
        <v>35</v>
      </c>
      <c r="D132">
        <v>1</v>
      </c>
      <c r="E132">
        <v>10642</v>
      </c>
      <c r="F132">
        <v>10642</v>
      </c>
      <c r="G132" t="s">
        <v>23</v>
      </c>
      <c r="H132" t="s">
        <v>17</v>
      </c>
      <c r="I132" t="str">
        <f>TEXT(tblSales[[#This Row],[Date]],"mmm")</f>
        <v>Feb</v>
      </c>
    </row>
    <row r="133" spans="1:9" x14ac:dyDescent="0.3">
      <c r="A133" s="1">
        <v>45348</v>
      </c>
      <c r="B133" t="s">
        <v>62</v>
      </c>
      <c r="C133" t="s">
        <v>26</v>
      </c>
      <c r="D133">
        <v>6</v>
      </c>
      <c r="E133">
        <v>26689</v>
      </c>
      <c r="F133">
        <v>160134</v>
      </c>
      <c r="G133" t="s">
        <v>23</v>
      </c>
      <c r="H133" t="s">
        <v>15</v>
      </c>
      <c r="I133" t="str">
        <f>TEXT(tblSales[[#This Row],[Date]],"mmm")</f>
        <v>Feb</v>
      </c>
    </row>
    <row r="134" spans="1:9" x14ac:dyDescent="0.3">
      <c r="A134" s="1">
        <v>45336</v>
      </c>
      <c r="B134" t="s">
        <v>66</v>
      </c>
      <c r="C134" t="s">
        <v>26</v>
      </c>
      <c r="D134">
        <v>1</v>
      </c>
      <c r="E134">
        <v>34632</v>
      </c>
      <c r="F134">
        <v>34632</v>
      </c>
      <c r="G134" t="s">
        <v>14</v>
      </c>
      <c r="H134" t="s">
        <v>30</v>
      </c>
      <c r="I134" t="str">
        <f>TEXT(tblSales[[#This Row],[Date]],"mmm")</f>
        <v>Feb</v>
      </c>
    </row>
    <row r="135" spans="1:9" x14ac:dyDescent="0.3">
      <c r="A135" s="1">
        <v>45339</v>
      </c>
      <c r="B135" t="s">
        <v>74</v>
      </c>
      <c r="C135" t="s">
        <v>9</v>
      </c>
      <c r="D135">
        <v>30</v>
      </c>
      <c r="E135">
        <v>17453</v>
      </c>
      <c r="F135">
        <v>523590</v>
      </c>
      <c r="G135" t="s">
        <v>10</v>
      </c>
      <c r="H135" t="s">
        <v>27</v>
      </c>
      <c r="I135" t="str">
        <f>TEXT(tblSales[[#This Row],[Date]],"mmm")</f>
        <v>Feb</v>
      </c>
    </row>
    <row r="136" spans="1:9" x14ac:dyDescent="0.3">
      <c r="A136" s="1">
        <v>45339</v>
      </c>
      <c r="B136" t="s">
        <v>86</v>
      </c>
      <c r="C136" t="s">
        <v>35</v>
      </c>
      <c r="D136">
        <v>36</v>
      </c>
      <c r="E136">
        <v>21598</v>
      </c>
      <c r="F136">
        <v>777528</v>
      </c>
      <c r="G136" t="s">
        <v>10</v>
      </c>
      <c r="H136" t="s">
        <v>27</v>
      </c>
      <c r="I136" t="str">
        <f>TEXT(tblSales[[#This Row],[Date]],"mmm")</f>
        <v>Feb</v>
      </c>
    </row>
    <row r="137" spans="1:9" x14ac:dyDescent="0.3">
      <c r="A137" s="1">
        <v>45325</v>
      </c>
      <c r="B137" t="s">
        <v>118</v>
      </c>
      <c r="C137" t="s">
        <v>35</v>
      </c>
      <c r="D137">
        <v>40</v>
      </c>
      <c r="E137">
        <v>30064</v>
      </c>
      <c r="F137">
        <v>1202560</v>
      </c>
      <c r="G137" t="s">
        <v>10</v>
      </c>
      <c r="H137" t="s">
        <v>11</v>
      </c>
      <c r="I137" t="str">
        <f>TEXT(tblSales[[#This Row],[Date]],"mmm")</f>
        <v>Feb</v>
      </c>
    </row>
    <row r="138" spans="1:9" x14ac:dyDescent="0.3">
      <c r="A138" s="1">
        <v>45341</v>
      </c>
      <c r="B138" t="s">
        <v>126</v>
      </c>
      <c r="C138" t="s">
        <v>13</v>
      </c>
      <c r="D138">
        <v>6</v>
      </c>
      <c r="E138">
        <v>18489</v>
      </c>
      <c r="F138">
        <v>110934</v>
      </c>
      <c r="G138" t="s">
        <v>14</v>
      </c>
      <c r="H138" t="s">
        <v>17</v>
      </c>
      <c r="I138" t="str">
        <f>TEXT(tblSales[[#This Row],[Date]],"mmm")</f>
        <v>Feb</v>
      </c>
    </row>
    <row r="139" spans="1:9" x14ac:dyDescent="0.3">
      <c r="A139" s="1">
        <v>45345</v>
      </c>
      <c r="B139" t="s">
        <v>131</v>
      </c>
      <c r="C139" t="s">
        <v>22</v>
      </c>
      <c r="D139">
        <v>39</v>
      </c>
      <c r="E139">
        <v>26370</v>
      </c>
      <c r="F139">
        <v>1028430</v>
      </c>
      <c r="G139" t="s">
        <v>19</v>
      </c>
      <c r="H139" t="s">
        <v>30</v>
      </c>
      <c r="I139" t="str">
        <f>TEXT(tblSales[[#This Row],[Date]],"mmm")</f>
        <v>Feb</v>
      </c>
    </row>
    <row r="140" spans="1:9" x14ac:dyDescent="0.3">
      <c r="A140" s="1">
        <v>45328</v>
      </c>
      <c r="B140" t="s">
        <v>141</v>
      </c>
      <c r="C140" t="s">
        <v>22</v>
      </c>
      <c r="D140">
        <v>34</v>
      </c>
      <c r="E140">
        <v>33181</v>
      </c>
      <c r="F140">
        <v>1128154</v>
      </c>
      <c r="G140" t="s">
        <v>23</v>
      </c>
      <c r="H140" t="s">
        <v>15</v>
      </c>
      <c r="I140" t="str">
        <f>TEXT(tblSales[[#This Row],[Date]],"mmm")</f>
        <v>Feb</v>
      </c>
    </row>
    <row r="141" spans="1:9" x14ac:dyDescent="0.3">
      <c r="A141" s="1">
        <v>45342</v>
      </c>
      <c r="B141" t="s">
        <v>177</v>
      </c>
      <c r="C141" t="s">
        <v>22</v>
      </c>
      <c r="D141">
        <v>9</v>
      </c>
      <c r="E141">
        <v>27082</v>
      </c>
      <c r="F141">
        <v>243738</v>
      </c>
      <c r="G141" t="s">
        <v>19</v>
      </c>
      <c r="H141" t="s">
        <v>27</v>
      </c>
      <c r="I141" t="str">
        <f>TEXT(tblSales[[#This Row],[Date]],"mmm")</f>
        <v>Feb</v>
      </c>
    </row>
    <row r="142" spans="1:9" x14ac:dyDescent="0.3">
      <c r="A142" s="1">
        <v>45347</v>
      </c>
      <c r="B142" t="s">
        <v>178</v>
      </c>
      <c r="C142" t="s">
        <v>22</v>
      </c>
      <c r="D142">
        <v>32</v>
      </c>
      <c r="E142">
        <v>39281</v>
      </c>
      <c r="F142">
        <v>1256992</v>
      </c>
      <c r="G142" t="s">
        <v>14</v>
      </c>
      <c r="H142" t="s">
        <v>17</v>
      </c>
      <c r="I142" t="str">
        <f>TEXT(tblSales[[#This Row],[Date]],"mmm")</f>
        <v>Feb</v>
      </c>
    </row>
    <row r="143" spans="1:9" x14ac:dyDescent="0.3">
      <c r="A143" s="1">
        <v>45342</v>
      </c>
      <c r="B143" t="s">
        <v>202</v>
      </c>
      <c r="C143" t="s">
        <v>22</v>
      </c>
      <c r="D143">
        <v>18</v>
      </c>
      <c r="E143">
        <v>22260</v>
      </c>
      <c r="F143">
        <v>400680</v>
      </c>
      <c r="G143" t="s">
        <v>10</v>
      </c>
      <c r="H143" t="s">
        <v>27</v>
      </c>
      <c r="I143" t="str">
        <f>TEXT(tblSales[[#This Row],[Date]],"mmm")</f>
        <v>Feb</v>
      </c>
    </row>
    <row r="144" spans="1:9" x14ac:dyDescent="0.3">
      <c r="A144" s="1">
        <v>45337</v>
      </c>
      <c r="B144" t="s">
        <v>219</v>
      </c>
      <c r="C144" t="s">
        <v>22</v>
      </c>
      <c r="D144">
        <v>4</v>
      </c>
      <c r="E144">
        <v>22793</v>
      </c>
      <c r="F144">
        <v>91172</v>
      </c>
      <c r="G144" t="s">
        <v>23</v>
      </c>
      <c r="H144" t="s">
        <v>27</v>
      </c>
      <c r="I144" t="str">
        <f>TEXT(tblSales[[#This Row],[Date]],"mmm")</f>
        <v>Feb</v>
      </c>
    </row>
    <row r="145" spans="1:9" x14ac:dyDescent="0.3">
      <c r="A145" s="1">
        <v>45332</v>
      </c>
      <c r="B145" t="s">
        <v>221</v>
      </c>
      <c r="C145" t="s">
        <v>26</v>
      </c>
      <c r="D145">
        <v>11</v>
      </c>
      <c r="E145">
        <v>35660</v>
      </c>
      <c r="F145">
        <v>392260</v>
      </c>
      <c r="G145" t="s">
        <v>23</v>
      </c>
      <c r="H145" t="s">
        <v>30</v>
      </c>
      <c r="I145" t="str">
        <f>TEXT(tblSales[[#This Row],[Date]],"mmm")</f>
        <v>Feb</v>
      </c>
    </row>
    <row r="146" spans="1:9" x14ac:dyDescent="0.3">
      <c r="A146" s="1">
        <v>45330</v>
      </c>
      <c r="B146" t="s">
        <v>227</v>
      </c>
      <c r="C146" t="s">
        <v>9</v>
      </c>
      <c r="D146">
        <v>32</v>
      </c>
      <c r="E146">
        <v>37439</v>
      </c>
      <c r="F146">
        <v>1198048</v>
      </c>
      <c r="G146" t="s">
        <v>23</v>
      </c>
      <c r="H146" t="s">
        <v>11</v>
      </c>
      <c r="I146" t="str">
        <f>TEXT(tblSales[[#This Row],[Date]],"mmm")</f>
        <v>Feb</v>
      </c>
    </row>
    <row r="147" spans="1:9" x14ac:dyDescent="0.3">
      <c r="A147" s="1">
        <v>45325</v>
      </c>
      <c r="B147" t="s">
        <v>245</v>
      </c>
      <c r="C147" t="s">
        <v>9</v>
      </c>
      <c r="D147">
        <v>21</v>
      </c>
      <c r="E147">
        <v>30368</v>
      </c>
      <c r="F147">
        <v>637728</v>
      </c>
      <c r="G147" t="s">
        <v>10</v>
      </c>
      <c r="H147" t="s">
        <v>17</v>
      </c>
      <c r="I147" t="str">
        <f>TEXT(tblSales[[#This Row],[Date]],"mmm")</f>
        <v>Feb</v>
      </c>
    </row>
    <row r="148" spans="1:9" x14ac:dyDescent="0.3">
      <c r="A148" s="1">
        <v>45331</v>
      </c>
      <c r="B148" t="s">
        <v>254</v>
      </c>
      <c r="C148" t="s">
        <v>26</v>
      </c>
      <c r="D148">
        <v>8</v>
      </c>
      <c r="E148">
        <v>29819</v>
      </c>
      <c r="F148">
        <v>238552</v>
      </c>
      <c r="G148" t="s">
        <v>14</v>
      </c>
      <c r="H148" t="s">
        <v>11</v>
      </c>
      <c r="I148" t="str">
        <f>TEXT(tblSales[[#This Row],[Date]],"mmm")</f>
        <v>Feb</v>
      </c>
    </row>
    <row r="149" spans="1:9" x14ac:dyDescent="0.3">
      <c r="A149" s="1">
        <v>45332</v>
      </c>
      <c r="B149" t="s">
        <v>260</v>
      </c>
      <c r="C149" t="s">
        <v>9</v>
      </c>
      <c r="D149">
        <v>3</v>
      </c>
      <c r="E149">
        <v>36781</v>
      </c>
      <c r="F149">
        <v>110343</v>
      </c>
      <c r="G149" t="s">
        <v>23</v>
      </c>
      <c r="H149" t="s">
        <v>11</v>
      </c>
      <c r="I149" t="str">
        <f>TEXT(tblSales[[#This Row],[Date]],"mmm")</f>
        <v>Feb</v>
      </c>
    </row>
    <row r="150" spans="1:9" x14ac:dyDescent="0.3">
      <c r="A150" s="1">
        <v>45343</v>
      </c>
      <c r="B150" t="s">
        <v>285</v>
      </c>
      <c r="C150" t="s">
        <v>13</v>
      </c>
      <c r="D150">
        <v>16</v>
      </c>
      <c r="E150">
        <v>13005</v>
      </c>
      <c r="F150">
        <v>208080</v>
      </c>
      <c r="G150" t="s">
        <v>19</v>
      </c>
      <c r="H150" t="s">
        <v>15</v>
      </c>
      <c r="I150" t="str">
        <f>TEXT(tblSales[[#This Row],[Date]],"mmm")</f>
        <v>Feb</v>
      </c>
    </row>
    <row r="151" spans="1:9" x14ac:dyDescent="0.3">
      <c r="A151" s="1">
        <v>45348</v>
      </c>
      <c r="B151" t="s">
        <v>313</v>
      </c>
      <c r="C151" t="s">
        <v>35</v>
      </c>
      <c r="D151">
        <v>13</v>
      </c>
      <c r="E151">
        <v>17895</v>
      </c>
      <c r="F151">
        <v>232635</v>
      </c>
      <c r="G151" t="s">
        <v>14</v>
      </c>
      <c r="H151" t="s">
        <v>17</v>
      </c>
      <c r="I151" t="str">
        <f>TEXT(tblSales[[#This Row],[Date]],"mmm")</f>
        <v>Feb</v>
      </c>
    </row>
    <row r="152" spans="1:9" x14ac:dyDescent="0.3">
      <c r="A152" s="1">
        <v>45326</v>
      </c>
      <c r="B152" t="s">
        <v>320</v>
      </c>
      <c r="C152" t="s">
        <v>35</v>
      </c>
      <c r="D152">
        <v>9</v>
      </c>
      <c r="E152">
        <v>20644</v>
      </c>
      <c r="F152">
        <v>185796</v>
      </c>
      <c r="G152" t="s">
        <v>10</v>
      </c>
      <c r="H152" t="s">
        <v>11</v>
      </c>
      <c r="I152" t="str">
        <f>TEXT(tblSales[[#This Row],[Date]],"mmm")</f>
        <v>Feb</v>
      </c>
    </row>
    <row r="153" spans="1:9" x14ac:dyDescent="0.3">
      <c r="A153" s="1">
        <v>45331</v>
      </c>
      <c r="B153" t="s">
        <v>324</v>
      </c>
      <c r="C153" t="s">
        <v>35</v>
      </c>
      <c r="D153">
        <v>1</v>
      </c>
      <c r="E153">
        <v>35886</v>
      </c>
      <c r="F153">
        <v>35886</v>
      </c>
      <c r="G153" t="s">
        <v>23</v>
      </c>
      <c r="H153" t="s">
        <v>27</v>
      </c>
      <c r="I153" t="str">
        <f>TEXT(tblSales[[#This Row],[Date]],"mmm")</f>
        <v>Feb</v>
      </c>
    </row>
    <row r="154" spans="1:9" x14ac:dyDescent="0.3">
      <c r="A154" s="1">
        <v>45337</v>
      </c>
      <c r="B154" t="s">
        <v>352</v>
      </c>
      <c r="C154" t="s">
        <v>35</v>
      </c>
      <c r="D154">
        <v>2</v>
      </c>
      <c r="E154">
        <v>26957</v>
      </c>
      <c r="F154">
        <v>53914</v>
      </c>
      <c r="G154" t="s">
        <v>23</v>
      </c>
      <c r="H154" t="s">
        <v>11</v>
      </c>
      <c r="I154" t="str">
        <f>TEXT(tblSales[[#This Row],[Date]],"mmm")</f>
        <v>Feb</v>
      </c>
    </row>
    <row r="155" spans="1:9" x14ac:dyDescent="0.3">
      <c r="A155" s="1">
        <v>45346</v>
      </c>
      <c r="B155" t="s">
        <v>368</v>
      </c>
      <c r="C155" t="s">
        <v>26</v>
      </c>
      <c r="D155">
        <v>2</v>
      </c>
      <c r="E155">
        <v>41501</v>
      </c>
      <c r="F155">
        <v>83002</v>
      </c>
      <c r="G155" t="s">
        <v>19</v>
      </c>
      <c r="H155" t="s">
        <v>17</v>
      </c>
      <c r="I155" t="str">
        <f>TEXT(tblSales[[#This Row],[Date]],"mmm")</f>
        <v>Feb</v>
      </c>
    </row>
    <row r="156" spans="1:9" x14ac:dyDescent="0.3">
      <c r="A156" s="1">
        <v>45349</v>
      </c>
      <c r="B156" t="s">
        <v>372</v>
      </c>
      <c r="C156" t="s">
        <v>22</v>
      </c>
      <c r="D156">
        <v>21</v>
      </c>
      <c r="E156">
        <v>9908</v>
      </c>
      <c r="F156">
        <v>208068</v>
      </c>
      <c r="G156" t="s">
        <v>14</v>
      </c>
      <c r="H156" t="s">
        <v>30</v>
      </c>
      <c r="I156" t="str">
        <f>TEXT(tblSales[[#This Row],[Date]],"mmm")</f>
        <v>Feb</v>
      </c>
    </row>
    <row r="157" spans="1:9" x14ac:dyDescent="0.3">
      <c r="A157" s="1">
        <v>45325</v>
      </c>
      <c r="B157" t="s">
        <v>375</v>
      </c>
      <c r="C157" t="s">
        <v>35</v>
      </c>
      <c r="D157">
        <v>17</v>
      </c>
      <c r="E157">
        <v>34282</v>
      </c>
      <c r="F157">
        <v>582794</v>
      </c>
      <c r="G157" t="s">
        <v>10</v>
      </c>
      <c r="H157" t="s">
        <v>15</v>
      </c>
      <c r="I157" t="str">
        <f>TEXT(tblSales[[#This Row],[Date]],"mmm")</f>
        <v>Feb</v>
      </c>
    </row>
    <row r="158" spans="1:9" x14ac:dyDescent="0.3">
      <c r="A158" s="1">
        <v>45332</v>
      </c>
      <c r="B158" t="s">
        <v>381</v>
      </c>
      <c r="C158" t="s">
        <v>35</v>
      </c>
      <c r="D158">
        <v>38</v>
      </c>
      <c r="E158">
        <v>12469</v>
      </c>
      <c r="F158">
        <v>473822</v>
      </c>
      <c r="G158" t="s">
        <v>23</v>
      </c>
      <c r="H158" t="s">
        <v>27</v>
      </c>
      <c r="I158" t="str">
        <f>TEXT(tblSales[[#This Row],[Date]],"mmm")</f>
        <v>Feb</v>
      </c>
    </row>
    <row r="159" spans="1:9" x14ac:dyDescent="0.3">
      <c r="A159" s="1">
        <v>45339</v>
      </c>
      <c r="B159" t="s">
        <v>384</v>
      </c>
      <c r="C159" t="s">
        <v>22</v>
      </c>
      <c r="D159">
        <v>37</v>
      </c>
      <c r="E159">
        <v>29121</v>
      </c>
      <c r="F159">
        <v>1077477</v>
      </c>
      <c r="G159" t="s">
        <v>23</v>
      </c>
      <c r="H159" t="s">
        <v>30</v>
      </c>
      <c r="I159" t="str">
        <f>TEXT(tblSales[[#This Row],[Date]],"mmm")</f>
        <v>Feb</v>
      </c>
    </row>
    <row r="160" spans="1:9" x14ac:dyDescent="0.3">
      <c r="A160" s="1">
        <v>45326</v>
      </c>
      <c r="B160" t="s">
        <v>408</v>
      </c>
      <c r="C160" t="s">
        <v>26</v>
      </c>
      <c r="D160">
        <v>30</v>
      </c>
      <c r="E160">
        <v>30146</v>
      </c>
      <c r="F160">
        <v>904380</v>
      </c>
      <c r="G160" t="s">
        <v>19</v>
      </c>
      <c r="H160" t="s">
        <v>30</v>
      </c>
      <c r="I160" t="str">
        <f>TEXT(tblSales[[#This Row],[Date]],"mmm")</f>
        <v>Feb</v>
      </c>
    </row>
    <row r="161" spans="1:9" x14ac:dyDescent="0.3">
      <c r="A161" s="1">
        <v>45329</v>
      </c>
      <c r="B161" t="s">
        <v>411</v>
      </c>
      <c r="C161" t="s">
        <v>13</v>
      </c>
      <c r="D161">
        <v>32</v>
      </c>
      <c r="E161">
        <v>43230</v>
      </c>
      <c r="F161">
        <v>1383360</v>
      </c>
      <c r="G161" t="s">
        <v>19</v>
      </c>
      <c r="H161" t="s">
        <v>30</v>
      </c>
      <c r="I161" t="str">
        <f>TEXT(tblSales[[#This Row],[Date]],"mmm")</f>
        <v>Feb</v>
      </c>
    </row>
    <row r="162" spans="1:9" x14ac:dyDescent="0.3">
      <c r="A162" s="1">
        <v>45325</v>
      </c>
      <c r="B162" t="s">
        <v>468</v>
      </c>
      <c r="C162" t="s">
        <v>35</v>
      </c>
      <c r="D162">
        <v>37</v>
      </c>
      <c r="E162">
        <v>10191</v>
      </c>
      <c r="F162">
        <v>377067</v>
      </c>
      <c r="G162" t="s">
        <v>10</v>
      </c>
      <c r="H162" t="s">
        <v>17</v>
      </c>
      <c r="I162" t="str">
        <f>TEXT(tblSales[[#This Row],[Date]],"mmm")</f>
        <v>Feb</v>
      </c>
    </row>
    <row r="163" spans="1:9" x14ac:dyDescent="0.3">
      <c r="A163" s="1">
        <v>45328</v>
      </c>
      <c r="B163" t="s">
        <v>469</v>
      </c>
      <c r="C163" t="s">
        <v>9</v>
      </c>
      <c r="D163">
        <v>1</v>
      </c>
      <c r="E163">
        <v>14600</v>
      </c>
      <c r="F163">
        <v>14600</v>
      </c>
      <c r="G163" t="s">
        <v>23</v>
      </c>
      <c r="H163" t="s">
        <v>11</v>
      </c>
      <c r="I163" t="str">
        <f>TEXT(tblSales[[#This Row],[Date]],"mmm")</f>
        <v>Feb</v>
      </c>
    </row>
    <row r="164" spans="1:9" x14ac:dyDescent="0.3">
      <c r="A164" s="1">
        <v>45341</v>
      </c>
      <c r="B164" t="s">
        <v>477</v>
      </c>
      <c r="C164" t="s">
        <v>13</v>
      </c>
      <c r="D164">
        <v>35</v>
      </c>
      <c r="E164">
        <v>25492</v>
      </c>
      <c r="F164">
        <v>892220</v>
      </c>
      <c r="G164" t="s">
        <v>14</v>
      </c>
      <c r="H164" t="s">
        <v>27</v>
      </c>
      <c r="I164" t="str">
        <f>TEXT(tblSales[[#This Row],[Date]],"mmm")</f>
        <v>Feb</v>
      </c>
    </row>
    <row r="165" spans="1:9" x14ac:dyDescent="0.3">
      <c r="A165" s="1">
        <v>45331</v>
      </c>
      <c r="B165" t="s">
        <v>506</v>
      </c>
      <c r="C165" t="s">
        <v>22</v>
      </c>
      <c r="D165">
        <v>25</v>
      </c>
      <c r="E165">
        <v>13507</v>
      </c>
      <c r="F165">
        <v>337675</v>
      </c>
      <c r="G165" t="s">
        <v>19</v>
      </c>
      <c r="H165" t="s">
        <v>15</v>
      </c>
      <c r="I165" t="str">
        <f>TEXT(tblSales[[#This Row],[Date]],"mmm")</f>
        <v>Feb</v>
      </c>
    </row>
    <row r="166" spans="1:9" x14ac:dyDescent="0.3">
      <c r="A166" s="1">
        <v>45324</v>
      </c>
      <c r="B166" t="s">
        <v>511</v>
      </c>
      <c r="C166" t="s">
        <v>26</v>
      </c>
      <c r="D166">
        <v>1</v>
      </c>
      <c r="E166">
        <v>44488</v>
      </c>
      <c r="F166">
        <v>44488</v>
      </c>
      <c r="G166" t="s">
        <v>14</v>
      </c>
      <c r="H166" t="s">
        <v>17</v>
      </c>
      <c r="I166" t="str">
        <f>TEXT(tblSales[[#This Row],[Date]],"mmm")</f>
        <v>Feb</v>
      </c>
    </row>
    <row r="167" spans="1:9" x14ac:dyDescent="0.3">
      <c r="A167" s="1">
        <v>45335</v>
      </c>
      <c r="B167" t="s">
        <v>512</v>
      </c>
      <c r="C167" t="s">
        <v>22</v>
      </c>
      <c r="D167">
        <v>22</v>
      </c>
      <c r="E167">
        <v>44756</v>
      </c>
      <c r="F167">
        <v>984632</v>
      </c>
      <c r="G167" t="s">
        <v>10</v>
      </c>
      <c r="H167" t="s">
        <v>15</v>
      </c>
      <c r="I167" t="str">
        <f>TEXT(tblSales[[#This Row],[Date]],"mmm")</f>
        <v>Feb</v>
      </c>
    </row>
    <row r="168" spans="1:9" x14ac:dyDescent="0.3">
      <c r="A168" s="1">
        <v>45324</v>
      </c>
      <c r="B168" t="s">
        <v>514</v>
      </c>
      <c r="C168" t="s">
        <v>26</v>
      </c>
      <c r="D168">
        <v>32</v>
      </c>
      <c r="E168">
        <v>18443</v>
      </c>
      <c r="F168">
        <v>590176</v>
      </c>
      <c r="G168" t="s">
        <v>14</v>
      </c>
      <c r="H168" t="s">
        <v>30</v>
      </c>
      <c r="I168" t="str">
        <f>TEXT(tblSales[[#This Row],[Date]],"mmm")</f>
        <v>Feb</v>
      </c>
    </row>
    <row r="169" spans="1:9" x14ac:dyDescent="0.3">
      <c r="A169" s="1">
        <v>45326</v>
      </c>
      <c r="B169" t="s">
        <v>541</v>
      </c>
      <c r="C169" t="s">
        <v>13</v>
      </c>
      <c r="D169">
        <v>21</v>
      </c>
      <c r="E169">
        <v>17092</v>
      </c>
      <c r="F169">
        <v>358932</v>
      </c>
      <c r="G169" t="s">
        <v>14</v>
      </c>
      <c r="H169" t="s">
        <v>15</v>
      </c>
      <c r="I169" t="str">
        <f>TEXT(tblSales[[#This Row],[Date]],"mmm")</f>
        <v>Feb</v>
      </c>
    </row>
    <row r="170" spans="1:9" x14ac:dyDescent="0.3">
      <c r="A170" s="1">
        <v>45338</v>
      </c>
      <c r="B170" t="s">
        <v>545</v>
      </c>
      <c r="C170" t="s">
        <v>35</v>
      </c>
      <c r="D170">
        <v>21</v>
      </c>
      <c r="E170">
        <v>14780</v>
      </c>
      <c r="F170">
        <v>310380</v>
      </c>
      <c r="G170" t="s">
        <v>23</v>
      </c>
      <c r="H170" t="s">
        <v>30</v>
      </c>
      <c r="I170" t="str">
        <f>TEXT(tblSales[[#This Row],[Date]],"mmm")</f>
        <v>Feb</v>
      </c>
    </row>
    <row r="171" spans="1:9" x14ac:dyDescent="0.3">
      <c r="A171" s="1">
        <v>45325</v>
      </c>
      <c r="B171" t="s">
        <v>561</v>
      </c>
      <c r="C171" t="s">
        <v>22</v>
      </c>
      <c r="D171">
        <v>19</v>
      </c>
      <c r="E171">
        <v>40455</v>
      </c>
      <c r="F171">
        <v>768645</v>
      </c>
      <c r="G171" t="s">
        <v>10</v>
      </c>
      <c r="H171" t="s">
        <v>17</v>
      </c>
      <c r="I171" t="str">
        <f>TEXT(tblSales[[#This Row],[Date]],"mmm")</f>
        <v>Feb</v>
      </c>
    </row>
    <row r="172" spans="1:9" x14ac:dyDescent="0.3">
      <c r="A172" s="1">
        <v>45331</v>
      </c>
      <c r="B172" t="s">
        <v>569</v>
      </c>
      <c r="C172" t="s">
        <v>9</v>
      </c>
      <c r="D172">
        <v>18</v>
      </c>
      <c r="E172">
        <v>37692</v>
      </c>
      <c r="F172">
        <v>678456</v>
      </c>
      <c r="G172" t="s">
        <v>23</v>
      </c>
      <c r="H172" t="s">
        <v>17</v>
      </c>
      <c r="I172" t="str">
        <f>TEXT(tblSales[[#This Row],[Date]],"mmm")</f>
        <v>Feb</v>
      </c>
    </row>
    <row r="173" spans="1:9" x14ac:dyDescent="0.3">
      <c r="A173" s="1">
        <v>45337</v>
      </c>
      <c r="B173" t="s">
        <v>571</v>
      </c>
      <c r="C173" t="s">
        <v>13</v>
      </c>
      <c r="D173">
        <v>3</v>
      </c>
      <c r="E173">
        <v>42269</v>
      </c>
      <c r="F173">
        <v>126807</v>
      </c>
      <c r="G173" t="s">
        <v>10</v>
      </c>
      <c r="H173" t="s">
        <v>15</v>
      </c>
      <c r="I173" t="str">
        <f>TEXT(tblSales[[#This Row],[Date]],"mmm")</f>
        <v>Feb</v>
      </c>
    </row>
    <row r="174" spans="1:9" x14ac:dyDescent="0.3">
      <c r="A174" s="1">
        <v>45335</v>
      </c>
      <c r="B174" t="s">
        <v>575</v>
      </c>
      <c r="C174" t="s">
        <v>22</v>
      </c>
      <c r="D174">
        <v>9</v>
      </c>
      <c r="E174">
        <v>39096</v>
      </c>
      <c r="F174">
        <v>351864</v>
      </c>
      <c r="G174" t="s">
        <v>23</v>
      </c>
      <c r="H174" t="s">
        <v>30</v>
      </c>
      <c r="I174" t="str">
        <f>TEXT(tblSales[[#This Row],[Date]],"mmm")</f>
        <v>Feb</v>
      </c>
    </row>
    <row r="175" spans="1:9" x14ac:dyDescent="0.3">
      <c r="A175" s="1">
        <v>45349</v>
      </c>
      <c r="B175" t="s">
        <v>584</v>
      </c>
      <c r="C175" t="s">
        <v>26</v>
      </c>
      <c r="D175">
        <v>13</v>
      </c>
      <c r="E175">
        <v>40540</v>
      </c>
      <c r="F175">
        <v>527020</v>
      </c>
      <c r="G175" t="s">
        <v>19</v>
      </c>
      <c r="H175" t="s">
        <v>11</v>
      </c>
      <c r="I175" t="str">
        <f>TEXT(tblSales[[#This Row],[Date]],"mmm")</f>
        <v>Feb</v>
      </c>
    </row>
    <row r="176" spans="1:9" x14ac:dyDescent="0.3">
      <c r="A176" s="1">
        <v>45344</v>
      </c>
      <c r="B176" t="s">
        <v>606</v>
      </c>
      <c r="C176" t="s">
        <v>26</v>
      </c>
      <c r="D176">
        <v>10</v>
      </c>
      <c r="E176">
        <v>20614</v>
      </c>
      <c r="F176">
        <v>206140</v>
      </c>
      <c r="G176" t="s">
        <v>14</v>
      </c>
      <c r="H176" t="s">
        <v>15</v>
      </c>
      <c r="I176" t="str">
        <f>TEXT(tblSales[[#This Row],[Date]],"mmm")</f>
        <v>Feb</v>
      </c>
    </row>
    <row r="177" spans="1:9" x14ac:dyDescent="0.3">
      <c r="A177" s="1">
        <v>45328</v>
      </c>
      <c r="B177" t="s">
        <v>611</v>
      </c>
      <c r="C177" t="s">
        <v>35</v>
      </c>
      <c r="D177">
        <v>20</v>
      </c>
      <c r="E177">
        <v>15605</v>
      </c>
      <c r="F177">
        <v>312100</v>
      </c>
      <c r="G177" t="s">
        <v>19</v>
      </c>
      <c r="H177" t="s">
        <v>30</v>
      </c>
      <c r="I177" t="str">
        <f>TEXT(tblSales[[#This Row],[Date]],"mmm")</f>
        <v>Feb</v>
      </c>
    </row>
    <row r="178" spans="1:9" x14ac:dyDescent="0.3">
      <c r="A178" s="1">
        <v>45344</v>
      </c>
      <c r="B178" t="s">
        <v>623</v>
      </c>
      <c r="C178" t="s">
        <v>26</v>
      </c>
      <c r="D178">
        <v>30</v>
      </c>
      <c r="E178">
        <v>33630</v>
      </c>
      <c r="F178">
        <v>1008900</v>
      </c>
      <c r="G178" t="s">
        <v>14</v>
      </c>
      <c r="H178" t="s">
        <v>27</v>
      </c>
      <c r="I178" t="str">
        <f>TEXT(tblSales[[#This Row],[Date]],"mmm")</f>
        <v>Feb</v>
      </c>
    </row>
    <row r="179" spans="1:9" x14ac:dyDescent="0.3">
      <c r="A179" s="1">
        <v>45336</v>
      </c>
      <c r="B179" t="s">
        <v>631</v>
      </c>
      <c r="C179" t="s">
        <v>9</v>
      </c>
      <c r="D179">
        <v>6</v>
      </c>
      <c r="E179">
        <v>18838</v>
      </c>
      <c r="F179">
        <v>113028</v>
      </c>
      <c r="G179" t="s">
        <v>19</v>
      </c>
      <c r="H179" t="s">
        <v>11</v>
      </c>
      <c r="I179" t="str">
        <f>TEXT(tblSales[[#This Row],[Date]],"mmm")</f>
        <v>Feb</v>
      </c>
    </row>
    <row r="180" spans="1:9" x14ac:dyDescent="0.3">
      <c r="A180" s="1">
        <v>45342</v>
      </c>
      <c r="B180" t="s">
        <v>639</v>
      </c>
      <c r="C180" t="s">
        <v>26</v>
      </c>
      <c r="D180">
        <v>5</v>
      </c>
      <c r="E180">
        <v>31148</v>
      </c>
      <c r="F180">
        <v>155740</v>
      </c>
      <c r="G180" t="s">
        <v>10</v>
      </c>
      <c r="H180" t="s">
        <v>15</v>
      </c>
      <c r="I180" t="str">
        <f>TEXT(tblSales[[#This Row],[Date]],"mmm")</f>
        <v>Feb</v>
      </c>
    </row>
    <row r="181" spans="1:9" x14ac:dyDescent="0.3">
      <c r="A181" s="1">
        <v>45341</v>
      </c>
      <c r="B181" t="s">
        <v>667</v>
      </c>
      <c r="C181" t="s">
        <v>35</v>
      </c>
      <c r="D181">
        <v>33</v>
      </c>
      <c r="E181">
        <v>36907</v>
      </c>
      <c r="F181">
        <v>1217931</v>
      </c>
      <c r="G181" t="s">
        <v>23</v>
      </c>
      <c r="H181" t="s">
        <v>15</v>
      </c>
      <c r="I181" t="str">
        <f>TEXT(tblSales[[#This Row],[Date]],"mmm")</f>
        <v>Feb</v>
      </c>
    </row>
    <row r="182" spans="1:9" x14ac:dyDescent="0.3">
      <c r="A182" s="1">
        <v>45346</v>
      </c>
      <c r="B182" t="s">
        <v>679</v>
      </c>
      <c r="C182" t="s">
        <v>26</v>
      </c>
      <c r="D182">
        <v>2</v>
      </c>
      <c r="E182">
        <v>29968</v>
      </c>
      <c r="F182">
        <v>59936</v>
      </c>
      <c r="G182" t="s">
        <v>23</v>
      </c>
      <c r="H182" t="s">
        <v>27</v>
      </c>
      <c r="I182" t="str">
        <f>TEXT(tblSales[[#This Row],[Date]],"mmm")</f>
        <v>Feb</v>
      </c>
    </row>
    <row r="183" spans="1:9" x14ac:dyDescent="0.3">
      <c r="A183" s="1">
        <v>45343</v>
      </c>
      <c r="B183" t="s">
        <v>682</v>
      </c>
      <c r="C183" t="s">
        <v>13</v>
      </c>
      <c r="D183">
        <v>34</v>
      </c>
      <c r="E183">
        <v>40905</v>
      </c>
      <c r="F183">
        <v>1390770</v>
      </c>
      <c r="G183" t="s">
        <v>23</v>
      </c>
      <c r="H183" t="s">
        <v>11</v>
      </c>
      <c r="I183" t="str">
        <f>TEXT(tblSales[[#This Row],[Date]],"mmm")</f>
        <v>Feb</v>
      </c>
    </row>
    <row r="184" spans="1:9" x14ac:dyDescent="0.3">
      <c r="A184" s="1">
        <v>45328</v>
      </c>
      <c r="B184" t="s">
        <v>691</v>
      </c>
      <c r="C184" t="s">
        <v>13</v>
      </c>
      <c r="D184">
        <v>29</v>
      </c>
      <c r="E184">
        <v>30001</v>
      </c>
      <c r="F184">
        <v>870029</v>
      </c>
      <c r="G184" t="s">
        <v>23</v>
      </c>
      <c r="H184" t="s">
        <v>27</v>
      </c>
      <c r="I184" t="str">
        <f>TEXT(tblSales[[#This Row],[Date]],"mmm")</f>
        <v>Feb</v>
      </c>
    </row>
    <row r="185" spans="1:9" x14ac:dyDescent="0.3">
      <c r="A185" s="1">
        <v>45337</v>
      </c>
      <c r="B185" t="s">
        <v>707</v>
      </c>
      <c r="C185" t="s">
        <v>13</v>
      </c>
      <c r="D185">
        <v>7</v>
      </c>
      <c r="E185">
        <v>36533</v>
      </c>
      <c r="F185">
        <v>255731</v>
      </c>
      <c r="G185" t="s">
        <v>10</v>
      </c>
      <c r="H185" t="s">
        <v>11</v>
      </c>
      <c r="I185" t="str">
        <f>TEXT(tblSales[[#This Row],[Date]],"mmm")</f>
        <v>Feb</v>
      </c>
    </row>
    <row r="186" spans="1:9" x14ac:dyDescent="0.3">
      <c r="A186" s="1">
        <v>45346</v>
      </c>
      <c r="B186" t="s">
        <v>708</v>
      </c>
      <c r="C186" t="s">
        <v>9</v>
      </c>
      <c r="D186">
        <v>14</v>
      </c>
      <c r="E186">
        <v>18552</v>
      </c>
      <c r="F186">
        <v>259728</v>
      </c>
      <c r="G186" t="s">
        <v>10</v>
      </c>
      <c r="H186" t="s">
        <v>11</v>
      </c>
      <c r="I186" t="str">
        <f>TEXT(tblSales[[#This Row],[Date]],"mmm")</f>
        <v>Feb</v>
      </c>
    </row>
    <row r="187" spans="1:9" x14ac:dyDescent="0.3">
      <c r="A187" s="1">
        <v>45323</v>
      </c>
      <c r="B187" t="s">
        <v>710</v>
      </c>
      <c r="C187" t="s">
        <v>13</v>
      </c>
      <c r="D187">
        <v>2</v>
      </c>
      <c r="E187">
        <v>9699</v>
      </c>
      <c r="F187">
        <v>19398</v>
      </c>
      <c r="G187" t="s">
        <v>10</v>
      </c>
      <c r="H187" t="s">
        <v>17</v>
      </c>
      <c r="I187" t="str">
        <f>TEXT(tblSales[[#This Row],[Date]],"mmm")</f>
        <v>Feb</v>
      </c>
    </row>
    <row r="188" spans="1:9" x14ac:dyDescent="0.3">
      <c r="A188" s="1">
        <v>45348</v>
      </c>
      <c r="B188" t="s">
        <v>715</v>
      </c>
      <c r="C188" t="s">
        <v>13</v>
      </c>
      <c r="D188">
        <v>8</v>
      </c>
      <c r="E188">
        <v>35032</v>
      </c>
      <c r="F188">
        <v>280256</v>
      </c>
      <c r="G188" t="s">
        <v>10</v>
      </c>
      <c r="H188" t="s">
        <v>17</v>
      </c>
      <c r="I188" t="str">
        <f>TEXT(tblSales[[#This Row],[Date]],"mmm")</f>
        <v>Feb</v>
      </c>
    </row>
    <row r="189" spans="1:9" x14ac:dyDescent="0.3">
      <c r="A189" s="1">
        <v>45332</v>
      </c>
      <c r="B189" t="s">
        <v>719</v>
      </c>
      <c r="C189" t="s">
        <v>22</v>
      </c>
      <c r="D189">
        <v>38</v>
      </c>
      <c r="E189">
        <v>31589</v>
      </c>
      <c r="F189">
        <v>1200382</v>
      </c>
      <c r="G189" t="s">
        <v>10</v>
      </c>
      <c r="H189" t="s">
        <v>30</v>
      </c>
      <c r="I189" t="str">
        <f>TEXT(tblSales[[#This Row],[Date]],"mmm")</f>
        <v>Feb</v>
      </c>
    </row>
    <row r="190" spans="1:9" x14ac:dyDescent="0.3">
      <c r="A190" s="1">
        <v>45345</v>
      </c>
      <c r="B190" t="s">
        <v>730</v>
      </c>
      <c r="C190" t="s">
        <v>22</v>
      </c>
      <c r="D190">
        <v>22</v>
      </c>
      <c r="E190">
        <v>30086</v>
      </c>
      <c r="F190">
        <v>661892</v>
      </c>
      <c r="G190" t="s">
        <v>14</v>
      </c>
      <c r="H190" t="s">
        <v>15</v>
      </c>
      <c r="I190" t="str">
        <f>TEXT(tblSales[[#This Row],[Date]],"mmm")</f>
        <v>Feb</v>
      </c>
    </row>
    <row r="191" spans="1:9" x14ac:dyDescent="0.3">
      <c r="A191" s="1">
        <v>45337</v>
      </c>
      <c r="B191" t="s">
        <v>740</v>
      </c>
      <c r="C191" t="s">
        <v>9</v>
      </c>
      <c r="D191">
        <v>8</v>
      </c>
      <c r="E191">
        <v>15740</v>
      </c>
      <c r="F191">
        <v>125920</v>
      </c>
      <c r="G191" t="s">
        <v>14</v>
      </c>
      <c r="H191" t="s">
        <v>30</v>
      </c>
      <c r="I191" t="str">
        <f>TEXT(tblSales[[#This Row],[Date]],"mmm")</f>
        <v>Feb</v>
      </c>
    </row>
    <row r="192" spans="1:9" x14ac:dyDescent="0.3">
      <c r="A192" s="1">
        <v>45349</v>
      </c>
      <c r="B192" t="s">
        <v>753</v>
      </c>
      <c r="C192" t="s">
        <v>22</v>
      </c>
      <c r="D192">
        <v>30</v>
      </c>
      <c r="E192">
        <v>13132</v>
      </c>
      <c r="F192">
        <v>393960</v>
      </c>
      <c r="G192" t="s">
        <v>19</v>
      </c>
      <c r="H192" t="s">
        <v>27</v>
      </c>
      <c r="I192" t="str">
        <f>TEXT(tblSales[[#This Row],[Date]],"mmm")</f>
        <v>Feb</v>
      </c>
    </row>
    <row r="193" spans="1:9" x14ac:dyDescent="0.3">
      <c r="A193" s="1">
        <v>45343</v>
      </c>
      <c r="B193" t="s">
        <v>808</v>
      </c>
      <c r="C193" t="s">
        <v>9</v>
      </c>
      <c r="D193">
        <v>17</v>
      </c>
      <c r="E193">
        <v>18376</v>
      </c>
      <c r="F193">
        <v>312392</v>
      </c>
      <c r="G193" t="s">
        <v>19</v>
      </c>
      <c r="H193" t="s">
        <v>15</v>
      </c>
      <c r="I193" t="str">
        <f>TEXT(tblSales[[#This Row],[Date]],"mmm")</f>
        <v>Feb</v>
      </c>
    </row>
    <row r="194" spans="1:9" x14ac:dyDescent="0.3">
      <c r="A194" s="1">
        <v>45335</v>
      </c>
      <c r="B194" t="s">
        <v>812</v>
      </c>
      <c r="C194" t="s">
        <v>22</v>
      </c>
      <c r="D194">
        <v>1</v>
      </c>
      <c r="E194">
        <v>23469</v>
      </c>
      <c r="F194">
        <v>23469</v>
      </c>
      <c r="G194" t="s">
        <v>14</v>
      </c>
      <c r="H194" t="s">
        <v>11</v>
      </c>
      <c r="I194" t="str">
        <f>TEXT(tblSales[[#This Row],[Date]],"mmm")</f>
        <v>Feb</v>
      </c>
    </row>
    <row r="195" spans="1:9" x14ac:dyDescent="0.3">
      <c r="A195" s="1">
        <v>45323</v>
      </c>
      <c r="B195" t="s">
        <v>838</v>
      </c>
      <c r="C195" t="s">
        <v>13</v>
      </c>
      <c r="D195">
        <v>11</v>
      </c>
      <c r="E195">
        <v>13916</v>
      </c>
      <c r="F195">
        <v>153076</v>
      </c>
      <c r="G195" t="s">
        <v>10</v>
      </c>
      <c r="H195" t="s">
        <v>17</v>
      </c>
      <c r="I195" t="str">
        <f>TEXT(tblSales[[#This Row],[Date]],"mmm")</f>
        <v>Feb</v>
      </c>
    </row>
    <row r="196" spans="1:9" x14ac:dyDescent="0.3">
      <c r="A196" s="1">
        <v>45331</v>
      </c>
      <c r="B196" t="s">
        <v>851</v>
      </c>
      <c r="C196" t="s">
        <v>22</v>
      </c>
      <c r="D196">
        <v>6</v>
      </c>
      <c r="E196">
        <v>18243</v>
      </c>
      <c r="F196">
        <v>109458</v>
      </c>
      <c r="G196" t="s">
        <v>19</v>
      </c>
      <c r="H196" t="s">
        <v>11</v>
      </c>
      <c r="I196" t="str">
        <f>TEXT(tblSales[[#This Row],[Date]],"mmm")</f>
        <v>Feb</v>
      </c>
    </row>
    <row r="197" spans="1:9" x14ac:dyDescent="0.3">
      <c r="A197" s="1">
        <v>45325</v>
      </c>
      <c r="B197" t="s">
        <v>858</v>
      </c>
      <c r="C197" t="s">
        <v>26</v>
      </c>
      <c r="D197">
        <v>28</v>
      </c>
      <c r="E197">
        <v>44315</v>
      </c>
      <c r="F197">
        <v>1240820</v>
      </c>
      <c r="G197" t="s">
        <v>23</v>
      </c>
      <c r="H197" t="s">
        <v>27</v>
      </c>
      <c r="I197" t="str">
        <f>TEXT(tblSales[[#This Row],[Date]],"mmm")</f>
        <v>Feb</v>
      </c>
    </row>
    <row r="198" spans="1:9" x14ac:dyDescent="0.3">
      <c r="A198" s="1">
        <v>45341</v>
      </c>
      <c r="B198" t="s">
        <v>862</v>
      </c>
      <c r="C198" t="s">
        <v>22</v>
      </c>
      <c r="D198">
        <v>5</v>
      </c>
      <c r="E198">
        <v>7962</v>
      </c>
      <c r="F198">
        <v>39810</v>
      </c>
      <c r="G198" t="s">
        <v>19</v>
      </c>
      <c r="H198" t="s">
        <v>11</v>
      </c>
      <c r="I198" t="str">
        <f>TEXT(tblSales[[#This Row],[Date]],"mmm")</f>
        <v>Feb</v>
      </c>
    </row>
    <row r="199" spans="1:9" x14ac:dyDescent="0.3">
      <c r="A199" s="1">
        <v>45351</v>
      </c>
      <c r="B199" t="s">
        <v>863</v>
      </c>
      <c r="C199" t="s">
        <v>9</v>
      </c>
      <c r="D199">
        <v>38</v>
      </c>
      <c r="E199">
        <v>5248</v>
      </c>
      <c r="F199">
        <v>199424</v>
      </c>
      <c r="G199" t="s">
        <v>23</v>
      </c>
      <c r="H199" t="s">
        <v>17</v>
      </c>
      <c r="I199" t="str">
        <f>TEXT(tblSales[[#This Row],[Date]],"mmm")</f>
        <v>Feb</v>
      </c>
    </row>
    <row r="200" spans="1:9" x14ac:dyDescent="0.3">
      <c r="A200" s="1">
        <v>45327</v>
      </c>
      <c r="B200" t="s">
        <v>866</v>
      </c>
      <c r="C200" t="s">
        <v>26</v>
      </c>
      <c r="D200">
        <v>30</v>
      </c>
      <c r="E200">
        <v>16275</v>
      </c>
      <c r="F200">
        <v>488250</v>
      </c>
      <c r="G200" t="s">
        <v>10</v>
      </c>
      <c r="H200" t="s">
        <v>17</v>
      </c>
      <c r="I200" t="str">
        <f>TEXT(tblSales[[#This Row],[Date]],"mmm")</f>
        <v>Feb</v>
      </c>
    </row>
    <row r="201" spans="1:9" x14ac:dyDescent="0.3">
      <c r="A201" s="1">
        <v>45341</v>
      </c>
      <c r="B201" t="s">
        <v>874</v>
      </c>
      <c r="C201" t="s">
        <v>35</v>
      </c>
      <c r="D201">
        <v>32</v>
      </c>
      <c r="E201">
        <v>20938</v>
      </c>
      <c r="F201">
        <v>670016</v>
      </c>
      <c r="G201" t="s">
        <v>19</v>
      </c>
      <c r="H201" t="s">
        <v>11</v>
      </c>
      <c r="I201" t="str">
        <f>TEXT(tblSales[[#This Row],[Date]],"mmm")</f>
        <v>Feb</v>
      </c>
    </row>
    <row r="202" spans="1:9" x14ac:dyDescent="0.3">
      <c r="A202" s="1">
        <v>45331</v>
      </c>
      <c r="B202" t="s">
        <v>888</v>
      </c>
      <c r="C202" t="s">
        <v>35</v>
      </c>
      <c r="D202">
        <v>24</v>
      </c>
      <c r="E202">
        <v>44489</v>
      </c>
      <c r="F202">
        <v>1067736</v>
      </c>
      <c r="G202" t="s">
        <v>14</v>
      </c>
      <c r="H202" t="s">
        <v>15</v>
      </c>
      <c r="I202" t="str">
        <f>TEXT(tblSales[[#This Row],[Date]],"mmm")</f>
        <v>Feb</v>
      </c>
    </row>
    <row r="203" spans="1:9" x14ac:dyDescent="0.3">
      <c r="A203" s="1">
        <v>45340</v>
      </c>
      <c r="B203" t="s">
        <v>889</v>
      </c>
      <c r="C203" t="s">
        <v>9</v>
      </c>
      <c r="D203">
        <v>36</v>
      </c>
      <c r="E203">
        <v>15355</v>
      </c>
      <c r="F203">
        <v>552780</v>
      </c>
      <c r="G203" t="s">
        <v>14</v>
      </c>
      <c r="H203" t="s">
        <v>17</v>
      </c>
      <c r="I203" t="str">
        <f>TEXT(tblSales[[#This Row],[Date]],"mmm")</f>
        <v>Feb</v>
      </c>
    </row>
    <row r="204" spans="1:9" x14ac:dyDescent="0.3">
      <c r="A204" s="1">
        <v>45346</v>
      </c>
      <c r="B204" t="s">
        <v>922</v>
      </c>
      <c r="C204" t="s">
        <v>26</v>
      </c>
      <c r="D204">
        <v>9</v>
      </c>
      <c r="E204">
        <v>22369</v>
      </c>
      <c r="F204">
        <v>201321</v>
      </c>
      <c r="G204" t="s">
        <v>10</v>
      </c>
      <c r="H204" t="s">
        <v>11</v>
      </c>
      <c r="I204" t="str">
        <f>TEXT(tblSales[[#This Row],[Date]],"mmm")</f>
        <v>Feb</v>
      </c>
    </row>
    <row r="205" spans="1:9" x14ac:dyDescent="0.3">
      <c r="A205" s="1">
        <v>45326</v>
      </c>
      <c r="B205" t="s">
        <v>936</v>
      </c>
      <c r="C205" t="s">
        <v>22</v>
      </c>
      <c r="D205">
        <v>31</v>
      </c>
      <c r="E205">
        <v>12258</v>
      </c>
      <c r="F205">
        <v>379998</v>
      </c>
      <c r="G205" t="s">
        <v>10</v>
      </c>
      <c r="H205" t="s">
        <v>17</v>
      </c>
      <c r="I205" t="str">
        <f>TEXT(tblSales[[#This Row],[Date]],"mmm")</f>
        <v>Feb</v>
      </c>
    </row>
    <row r="206" spans="1:9" x14ac:dyDescent="0.3">
      <c r="A206" s="1">
        <v>45347</v>
      </c>
      <c r="B206" t="s">
        <v>944</v>
      </c>
      <c r="C206" t="s">
        <v>13</v>
      </c>
      <c r="D206">
        <v>27</v>
      </c>
      <c r="E206">
        <v>5929</v>
      </c>
      <c r="F206">
        <v>160083</v>
      </c>
      <c r="G206" t="s">
        <v>19</v>
      </c>
      <c r="H206" t="s">
        <v>27</v>
      </c>
      <c r="I206" t="str">
        <f>TEXT(tblSales[[#This Row],[Date]],"mmm")</f>
        <v>Feb</v>
      </c>
    </row>
    <row r="207" spans="1:9" x14ac:dyDescent="0.3">
      <c r="A207" s="1">
        <v>45341</v>
      </c>
      <c r="B207" t="s">
        <v>993</v>
      </c>
      <c r="C207" t="s">
        <v>35</v>
      </c>
      <c r="D207">
        <v>32</v>
      </c>
      <c r="E207">
        <v>24115</v>
      </c>
      <c r="F207">
        <v>771680</v>
      </c>
      <c r="G207" t="s">
        <v>14</v>
      </c>
      <c r="H207" t="s">
        <v>30</v>
      </c>
      <c r="I207" t="str">
        <f>TEXT(tblSales[[#This Row],[Date]],"mmm")</f>
        <v>Feb</v>
      </c>
    </row>
    <row r="208" spans="1:9" x14ac:dyDescent="0.3">
      <c r="A208" s="1">
        <v>45340</v>
      </c>
      <c r="B208" t="s">
        <v>1016</v>
      </c>
      <c r="C208" t="s">
        <v>9</v>
      </c>
      <c r="D208">
        <v>38</v>
      </c>
      <c r="E208">
        <v>8834</v>
      </c>
      <c r="F208">
        <v>335692</v>
      </c>
      <c r="G208" t="s">
        <v>23</v>
      </c>
      <c r="H208" t="s">
        <v>17</v>
      </c>
      <c r="I208" t="str">
        <f>TEXT(tblSales[[#This Row],[Date]],"mmm")</f>
        <v>Feb</v>
      </c>
    </row>
    <row r="209" spans="1:9" x14ac:dyDescent="0.3">
      <c r="A209" s="1">
        <v>45330</v>
      </c>
      <c r="B209" t="s">
        <v>1048</v>
      </c>
      <c r="C209" t="s">
        <v>13</v>
      </c>
      <c r="D209">
        <v>11</v>
      </c>
      <c r="E209">
        <v>14992</v>
      </c>
      <c r="F209">
        <v>164912</v>
      </c>
      <c r="G209" t="s">
        <v>10</v>
      </c>
      <c r="H209" t="s">
        <v>15</v>
      </c>
      <c r="I209" t="str">
        <f>TEXT(tblSales[[#This Row],[Date]],"mmm")</f>
        <v>Feb</v>
      </c>
    </row>
    <row r="210" spans="1:9" x14ac:dyDescent="0.3">
      <c r="A210" s="1">
        <v>45335</v>
      </c>
      <c r="B210" t="s">
        <v>1076</v>
      </c>
      <c r="C210" t="s">
        <v>35</v>
      </c>
      <c r="D210">
        <v>22</v>
      </c>
      <c r="E210">
        <v>5411</v>
      </c>
      <c r="F210">
        <v>119042</v>
      </c>
      <c r="G210" t="s">
        <v>10</v>
      </c>
      <c r="H210" t="s">
        <v>11</v>
      </c>
      <c r="I210" t="str">
        <f>TEXT(tblSales[[#This Row],[Date]],"mmm")</f>
        <v>Feb</v>
      </c>
    </row>
    <row r="211" spans="1:9" x14ac:dyDescent="0.3">
      <c r="A211" s="1">
        <v>45325</v>
      </c>
      <c r="B211" t="s">
        <v>1123</v>
      </c>
      <c r="C211" t="s">
        <v>26</v>
      </c>
      <c r="D211">
        <v>8</v>
      </c>
      <c r="E211">
        <v>8782</v>
      </c>
      <c r="F211">
        <v>70256</v>
      </c>
      <c r="G211" t="s">
        <v>23</v>
      </c>
      <c r="H211" t="s">
        <v>27</v>
      </c>
      <c r="I211" t="str">
        <f>TEXT(tblSales[[#This Row],[Date]],"mmm")</f>
        <v>Feb</v>
      </c>
    </row>
    <row r="212" spans="1:9" x14ac:dyDescent="0.3">
      <c r="A212" s="1">
        <v>45338</v>
      </c>
      <c r="B212" t="s">
        <v>1124</v>
      </c>
      <c r="C212" t="s">
        <v>13</v>
      </c>
      <c r="D212">
        <v>20</v>
      </c>
      <c r="E212">
        <v>9910</v>
      </c>
      <c r="F212">
        <v>198200</v>
      </c>
      <c r="G212" t="s">
        <v>23</v>
      </c>
      <c r="H212" t="s">
        <v>30</v>
      </c>
      <c r="I212" t="str">
        <f>TEXT(tblSales[[#This Row],[Date]],"mmm")</f>
        <v>Feb</v>
      </c>
    </row>
    <row r="213" spans="1:9" x14ac:dyDescent="0.3">
      <c r="A213" s="1">
        <v>45336</v>
      </c>
      <c r="B213" t="s">
        <v>1136</v>
      </c>
      <c r="C213" t="s">
        <v>13</v>
      </c>
      <c r="D213">
        <v>12</v>
      </c>
      <c r="E213">
        <v>10638</v>
      </c>
      <c r="F213">
        <v>127656</v>
      </c>
      <c r="G213" t="s">
        <v>14</v>
      </c>
      <c r="H213" t="s">
        <v>30</v>
      </c>
      <c r="I213" t="str">
        <f>TEXT(tblSales[[#This Row],[Date]],"mmm")</f>
        <v>Feb</v>
      </c>
    </row>
    <row r="214" spans="1:9" x14ac:dyDescent="0.3">
      <c r="A214" s="1">
        <v>45325</v>
      </c>
      <c r="B214" t="s">
        <v>1158</v>
      </c>
      <c r="C214" t="s">
        <v>26</v>
      </c>
      <c r="D214">
        <v>29</v>
      </c>
      <c r="E214">
        <v>28809</v>
      </c>
      <c r="F214">
        <v>835461</v>
      </c>
      <c r="G214" t="s">
        <v>23</v>
      </c>
      <c r="H214" t="s">
        <v>27</v>
      </c>
      <c r="I214" t="str">
        <f>TEXT(tblSales[[#This Row],[Date]],"mmm")</f>
        <v>Feb</v>
      </c>
    </row>
    <row r="215" spans="1:9" x14ac:dyDescent="0.3">
      <c r="A215" s="1">
        <v>45348</v>
      </c>
      <c r="B215" t="s">
        <v>1162</v>
      </c>
      <c r="C215" t="s">
        <v>13</v>
      </c>
      <c r="D215">
        <v>3</v>
      </c>
      <c r="E215">
        <v>8498</v>
      </c>
      <c r="F215">
        <v>25494</v>
      </c>
      <c r="G215" t="s">
        <v>14</v>
      </c>
      <c r="H215" t="s">
        <v>15</v>
      </c>
      <c r="I215" t="str">
        <f>TEXT(tblSales[[#This Row],[Date]],"mmm")</f>
        <v>Feb</v>
      </c>
    </row>
    <row r="216" spans="1:9" x14ac:dyDescent="0.3">
      <c r="A216" s="1">
        <v>45329</v>
      </c>
      <c r="B216" t="s">
        <v>1178</v>
      </c>
      <c r="C216" t="s">
        <v>22</v>
      </c>
      <c r="D216">
        <v>25</v>
      </c>
      <c r="E216">
        <v>6324</v>
      </c>
      <c r="F216">
        <v>158100</v>
      </c>
      <c r="G216" t="s">
        <v>19</v>
      </c>
      <c r="H216" t="s">
        <v>27</v>
      </c>
      <c r="I216" t="str">
        <f>TEXT(tblSales[[#This Row],[Date]],"mmm")</f>
        <v>Feb</v>
      </c>
    </row>
    <row r="217" spans="1:9" x14ac:dyDescent="0.3">
      <c r="A217" s="1">
        <v>45342</v>
      </c>
      <c r="B217" t="s">
        <v>1184</v>
      </c>
      <c r="C217" t="s">
        <v>9</v>
      </c>
      <c r="D217">
        <v>24</v>
      </c>
      <c r="E217">
        <v>32911</v>
      </c>
      <c r="F217">
        <v>789864</v>
      </c>
      <c r="G217" t="s">
        <v>14</v>
      </c>
      <c r="H217" t="s">
        <v>11</v>
      </c>
      <c r="I217" t="str">
        <f>TEXT(tblSales[[#This Row],[Date]],"mmm")</f>
        <v>Feb</v>
      </c>
    </row>
    <row r="218" spans="1:9" x14ac:dyDescent="0.3">
      <c r="A218" s="1">
        <v>45331</v>
      </c>
      <c r="B218" t="s">
        <v>1202</v>
      </c>
      <c r="C218" t="s">
        <v>35</v>
      </c>
      <c r="D218">
        <v>17</v>
      </c>
      <c r="E218">
        <v>30935</v>
      </c>
      <c r="F218">
        <v>525895</v>
      </c>
      <c r="G218" t="s">
        <v>10</v>
      </c>
      <c r="H218" t="s">
        <v>11</v>
      </c>
      <c r="I218" t="str">
        <f>TEXT(tblSales[[#This Row],[Date]],"mmm")</f>
        <v>Feb</v>
      </c>
    </row>
    <row r="219" spans="1:9" x14ac:dyDescent="0.3">
      <c r="A219" s="1">
        <v>45332</v>
      </c>
      <c r="B219" t="s">
        <v>1206</v>
      </c>
      <c r="C219" t="s">
        <v>35</v>
      </c>
      <c r="D219">
        <v>21</v>
      </c>
      <c r="E219">
        <v>6464</v>
      </c>
      <c r="F219">
        <v>135744</v>
      </c>
      <c r="G219" t="s">
        <v>23</v>
      </c>
      <c r="H219" t="s">
        <v>11</v>
      </c>
      <c r="I219" t="str">
        <f>TEXT(tblSales[[#This Row],[Date]],"mmm")</f>
        <v>Feb</v>
      </c>
    </row>
    <row r="220" spans="1:9" x14ac:dyDescent="0.3">
      <c r="A220" s="1">
        <v>45344</v>
      </c>
      <c r="B220" t="s">
        <v>1208</v>
      </c>
      <c r="C220" t="s">
        <v>26</v>
      </c>
      <c r="D220">
        <v>1</v>
      </c>
      <c r="E220">
        <v>5708</v>
      </c>
      <c r="F220">
        <v>5708</v>
      </c>
      <c r="G220" t="s">
        <v>19</v>
      </c>
      <c r="H220" t="s">
        <v>17</v>
      </c>
      <c r="I220" t="str">
        <f>TEXT(tblSales[[#This Row],[Date]],"mmm")</f>
        <v>Feb</v>
      </c>
    </row>
    <row r="221" spans="1:9" x14ac:dyDescent="0.3">
      <c r="A221" s="1">
        <v>45339</v>
      </c>
      <c r="B221" t="s">
        <v>1209</v>
      </c>
      <c r="C221" t="s">
        <v>9</v>
      </c>
      <c r="D221">
        <v>29</v>
      </c>
      <c r="E221">
        <v>40384</v>
      </c>
      <c r="F221">
        <v>1171136</v>
      </c>
      <c r="G221" t="s">
        <v>14</v>
      </c>
      <c r="H221" t="s">
        <v>15</v>
      </c>
      <c r="I221" t="str">
        <f>TEXT(tblSales[[#This Row],[Date]],"mmm")</f>
        <v>Feb</v>
      </c>
    </row>
    <row r="222" spans="1:9" x14ac:dyDescent="0.3">
      <c r="A222" s="1">
        <v>45350</v>
      </c>
      <c r="B222" t="s">
        <v>1215</v>
      </c>
      <c r="C222" t="s">
        <v>22</v>
      </c>
      <c r="D222">
        <v>40</v>
      </c>
      <c r="E222">
        <v>21633</v>
      </c>
      <c r="F222">
        <v>865320</v>
      </c>
      <c r="G222" t="s">
        <v>19</v>
      </c>
      <c r="H222" t="s">
        <v>17</v>
      </c>
      <c r="I222" t="str">
        <f>TEXT(tblSales[[#This Row],[Date]],"mmm")</f>
        <v>Feb</v>
      </c>
    </row>
    <row r="223" spans="1:9" x14ac:dyDescent="0.3">
      <c r="A223" s="1">
        <v>45330</v>
      </c>
      <c r="B223" t="s">
        <v>1217</v>
      </c>
      <c r="C223" t="s">
        <v>13</v>
      </c>
      <c r="D223">
        <v>25</v>
      </c>
      <c r="E223">
        <v>5298</v>
      </c>
      <c r="F223">
        <v>132450</v>
      </c>
      <c r="G223" t="s">
        <v>23</v>
      </c>
      <c r="H223" t="s">
        <v>11</v>
      </c>
      <c r="I223" t="str">
        <f>TEXT(tblSales[[#This Row],[Date]],"mmm")</f>
        <v>Feb</v>
      </c>
    </row>
    <row r="224" spans="1:9" x14ac:dyDescent="0.3">
      <c r="A224" s="1">
        <v>45328</v>
      </c>
      <c r="B224" t="s">
        <v>1238</v>
      </c>
      <c r="C224" t="s">
        <v>22</v>
      </c>
      <c r="D224">
        <v>24</v>
      </c>
      <c r="E224">
        <v>6060</v>
      </c>
      <c r="F224">
        <v>145440</v>
      </c>
      <c r="G224" t="s">
        <v>14</v>
      </c>
      <c r="H224" t="s">
        <v>27</v>
      </c>
      <c r="I224" t="str">
        <f>TEXT(tblSales[[#This Row],[Date]],"mmm")</f>
        <v>Feb</v>
      </c>
    </row>
    <row r="225" spans="1:9" x14ac:dyDescent="0.3">
      <c r="A225" s="1">
        <v>45332</v>
      </c>
      <c r="B225" t="s">
        <v>1242</v>
      </c>
      <c r="C225" t="s">
        <v>26</v>
      </c>
      <c r="D225">
        <v>35</v>
      </c>
      <c r="E225">
        <v>37847</v>
      </c>
      <c r="F225">
        <v>1324645</v>
      </c>
      <c r="G225" t="s">
        <v>23</v>
      </c>
      <c r="H225" t="s">
        <v>27</v>
      </c>
      <c r="I225" t="str">
        <f>TEXT(tblSales[[#This Row],[Date]],"mmm")</f>
        <v>Feb</v>
      </c>
    </row>
    <row r="226" spans="1:9" x14ac:dyDescent="0.3">
      <c r="A226" s="1">
        <v>45329</v>
      </c>
      <c r="B226" t="s">
        <v>1252</v>
      </c>
      <c r="C226" t="s">
        <v>13</v>
      </c>
      <c r="D226">
        <v>23</v>
      </c>
      <c r="E226">
        <v>18467</v>
      </c>
      <c r="F226">
        <v>424741</v>
      </c>
      <c r="G226" t="s">
        <v>14</v>
      </c>
      <c r="H226" t="s">
        <v>11</v>
      </c>
      <c r="I226" t="str">
        <f>TEXT(tblSales[[#This Row],[Date]],"mmm")</f>
        <v>Feb</v>
      </c>
    </row>
    <row r="227" spans="1:9" x14ac:dyDescent="0.3">
      <c r="A227" s="1">
        <v>45338</v>
      </c>
      <c r="B227" t="s">
        <v>1260</v>
      </c>
      <c r="C227" t="s">
        <v>13</v>
      </c>
      <c r="D227">
        <v>22</v>
      </c>
      <c r="E227">
        <v>44398</v>
      </c>
      <c r="F227">
        <v>976756</v>
      </c>
      <c r="G227" t="s">
        <v>14</v>
      </c>
      <c r="H227" t="s">
        <v>30</v>
      </c>
      <c r="I227" t="str">
        <f>TEXT(tblSales[[#This Row],[Date]],"mmm")</f>
        <v>Feb</v>
      </c>
    </row>
    <row r="228" spans="1:9" x14ac:dyDescent="0.3">
      <c r="A228" s="1">
        <v>45334</v>
      </c>
      <c r="B228" t="s">
        <v>1268</v>
      </c>
      <c r="C228" t="s">
        <v>26</v>
      </c>
      <c r="D228">
        <v>18</v>
      </c>
      <c r="E228">
        <v>32340</v>
      </c>
      <c r="F228">
        <v>582120</v>
      </c>
      <c r="G228" t="s">
        <v>14</v>
      </c>
      <c r="H228" t="s">
        <v>17</v>
      </c>
      <c r="I228" t="str">
        <f>TEXT(tblSales[[#This Row],[Date]],"mmm")</f>
        <v>Feb</v>
      </c>
    </row>
    <row r="229" spans="1:9" x14ac:dyDescent="0.3">
      <c r="A229" s="1">
        <v>45345</v>
      </c>
      <c r="B229" t="s">
        <v>1269</v>
      </c>
      <c r="C229" t="s">
        <v>13</v>
      </c>
      <c r="D229">
        <v>36</v>
      </c>
      <c r="E229">
        <v>44285</v>
      </c>
      <c r="F229">
        <v>1594260</v>
      </c>
      <c r="G229" t="s">
        <v>10</v>
      </c>
      <c r="H229" t="s">
        <v>17</v>
      </c>
      <c r="I229" t="str">
        <f>TEXT(tblSales[[#This Row],[Date]],"mmm")</f>
        <v>Feb</v>
      </c>
    </row>
    <row r="230" spans="1:9" x14ac:dyDescent="0.3">
      <c r="A230" s="1">
        <v>45338</v>
      </c>
      <c r="B230" t="s">
        <v>1323</v>
      </c>
      <c r="C230" t="s">
        <v>13</v>
      </c>
      <c r="D230">
        <v>36</v>
      </c>
      <c r="E230">
        <v>19286</v>
      </c>
      <c r="F230">
        <v>694296</v>
      </c>
      <c r="G230" t="s">
        <v>23</v>
      </c>
      <c r="H230" t="s">
        <v>15</v>
      </c>
      <c r="I230" t="str">
        <f>TEXT(tblSales[[#This Row],[Date]],"mmm")</f>
        <v>Feb</v>
      </c>
    </row>
    <row r="231" spans="1:9" x14ac:dyDescent="0.3">
      <c r="A231" s="1">
        <v>45341</v>
      </c>
      <c r="B231" t="s">
        <v>1339</v>
      </c>
      <c r="C231" t="s">
        <v>13</v>
      </c>
      <c r="D231">
        <v>14</v>
      </c>
      <c r="E231">
        <v>20997</v>
      </c>
      <c r="F231">
        <v>293958</v>
      </c>
      <c r="G231" t="s">
        <v>14</v>
      </c>
      <c r="H231" t="s">
        <v>15</v>
      </c>
      <c r="I231" t="str">
        <f>TEXT(tblSales[[#This Row],[Date]],"mmm")</f>
        <v>Feb</v>
      </c>
    </row>
    <row r="232" spans="1:9" x14ac:dyDescent="0.3">
      <c r="A232" s="1">
        <v>45323</v>
      </c>
      <c r="B232" t="s">
        <v>1342</v>
      </c>
      <c r="C232" t="s">
        <v>22</v>
      </c>
      <c r="D232">
        <v>18</v>
      </c>
      <c r="E232">
        <v>44748</v>
      </c>
      <c r="F232">
        <v>805464</v>
      </c>
      <c r="G232" t="s">
        <v>14</v>
      </c>
      <c r="H232" t="s">
        <v>17</v>
      </c>
      <c r="I232" t="str">
        <f>TEXT(tblSales[[#This Row],[Date]],"mmm")</f>
        <v>Feb</v>
      </c>
    </row>
    <row r="233" spans="1:9" x14ac:dyDescent="0.3">
      <c r="A233" s="1">
        <v>45339</v>
      </c>
      <c r="B233" t="s">
        <v>1357</v>
      </c>
      <c r="C233" t="s">
        <v>13</v>
      </c>
      <c r="D233">
        <v>18</v>
      </c>
      <c r="E233">
        <v>25108</v>
      </c>
      <c r="F233">
        <v>451944</v>
      </c>
      <c r="G233" t="s">
        <v>19</v>
      </c>
      <c r="H233" t="s">
        <v>11</v>
      </c>
      <c r="I233" t="str">
        <f>TEXT(tblSales[[#This Row],[Date]],"mmm")</f>
        <v>Feb</v>
      </c>
    </row>
    <row r="234" spans="1:9" x14ac:dyDescent="0.3">
      <c r="A234" s="1">
        <v>45341</v>
      </c>
      <c r="B234" t="s">
        <v>1368</v>
      </c>
      <c r="C234" t="s">
        <v>35</v>
      </c>
      <c r="D234">
        <v>24</v>
      </c>
      <c r="E234">
        <v>36305</v>
      </c>
      <c r="F234">
        <v>871320</v>
      </c>
      <c r="G234" t="s">
        <v>14</v>
      </c>
      <c r="H234" t="s">
        <v>17</v>
      </c>
      <c r="I234" t="str">
        <f>TEXT(tblSales[[#This Row],[Date]],"mmm")</f>
        <v>Feb</v>
      </c>
    </row>
    <row r="235" spans="1:9" x14ac:dyDescent="0.3">
      <c r="A235" s="1">
        <v>45349</v>
      </c>
      <c r="B235" t="s">
        <v>1383</v>
      </c>
      <c r="C235" t="s">
        <v>22</v>
      </c>
      <c r="D235">
        <v>19</v>
      </c>
      <c r="E235">
        <v>26850</v>
      </c>
      <c r="F235">
        <v>510150</v>
      </c>
      <c r="G235" t="s">
        <v>19</v>
      </c>
      <c r="H235" t="s">
        <v>30</v>
      </c>
      <c r="I235" t="str">
        <f>TEXT(tblSales[[#This Row],[Date]],"mmm")</f>
        <v>Feb</v>
      </c>
    </row>
    <row r="236" spans="1:9" x14ac:dyDescent="0.3">
      <c r="A236" s="1">
        <v>45326</v>
      </c>
      <c r="B236" t="s">
        <v>1431</v>
      </c>
      <c r="C236" t="s">
        <v>22</v>
      </c>
      <c r="D236">
        <v>23</v>
      </c>
      <c r="E236">
        <v>22762</v>
      </c>
      <c r="F236">
        <v>523526</v>
      </c>
      <c r="G236" t="s">
        <v>23</v>
      </c>
      <c r="H236" t="s">
        <v>27</v>
      </c>
      <c r="I236" t="str">
        <f>TEXT(tblSales[[#This Row],[Date]],"mmm")</f>
        <v>Feb</v>
      </c>
    </row>
    <row r="237" spans="1:9" x14ac:dyDescent="0.3">
      <c r="A237" s="1">
        <v>45325</v>
      </c>
      <c r="B237" t="s">
        <v>1433</v>
      </c>
      <c r="C237" t="s">
        <v>13</v>
      </c>
      <c r="D237">
        <v>29</v>
      </c>
      <c r="E237">
        <v>8642</v>
      </c>
      <c r="F237">
        <v>250618</v>
      </c>
      <c r="G237" t="s">
        <v>14</v>
      </c>
      <c r="H237" t="s">
        <v>30</v>
      </c>
      <c r="I237" t="str">
        <f>TEXT(tblSales[[#This Row],[Date]],"mmm")</f>
        <v>Feb</v>
      </c>
    </row>
    <row r="238" spans="1:9" x14ac:dyDescent="0.3">
      <c r="A238" s="1">
        <v>45340</v>
      </c>
      <c r="B238" t="s">
        <v>1439</v>
      </c>
      <c r="C238" t="s">
        <v>13</v>
      </c>
      <c r="D238">
        <v>19</v>
      </c>
      <c r="E238">
        <v>41289</v>
      </c>
      <c r="F238">
        <v>784491</v>
      </c>
      <c r="G238" t="s">
        <v>19</v>
      </c>
      <c r="H238" t="s">
        <v>11</v>
      </c>
      <c r="I238" t="str">
        <f>TEXT(tblSales[[#This Row],[Date]],"mmm")</f>
        <v>Feb</v>
      </c>
    </row>
    <row r="239" spans="1:9" x14ac:dyDescent="0.3">
      <c r="A239" s="1">
        <v>45325</v>
      </c>
      <c r="B239" t="s">
        <v>1450</v>
      </c>
      <c r="C239" t="s">
        <v>35</v>
      </c>
      <c r="D239">
        <v>40</v>
      </c>
      <c r="E239">
        <v>28409</v>
      </c>
      <c r="F239">
        <v>1136360</v>
      </c>
      <c r="G239" t="s">
        <v>14</v>
      </c>
      <c r="H239" t="s">
        <v>11</v>
      </c>
      <c r="I239" t="str">
        <f>TEXT(tblSales[[#This Row],[Date]],"mmm")</f>
        <v>Feb</v>
      </c>
    </row>
    <row r="240" spans="1:9" x14ac:dyDescent="0.3">
      <c r="A240" s="1">
        <v>45328</v>
      </c>
      <c r="B240" t="s">
        <v>1451</v>
      </c>
      <c r="C240" t="s">
        <v>13</v>
      </c>
      <c r="D240">
        <v>9</v>
      </c>
      <c r="E240">
        <v>10286</v>
      </c>
      <c r="F240">
        <v>92574</v>
      </c>
      <c r="G240" t="s">
        <v>10</v>
      </c>
      <c r="H240" t="s">
        <v>27</v>
      </c>
      <c r="I240" t="str">
        <f>TEXT(tblSales[[#This Row],[Date]],"mmm")</f>
        <v>Feb</v>
      </c>
    </row>
    <row r="241" spans="1:9" x14ac:dyDescent="0.3">
      <c r="A241" s="1">
        <v>45323</v>
      </c>
      <c r="B241" t="s">
        <v>1463</v>
      </c>
      <c r="C241" t="s">
        <v>13</v>
      </c>
      <c r="D241">
        <v>38</v>
      </c>
      <c r="E241">
        <v>19250</v>
      </c>
      <c r="F241">
        <v>731500</v>
      </c>
      <c r="G241" t="s">
        <v>19</v>
      </c>
      <c r="H241" t="s">
        <v>27</v>
      </c>
      <c r="I241" t="str">
        <f>TEXT(tblSales[[#This Row],[Date]],"mmm")</f>
        <v>Feb</v>
      </c>
    </row>
    <row r="242" spans="1:9" x14ac:dyDescent="0.3">
      <c r="A242" s="1">
        <v>45339</v>
      </c>
      <c r="B242" t="s">
        <v>1511</v>
      </c>
      <c r="C242" t="s">
        <v>26</v>
      </c>
      <c r="D242">
        <v>25</v>
      </c>
      <c r="E242">
        <v>17491</v>
      </c>
      <c r="F242">
        <v>437275</v>
      </c>
      <c r="G242" t="s">
        <v>10</v>
      </c>
      <c r="H242" t="s">
        <v>11</v>
      </c>
      <c r="I242" t="str">
        <f>TEXT(tblSales[[#This Row],[Date]],"mmm")</f>
        <v>Feb</v>
      </c>
    </row>
    <row r="243" spans="1:9" x14ac:dyDescent="0.3">
      <c r="A243" s="1">
        <v>45326</v>
      </c>
      <c r="B243" t="s">
        <v>1520</v>
      </c>
      <c r="C243" t="s">
        <v>13</v>
      </c>
      <c r="D243">
        <v>18</v>
      </c>
      <c r="E243">
        <v>23122</v>
      </c>
      <c r="F243">
        <v>416196</v>
      </c>
      <c r="G243" t="s">
        <v>19</v>
      </c>
      <c r="H243" t="s">
        <v>15</v>
      </c>
      <c r="I243" t="str">
        <f>TEXT(tblSales[[#This Row],[Date]],"mmm")</f>
        <v>Feb</v>
      </c>
    </row>
    <row r="244" spans="1:9" x14ac:dyDescent="0.3">
      <c r="A244" s="1">
        <v>45365</v>
      </c>
      <c r="B244" t="s">
        <v>20</v>
      </c>
      <c r="C244" t="s">
        <v>9</v>
      </c>
      <c r="D244">
        <v>25</v>
      </c>
      <c r="E244">
        <v>26561</v>
      </c>
      <c r="F244">
        <v>664025</v>
      </c>
      <c r="G244" t="s">
        <v>14</v>
      </c>
      <c r="H244" t="s">
        <v>15</v>
      </c>
      <c r="I244" t="str">
        <f>TEXT(tblSales[[#This Row],[Date]],"mmm")</f>
        <v>Mar</v>
      </c>
    </row>
    <row r="245" spans="1:9" x14ac:dyDescent="0.3">
      <c r="A245" s="1">
        <v>45368</v>
      </c>
      <c r="B245" t="s">
        <v>49</v>
      </c>
      <c r="C245" t="s">
        <v>13</v>
      </c>
      <c r="D245">
        <v>6</v>
      </c>
      <c r="E245">
        <v>14930</v>
      </c>
      <c r="F245">
        <v>89580</v>
      </c>
      <c r="G245" t="s">
        <v>14</v>
      </c>
      <c r="H245" t="s">
        <v>15</v>
      </c>
      <c r="I245" t="str">
        <f>TEXT(tblSales[[#This Row],[Date]],"mmm")</f>
        <v>Mar</v>
      </c>
    </row>
    <row r="246" spans="1:9" x14ac:dyDescent="0.3">
      <c r="A246" s="1">
        <v>45378</v>
      </c>
      <c r="B246" t="s">
        <v>85</v>
      </c>
      <c r="C246" t="s">
        <v>9</v>
      </c>
      <c r="D246">
        <v>37</v>
      </c>
      <c r="E246">
        <v>14638</v>
      </c>
      <c r="F246">
        <v>541606</v>
      </c>
      <c r="G246" t="s">
        <v>23</v>
      </c>
      <c r="H246" t="s">
        <v>27</v>
      </c>
      <c r="I246" t="str">
        <f>TEXT(tblSales[[#This Row],[Date]],"mmm")</f>
        <v>Mar</v>
      </c>
    </row>
    <row r="247" spans="1:9" x14ac:dyDescent="0.3">
      <c r="A247" s="1">
        <v>45376</v>
      </c>
      <c r="B247" t="s">
        <v>96</v>
      </c>
      <c r="C247" t="s">
        <v>26</v>
      </c>
      <c r="D247">
        <v>8</v>
      </c>
      <c r="E247">
        <v>30299</v>
      </c>
      <c r="F247">
        <v>242392</v>
      </c>
      <c r="G247" t="s">
        <v>19</v>
      </c>
      <c r="H247" t="s">
        <v>11</v>
      </c>
      <c r="I247" t="str">
        <f>TEXT(tblSales[[#This Row],[Date]],"mmm")</f>
        <v>Mar</v>
      </c>
    </row>
    <row r="248" spans="1:9" x14ac:dyDescent="0.3">
      <c r="A248" s="1">
        <v>45358</v>
      </c>
      <c r="B248" t="s">
        <v>98</v>
      </c>
      <c r="C248" t="s">
        <v>9</v>
      </c>
      <c r="D248">
        <v>20</v>
      </c>
      <c r="E248">
        <v>14149</v>
      </c>
      <c r="F248">
        <v>282980</v>
      </c>
      <c r="G248" t="s">
        <v>23</v>
      </c>
      <c r="H248" t="s">
        <v>17</v>
      </c>
      <c r="I248" t="str">
        <f>TEXT(tblSales[[#This Row],[Date]],"mmm")</f>
        <v>Mar</v>
      </c>
    </row>
    <row r="249" spans="1:9" x14ac:dyDescent="0.3">
      <c r="A249" s="1">
        <v>45372</v>
      </c>
      <c r="B249" t="s">
        <v>101</v>
      </c>
      <c r="C249" t="s">
        <v>9</v>
      </c>
      <c r="D249">
        <v>25</v>
      </c>
      <c r="E249">
        <v>8354</v>
      </c>
      <c r="F249">
        <v>208850</v>
      </c>
      <c r="G249" t="s">
        <v>14</v>
      </c>
      <c r="H249" t="s">
        <v>30</v>
      </c>
      <c r="I249" t="str">
        <f>TEXT(tblSales[[#This Row],[Date]],"mmm")</f>
        <v>Mar</v>
      </c>
    </row>
    <row r="250" spans="1:9" x14ac:dyDescent="0.3">
      <c r="A250" s="1">
        <v>45377</v>
      </c>
      <c r="B250" t="s">
        <v>107</v>
      </c>
      <c r="C250" t="s">
        <v>26</v>
      </c>
      <c r="D250">
        <v>34</v>
      </c>
      <c r="E250">
        <v>15932</v>
      </c>
      <c r="F250">
        <v>541688</v>
      </c>
      <c r="G250" t="s">
        <v>19</v>
      </c>
      <c r="H250" t="s">
        <v>11</v>
      </c>
      <c r="I250" t="str">
        <f>TEXT(tblSales[[#This Row],[Date]],"mmm")</f>
        <v>Mar</v>
      </c>
    </row>
    <row r="251" spans="1:9" x14ac:dyDescent="0.3">
      <c r="A251" s="1">
        <v>45362</v>
      </c>
      <c r="B251" t="s">
        <v>112</v>
      </c>
      <c r="C251" t="s">
        <v>26</v>
      </c>
      <c r="D251">
        <v>29</v>
      </c>
      <c r="E251">
        <v>17242</v>
      </c>
      <c r="F251">
        <v>500018</v>
      </c>
      <c r="G251" t="s">
        <v>19</v>
      </c>
      <c r="H251" t="s">
        <v>30</v>
      </c>
      <c r="I251" t="str">
        <f>TEXT(tblSales[[#This Row],[Date]],"mmm")</f>
        <v>Mar</v>
      </c>
    </row>
    <row r="252" spans="1:9" x14ac:dyDescent="0.3">
      <c r="A252" s="1">
        <v>45362</v>
      </c>
      <c r="B252" t="s">
        <v>119</v>
      </c>
      <c r="C252" t="s">
        <v>9</v>
      </c>
      <c r="D252">
        <v>25</v>
      </c>
      <c r="E252">
        <v>28914</v>
      </c>
      <c r="F252">
        <v>722850</v>
      </c>
      <c r="G252" t="s">
        <v>19</v>
      </c>
      <c r="H252" t="s">
        <v>27</v>
      </c>
      <c r="I252" t="str">
        <f>TEXT(tblSales[[#This Row],[Date]],"mmm")</f>
        <v>Mar</v>
      </c>
    </row>
    <row r="253" spans="1:9" x14ac:dyDescent="0.3">
      <c r="A253" s="1">
        <v>45380</v>
      </c>
      <c r="B253" t="s">
        <v>130</v>
      </c>
      <c r="C253" t="s">
        <v>26</v>
      </c>
      <c r="D253">
        <v>26</v>
      </c>
      <c r="E253">
        <v>22356</v>
      </c>
      <c r="F253">
        <v>581256</v>
      </c>
      <c r="G253" t="s">
        <v>19</v>
      </c>
      <c r="H253" t="s">
        <v>17</v>
      </c>
      <c r="I253" t="str">
        <f>TEXT(tblSales[[#This Row],[Date]],"mmm")</f>
        <v>Mar</v>
      </c>
    </row>
    <row r="254" spans="1:9" x14ac:dyDescent="0.3">
      <c r="A254" s="1">
        <v>45362</v>
      </c>
      <c r="B254" t="s">
        <v>137</v>
      </c>
      <c r="C254" t="s">
        <v>26</v>
      </c>
      <c r="D254">
        <v>12</v>
      </c>
      <c r="E254">
        <v>18378</v>
      </c>
      <c r="F254">
        <v>220536</v>
      </c>
      <c r="G254" t="s">
        <v>10</v>
      </c>
      <c r="H254" t="s">
        <v>30</v>
      </c>
      <c r="I254" t="str">
        <f>TEXT(tblSales[[#This Row],[Date]],"mmm")</f>
        <v>Mar</v>
      </c>
    </row>
    <row r="255" spans="1:9" x14ac:dyDescent="0.3">
      <c r="A255" s="1">
        <v>45365</v>
      </c>
      <c r="B255" t="s">
        <v>140</v>
      </c>
      <c r="C255" t="s">
        <v>35</v>
      </c>
      <c r="D255">
        <v>27</v>
      </c>
      <c r="E255">
        <v>36975</v>
      </c>
      <c r="F255">
        <v>998325</v>
      </c>
      <c r="G255" t="s">
        <v>10</v>
      </c>
      <c r="H255" t="s">
        <v>15</v>
      </c>
      <c r="I255" t="str">
        <f>TEXT(tblSales[[#This Row],[Date]],"mmm")</f>
        <v>Mar</v>
      </c>
    </row>
    <row r="256" spans="1:9" x14ac:dyDescent="0.3">
      <c r="A256" s="1">
        <v>45355</v>
      </c>
      <c r="B256" t="s">
        <v>144</v>
      </c>
      <c r="C256" t="s">
        <v>13</v>
      </c>
      <c r="D256">
        <v>23</v>
      </c>
      <c r="E256">
        <v>32683</v>
      </c>
      <c r="F256">
        <v>751709</v>
      </c>
      <c r="G256" t="s">
        <v>14</v>
      </c>
      <c r="H256" t="s">
        <v>11</v>
      </c>
      <c r="I256" t="str">
        <f>TEXT(tblSales[[#This Row],[Date]],"mmm")</f>
        <v>Mar</v>
      </c>
    </row>
    <row r="257" spans="1:9" x14ac:dyDescent="0.3">
      <c r="A257" s="1">
        <v>45368</v>
      </c>
      <c r="B257" t="s">
        <v>145</v>
      </c>
      <c r="C257" t="s">
        <v>22</v>
      </c>
      <c r="D257">
        <v>33</v>
      </c>
      <c r="E257">
        <v>6520</v>
      </c>
      <c r="F257">
        <v>215160</v>
      </c>
      <c r="G257" t="s">
        <v>19</v>
      </c>
      <c r="H257" t="s">
        <v>30</v>
      </c>
      <c r="I257" t="str">
        <f>TEXT(tblSales[[#This Row],[Date]],"mmm")</f>
        <v>Mar</v>
      </c>
    </row>
    <row r="258" spans="1:9" x14ac:dyDescent="0.3">
      <c r="A258" s="1">
        <v>45379</v>
      </c>
      <c r="B258" t="s">
        <v>149</v>
      </c>
      <c r="C258" t="s">
        <v>22</v>
      </c>
      <c r="D258">
        <v>11</v>
      </c>
      <c r="E258">
        <v>10251</v>
      </c>
      <c r="F258">
        <v>112761</v>
      </c>
      <c r="G258" t="s">
        <v>23</v>
      </c>
      <c r="H258" t="s">
        <v>30</v>
      </c>
      <c r="I258" t="str">
        <f>TEXT(tblSales[[#This Row],[Date]],"mmm")</f>
        <v>Mar</v>
      </c>
    </row>
    <row r="259" spans="1:9" x14ac:dyDescent="0.3">
      <c r="A259" s="1">
        <v>45364</v>
      </c>
      <c r="B259" t="s">
        <v>172</v>
      </c>
      <c r="C259" t="s">
        <v>22</v>
      </c>
      <c r="D259">
        <v>16</v>
      </c>
      <c r="E259">
        <v>13805</v>
      </c>
      <c r="F259">
        <v>220880</v>
      </c>
      <c r="G259" t="s">
        <v>14</v>
      </c>
      <c r="H259" t="s">
        <v>30</v>
      </c>
      <c r="I259" t="str">
        <f>TEXT(tblSales[[#This Row],[Date]],"mmm")</f>
        <v>Mar</v>
      </c>
    </row>
    <row r="260" spans="1:9" x14ac:dyDescent="0.3">
      <c r="A260" s="1">
        <v>45372</v>
      </c>
      <c r="B260" t="s">
        <v>191</v>
      </c>
      <c r="C260" t="s">
        <v>35</v>
      </c>
      <c r="D260">
        <v>17</v>
      </c>
      <c r="E260">
        <v>20782</v>
      </c>
      <c r="F260">
        <v>353294</v>
      </c>
      <c r="G260" t="s">
        <v>19</v>
      </c>
      <c r="H260" t="s">
        <v>30</v>
      </c>
      <c r="I260" t="str">
        <f>TEXT(tblSales[[#This Row],[Date]],"mmm")</f>
        <v>Mar</v>
      </c>
    </row>
    <row r="261" spans="1:9" x14ac:dyDescent="0.3">
      <c r="A261" s="1">
        <v>45357</v>
      </c>
      <c r="B261" t="s">
        <v>199</v>
      </c>
      <c r="C261" t="s">
        <v>9</v>
      </c>
      <c r="D261">
        <v>5</v>
      </c>
      <c r="E261">
        <v>40916</v>
      </c>
      <c r="F261">
        <v>204580</v>
      </c>
      <c r="G261" t="s">
        <v>14</v>
      </c>
      <c r="H261" t="s">
        <v>15</v>
      </c>
      <c r="I261" t="str">
        <f>TEXT(tblSales[[#This Row],[Date]],"mmm")</f>
        <v>Mar</v>
      </c>
    </row>
    <row r="262" spans="1:9" x14ac:dyDescent="0.3">
      <c r="A262" s="1">
        <v>45373</v>
      </c>
      <c r="B262" t="s">
        <v>207</v>
      </c>
      <c r="C262" t="s">
        <v>9</v>
      </c>
      <c r="D262">
        <v>9</v>
      </c>
      <c r="E262">
        <v>25362</v>
      </c>
      <c r="F262">
        <v>228258</v>
      </c>
      <c r="G262" t="s">
        <v>10</v>
      </c>
      <c r="H262" t="s">
        <v>27</v>
      </c>
      <c r="I262" t="str">
        <f>TEXT(tblSales[[#This Row],[Date]],"mmm")</f>
        <v>Mar</v>
      </c>
    </row>
    <row r="263" spans="1:9" x14ac:dyDescent="0.3">
      <c r="A263" s="1">
        <v>45355</v>
      </c>
      <c r="B263" t="s">
        <v>218</v>
      </c>
      <c r="C263" t="s">
        <v>9</v>
      </c>
      <c r="D263">
        <v>12</v>
      </c>
      <c r="E263">
        <v>18116</v>
      </c>
      <c r="F263">
        <v>217392</v>
      </c>
      <c r="G263" t="s">
        <v>19</v>
      </c>
      <c r="H263" t="s">
        <v>30</v>
      </c>
      <c r="I263" t="str">
        <f>TEXT(tblSales[[#This Row],[Date]],"mmm")</f>
        <v>Mar</v>
      </c>
    </row>
    <row r="264" spans="1:9" x14ac:dyDescent="0.3">
      <c r="A264" s="1">
        <v>45378</v>
      </c>
      <c r="B264" t="s">
        <v>229</v>
      </c>
      <c r="C264" t="s">
        <v>35</v>
      </c>
      <c r="D264">
        <v>40</v>
      </c>
      <c r="E264">
        <v>28178</v>
      </c>
      <c r="F264">
        <v>1127120</v>
      </c>
      <c r="G264" t="s">
        <v>19</v>
      </c>
      <c r="H264" t="s">
        <v>17</v>
      </c>
      <c r="I264" t="str">
        <f>TEXT(tblSales[[#This Row],[Date]],"mmm")</f>
        <v>Mar</v>
      </c>
    </row>
    <row r="265" spans="1:9" x14ac:dyDescent="0.3">
      <c r="A265" s="1">
        <v>45363</v>
      </c>
      <c r="B265" t="s">
        <v>239</v>
      </c>
      <c r="C265" t="s">
        <v>13</v>
      </c>
      <c r="D265">
        <v>32</v>
      </c>
      <c r="E265">
        <v>43913</v>
      </c>
      <c r="F265">
        <v>1405216</v>
      </c>
      <c r="G265" t="s">
        <v>10</v>
      </c>
      <c r="H265" t="s">
        <v>30</v>
      </c>
      <c r="I265" t="str">
        <f>TEXT(tblSales[[#This Row],[Date]],"mmm")</f>
        <v>Mar</v>
      </c>
    </row>
    <row r="266" spans="1:9" x14ac:dyDescent="0.3">
      <c r="A266" s="1">
        <v>45379</v>
      </c>
      <c r="B266" t="s">
        <v>276</v>
      </c>
      <c r="C266" t="s">
        <v>35</v>
      </c>
      <c r="D266">
        <v>3</v>
      </c>
      <c r="E266">
        <v>15075</v>
      </c>
      <c r="F266">
        <v>45225</v>
      </c>
      <c r="G266" t="s">
        <v>14</v>
      </c>
      <c r="H266" t="s">
        <v>27</v>
      </c>
      <c r="I266" t="str">
        <f>TEXT(tblSales[[#This Row],[Date]],"mmm")</f>
        <v>Mar</v>
      </c>
    </row>
    <row r="267" spans="1:9" x14ac:dyDescent="0.3">
      <c r="A267" s="1">
        <v>45364</v>
      </c>
      <c r="B267" t="s">
        <v>286</v>
      </c>
      <c r="C267" t="s">
        <v>35</v>
      </c>
      <c r="D267">
        <v>15</v>
      </c>
      <c r="E267">
        <v>11072</v>
      </c>
      <c r="F267">
        <v>166080</v>
      </c>
      <c r="G267" t="s">
        <v>10</v>
      </c>
      <c r="H267" t="s">
        <v>15</v>
      </c>
      <c r="I267" t="str">
        <f>TEXT(tblSales[[#This Row],[Date]],"mmm")</f>
        <v>Mar</v>
      </c>
    </row>
    <row r="268" spans="1:9" x14ac:dyDescent="0.3">
      <c r="A268" s="1">
        <v>45382</v>
      </c>
      <c r="B268" t="s">
        <v>298</v>
      </c>
      <c r="C268" t="s">
        <v>13</v>
      </c>
      <c r="D268">
        <v>22</v>
      </c>
      <c r="E268">
        <v>5451</v>
      </c>
      <c r="F268">
        <v>119922</v>
      </c>
      <c r="G268" t="s">
        <v>10</v>
      </c>
      <c r="H268" t="s">
        <v>11</v>
      </c>
      <c r="I268" t="str">
        <f>TEXT(tblSales[[#This Row],[Date]],"mmm")</f>
        <v>Mar</v>
      </c>
    </row>
    <row r="269" spans="1:9" x14ac:dyDescent="0.3">
      <c r="A269" s="1">
        <v>45361</v>
      </c>
      <c r="B269" t="s">
        <v>302</v>
      </c>
      <c r="C269" t="s">
        <v>26</v>
      </c>
      <c r="D269">
        <v>10</v>
      </c>
      <c r="E269">
        <v>23622</v>
      </c>
      <c r="F269">
        <v>236220</v>
      </c>
      <c r="G269" t="s">
        <v>19</v>
      </c>
      <c r="H269" t="s">
        <v>27</v>
      </c>
      <c r="I269" t="str">
        <f>TEXT(tblSales[[#This Row],[Date]],"mmm")</f>
        <v>Mar</v>
      </c>
    </row>
    <row r="270" spans="1:9" x14ac:dyDescent="0.3">
      <c r="A270" s="1">
        <v>45361</v>
      </c>
      <c r="B270" t="s">
        <v>325</v>
      </c>
      <c r="C270" t="s">
        <v>26</v>
      </c>
      <c r="D270">
        <v>17</v>
      </c>
      <c r="E270">
        <v>34969</v>
      </c>
      <c r="F270">
        <v>594473</v>
      </c>
      <c r="G270" t="s">
        <v>14</v>
      </c>
      <c r="H270" t="s">
        <v>27</v>
      </c>
      <c r="I270" t="str">
        <f>TEXT(tblSales[[#This Row],[Date]],"mmm")</f>
        <v>Mar</v>
      </c>
    </row>
    <row r="271" spans="1:9" x14ac:dyDescent="0.3">
      <c r="A271" s="1">
        <v>45360</v>
      </c>
      <c r="B271" t="s">
        <v>343</v>
      </c>
      <c r="C271" t="s">
        <v>26</v>
      </c>
      <c r="D271">
        <v>40</v>
      </c>
      <c r="E271">
        <v>25477</v>
      </c>
      <c r="F271">
        <v>1019080</v>
      </c>
      <c r="G271" t="s">
        <v>14</v>
      </c>
      <c r="H271" t="s">
        <v>30</v>
      </c>
      <c r="I271" t="str">
        <f>TEXT(tblSales[[#This Row],[Date]],"mmm")</f>
        <v>Mar</v>
      </c>
    </row>
    <row r="272" spans="1:9" x14ac:dyDescent="0.3">
      <c r="A272" s="1">
        <v>45355</v>
      </c>
      <c r="B272" t="s">
        <v>345</v>
      </c>
      <c r="C272" t="s">
        <v>22</v>
      </c>
      <c r="D272">
        <v>14</v>
      </c>
      <c r="E272">
        <v>22337</v>
      </c>
      <c r="F272">
        <v>312718</v>
      </c>
      <c r="G272" t="s">
        <v>19</v>
      </c>
      <c r="H272" t="s">
        <v>17</v>
      </c>
      <c r="I272" t="str">
        <f>TEXT(tblSales[[#This Row],[Date]],"mmm")</f>
        <v>Mar</v>
      </c>
    </row>
    <row r="273" spans="1:9" x14ac:dyDescent="0.3">
      <c r="A273" s="1">
        <v>45372</v>
      </c>
      <c r="B273" t="s">
        <v>346</v>
      </c>
      <c r="C273" t="s">
        <v>26</v>
      </c>
      <c r="D273">
        <v>19</v>
      </c>
      <c r="E273">
        <v>44313</v>
      </c>
      <c r="F273">
        <v>841947</v>
      </c>
      <c r="G273" t="s">
        <v>19</v>
      </c>
      <c r="H273" t="s">
        <v>11</v>
      </c>
      <c r="I273" t="str">
        <f>TEXT(tblSales[[#This Row],[Date]],"mmm")</f>
        <v>Mar</v>
      </c>
    </row>
    <row r="274" spans="1:9" x14ac:dyDescent="0.3">
      <c r="A274" s="1">
        <v>45354</v>
      </c>
      <c r="B274" t="s">
        <v>347</v>
      </c>
      <c r="C274" t="s">
        <v>22</v>
      </c>
      <c r="D274">
        <v>13</v>
      </c>
      <c r="E274">
        <v>42663</v>
      </c>
      <c r="F274">
        <v>554619</v>
      </c>
      <c r="G274" t="s">
        <v>23</v>
      </c>
      <c r="H274" t="s">
        <v>15</v>
      </c>
      <c r="I274" t="str">
        <f>TEXT(tblSales[[#This Row],[Date]],"mmm")</f>
        <v>Mar</v>
      </c>
    </row>
    <row r="275" spans="1:9" x14ac:dyDescent="0.3">
      <c r="A275" s="1">
        <v>45370</v>
      </c>
      <c r="B275" t="s">
        <v>359</v>
      </c>
      <c r="C275" t="s">
        <v>9</v>
      </c>
      <c r="D275">
        <v>21</v>
      </c>
      <c r="E275">
        <v>23605</v>
      </c>
      <c r="F275">
        <v>495705</v>
      </c>
      <c r="G275" t="s">
        <v>23</v>
      </c>
      <c r="H275" t="s">
        <v>15</v>
      </c>
      <c r="I275" t="str">
        <f>TEXT(tblSales[[#This Row],[Date]],"mmm")</f>
        <v>Mar</v>
      </c>
    </row>
    <row r="276" spans="1:9" x14ac:dyDescent="0.3">
      <c r="A276" s="1">
        <v>45367</v>
      </c>
      <c r="B276" t="s">
        <v>377</v>
      </c>
      <c r="C276" t="s">
        <v>35</v>
      </c>
      <c r="D276">
        <v>12</v>
      </c>
      <c r="E276">
        <v>11496</v>
      </c>
      <c r="F276">
        <v>137952</v>
      </c>
      <c r="G276" t="s">
        <v>14</v>
      </c>
      <c r="H276" t="s">
        <v>17</v>
      </c>
      <c r="I276" t="str">
        <f>TEXT(tblSales[[#This Row],[Date]],"mmm")</f>
        <v>Mar</v>
      </c>
    </row>
    <row r="277" spans="1:9" x14ac:dyDescent="0.3">
      <c r="A277" s="1">
        <v>45373</v>
      </c>
      <c r="B277" t="s">
        <v>378</v>
      </c>
      <c r="C277" t="s">
        <v>9</v>
      </c>
      <c r="D277">
        <v>10</v>
      </c>
      <c r="E277">
        <v>40455</v>
      </c>
      <c r="F277">
        <v>404550</v>
      </c>
      <c r="G277" t="s">
        <v>23</v>
      </c>
      <c r="H277" t="s">
        <v>15</v>
      </c>
      <c r="I277" t="str">
        <f>TEXT(tblSales[[#This Row],[Date]],"mmm")</f>
        <v>Mar</v>
      </c>
    </row>
    <row r="278" spans="1:9" x14ac:dyDescent="0.3">
      <c r="A278" s="1">
        <v>45376</v>
      </c>
      <c r="B278" t="s">
        <v>389</v>
      </c>
      <c r="C278" t="s">
        <v>13</v>
      </c>
      <c r="D278">
        <v>19</v>
      </c>
      <c r="E278">
        <v>40859</v>
      </c>
      <c r="F278">
        <v>776321</v>
      </c>
      <c r="G278" t="s">
        <v>23</v>
      </c>
      <c r="H278" t="s">
        <v>30</v>
      </c>
      <c r="I278" t="str">
        <f>TEXT(tblSales[[#This Row],[Date]],"mmm")</f>
        <v>Mar</v>
      </c>
    </row>
    <row r="279" spans="1:9" x14ac:dyDescent="0.3">
      <c r="A279" s="1">
        <v>45357</v>
      </c>
      <c r="B279" t="s">
        <v>404</v>
      </c>
      <c r="C279" t="s">
        <v>13</v>
      </c>
      <c r="D279">
        <v>34</v>
      </c>
      <c r="E279">
        <v>20480</v>
      </c>
      <c r="F279">
        <v>696320</v>
      </c>
      <c r="G279" t="s">
        <v>19</v>
      </c>
      <c r="H279" t="s">
        <v>15</v>
      </c>
      <c r="I279" t="str">
        <f>TEXT(tblSales[[#This Row],[Date]],"mmm")</f>
        <v>Mar</v>
      </c>
    </row>
    <row r="280" spans="1:9" x14ac:dyDescent="0.3">
      <c r="A280" s="1">
        <v>45362</v>
      </c>
      <c r="B280" t="s">
        <v>413</v>
      </c>
      <c r="C280" t="s">
        <v>13</v>
      </c>
      <c r="D280">
        <v>32</v>
      </c>
      <c r="E280">
        <v>31634</v>
      </c>
      <c r="F280">
        <v>1012288</v>
      </c>
      <c r="G280" t="s">
        <v>19</v>
      </c>
      <c r="H280" t="s">
        <v>11</v>
      </c>
      <c r="I280" t="str">
        <f>TEXT(tblSales[[#This Row],[Date]],"mmm")</f>
        <v>Mar</v>
      </c>
    </row>
    <row r="281" spans="1:9" x14ac:dyDescent="0.3">
      <c r="A281" s="1">
        <v>45368</v>
      </c>
      <c r="B281" t="s">
        <v>423</v>
      </c>
      <c r="C281" t="s">
        <v>13</v>
      </c>
      <c r="D281">
        <v>11</v>
      </c>
      <c r="E281">
        <v>23562</v>
      </c>
      <c r="F281">
        <v>259182</v>
      </c>
      <c r="G281" t="s">
        <v>10</v>
      </c>
      <c r="H281" t="s">
        <v>15</v>
      </c>
      <c r="I281" t="str">
        <f>TEXT(tblSales[[#This Row],[Date]],"mmm")</f>
        <v>Mar</v>
      </c>
    </row>
    <row r="282" spans="1:9" x14ac:dyDescent="0.3">
      <c r="A282" s="1">
        <v>45375</v>
      </c>
      <c r="B282" t="s">
        <v>441</v>
      </c>
      <c r="C282" t="s">
        <v>9</v>
      </c>
      <c r="D282">
        <v>39</v>
      </c>
      <c r="E282">
        <v>37745</v>
      </c>
      <c r="F282">
        <v>1472055</v>
      </c>
      <c r="G282" t="s">
        <v>23</v>
      </c>
      <c r="H282" t="s">
        <v>30</v>
      </c>
      <c r="I282" t="str">
        <f>TEXT(tblSales[[#This Row],[Date]],"mmm")</f>
        <v>Mar</v>
      </c>
    </row>
    <row r="283" spans="1:9" x14ac:dyDescent="0.3">
      <c r="A283" s="1">
        <v>45355</v>
      </c>
      <c r="B283" t="s">
        <v>463</v>
      </c>
      <c r="C283" t="s">
        <v>35</v>
      </c>
      <c r="D283">
        <v>4</v>
      </c>
      <c r="E283">
        <v>9137</v>
      </c>
      <c r="F283">
        <v>36548</v>
      </c>
      <c r="G283" t="s">
        <v>19</v>
      </c>
      <c r="H283" t="s">
        <v>17</v>
      </c>
      <c r="I283" t="str">
        <f>TEXT(tblSales[[#This Row],[Date]],"mmm")</f>
        <v>Mar</v>
      </c>
    </row>
    <row r="284" spans="1:9" x14ac:dyDescent="0.3">
      <c r="A284" s="1">
        <v>45377</v>
      </c>
      <c r="B284" t="s">
        <v>470</v>
      </c>
      <c r="C284" t="s">
        <v>22</v>
      </c>
      <c r="D284">
        <v>9</v>
      </c>
      <c r="E284">
        <v>21000</v>
      </c>
      <c r="F284">
        <v>189000</v>
      </c>
      <c r="G284" t="s">
        <v>19</v>
      </c>
      <c r="H284" t="s">
        <v>30</v>
      </c>
      <c r="I284" t="str">
        <f>TEXT(tblSales[[#This Row],[Date]],"mmm")</f>
        <v>Mar</v>
      </c>
    </row>
    <row r="285" spans="1:9" x14ac:dyDescent="0.3">
      <c r="A285" s="1">
        <v>45362</v>
      </c>
      <c r="B285" t="s">
        <v>474</v>
      </c>
      <c r="C285" t="s">
        <v>13</v>
      </c>
      <c r="D285">
        <v>20</v>
      </c>
      <c r="E285">
        <v>39157</v>
      </c>
      <c r="F285">
        <v>783140</v>
      </c>
      <c r="G285" t="s">
        <v>19</v>
      </c>
      <c r="H285" t="s">
        <v>15</v>
      </c>
      <c r="I285" t="str">
        <f>TEXT(tblSales[[#This Row],[Date]],"mmm")</f>
        <v>Mar</v>
      </c>
    </row>
    <row r="286" spans="1:9" x14ac:dyDescent="0.3">
      <c r="A286" s="1">
        <v>45382</v>
      </c>
      <c r="B286" t="s">
        <v>479</v>
      </c>
      <c r="C286" t="s">
        <v>26</v>
      </c>
      <c r="D286">
        <v>9</v>
      </c>
      <c r="E286">
        <v>14953</v>
      </c>
      <c r="F286">
        <v>134577</v>
      </c>
      <c r="G286" t="s">
        <v>10</v>
      </c>
      <c r="H286" t="s">
        <v>15</v>
      </c>
      <c r="I286" t="str">
        <f>TEXT(tblSales[[#This Row],[Date]],"mmm")</f>
        <v>Mar</v>
      </c>
    </row>
    <row r="287" spans="1:9" x14ac:dyDescent="0.3">
      <c r="A287" s="1">
        <v>45370</v>
      </c>
      <c r="B287" t="s">
        <v>483</v>
      </c>
      <c r="C287" t="s">
        <v>35</v>
      </c>
      <c r="D287">
        <v>35</v>
      </c>
      <c r="E287">
        <v>43840</v>
      </c>
      <c r="F287">
        <v>1534400</v>
      </c>
      <c r="G287" t="s">
        <v>19</v>
      </c>
      <c r="H287" t="s">
        <v>17</v>
      </c>
      <c r="I287" t="str">
        <f>TEXT(tblSales[[#This Row],[Date]],"mmm")</f>
        <v>Mar</v>
      </c>
    </row>
    <row r="288" spans="1:9" x14ac:dyDescent="0.3">
      <c r="A288" s="1">
        <v>45382</v>
      </c>
      <c r="B288" t="s">
        <v>513</v>
      </c>
      <c r="C288" t="s">
        <v>35</v>
      </c>
      <c r="D288">
        <v>36</v>
      </c>
      <c r="E288">
        <v>8287</v>
      </c>
      <c r="F288">
        <v>298332</v>
      </c>
      <c r="G288" t="s">
        <v>23</v>
      </c>
      <c r="H288" t="s">
        <v>15</v>
      </c>
      <c r="I288" t="str">
        <f>TEXT(tblSales[[#This Row],[Date]],"mmm")</f>
        <v>Mar</v>
      </c>
    </row>
    <row r="289" spans="1:9" x14ac:dyDescent="0.3">
      <c r="A289" s="1">
        <v>45361</v>
      </c>
      <c r="B289" t="s">
        <v>517</v>
      </c>
      <c r="C289" t="s">
        <v>9</v>
      </c>
      <c r="D289">
        <v>14</v>
      </c>
      <c r="E289">
        <v>30571</v>
      </c>
      <c r="F289">
        <v>427994</v>
      </c>
      <c r="G289" t="s">
        <v>23</v>
      </c>
      <c r="H289" t="s">
        <v>11</v>
      </c>
      <c r="I289" t="str">
        <f>TEXT(tblSales[[#This Row],[Date]],"mmm")</f>
        <v>Mar</v>
      </c>
    </row>
    <row r="290" spans="1:9" x14ac:dyDescent="0.3">
      <c r="A290" s="1">
        <v>45363</v>
      </c>
      <c r="B290" t="s">
        <v>530</v>
      </c>
      <c r="C290" t="s">
        <v>9</v>
      </c>
      <c r="D290">
        <v>33</v>
      </c>
      <c r="E290">
        <v>23804</v>
      </c>
      <c r="F290">
        <v>785532</v>
      </c>
      <c r="G290" t="s">
        <v>14</v>
      </c>
      <c r="H290" t="s">
        <v>30</v>
      </c>
      <c r="I290" t="str">
        <f>TEXT(tblSales[[#This Row],[Date]],"mmm")</f>
        <v>Mar</v>
      </c>
    </row>
    <row r="291" spans="1:9" x14ac:dyDescent="0.3">
      <c r="A291" s="1">
        <v>45353</v>
      </c>
      <c r="B291" t="s">
        <v>538</v>
      </c>
      <c r="C291" t="s">
        <v>22</v>
      </c>
      <c r="D291">
        <v>35</v>
      </c>
      <c r="E291">
        <v>27756</v>
      </c>
      <c r="F291">
        <v>971460</v>
      </c>
      <c r="G291" t="s">
        <v>10</v>
      </c>
      <c r="H291" t="s">
        <v>27</v>
      </c>
      <c r="I291" t="str">
        <f>TEXT(tblSales[[#This Row],[Date]],"mmm")</f>
        <v>Mar</v>
      </c>
    </row>
    <row r="292" spans="1:9" x14ac:dyDescent="0.3">
      <c r="A292" s="1">
        <v>45375</v>
      </c>
      <c r="B292" t="s">
        <v>547</v>
      </c>
      <c r="C292" t="s">
        <v>26</v>
      </c>
      <c r="D292">
        <v>10</v>
      </c>
      <c r="E292">
        <v>23744</v>
      </c>
      <c r="F292">
        <v>237440</v>
      </c>
      <c r="G292" t="s">
        <v>10</v>
      </c>
      <c r="H292" t="s">
        <v>15</v>
      </c>
      <c r="I292" t="str">
        <f>TEXT(tblSales[[#This Row],[Date]],"mmm")</f>
        <v>Mar</v>
      </c>
    </row>
    <row r="293" spans="1:9" x14ac:dyDescent="0.3">
      <c r="A293" s="1">
        <v>45380</v>
      </c>
      <c r="B293" t="s">
        <v>563</v>
      </c>
      <c r="C293" t="s">
        <v>13</v>
      </c>
      <c r="D293">
        <v>9</v>
      </c>
      <c r="E293">
        <v>44210</v>
      </c>
      <c r="F293">
        <v>397890</v>
      </c>
      <c r="G293" t="s">
        <v>10</v>
      </c>
      <c r="H293" t="s">
        <v>17</v>
      </c>
      <c r="I293" t="str">
        <f>TEXT(tblSales[[#This Row],[Date]],"mmm")</f>
        <v>Mar</v>
      </c>
    </row>
    <row r="294" spans="1:9" x14ac:dyDescent="0.3">
      <c r="A294" s="1">
        <v>45368</v>
      </c>
      <c r="B294" t="s">
        <v>577</v>
      </c>
      <c r="C294" t="s">
        <v>22</v>
      </c>
      <c r="D294">
        <v>17</v>
      </c>
      <c r="E294">
        <v>6972</v>
      </c>
      <c r="F294">
        <v>118524</v>
      </c>
      <c r="G294" t="s">
        <v>10</v>
      </c>
      <c r="H294" t="s">
        <v>17</v>
      </c>
      <c r="I294" t="str">
        <f>TEXT(tblSales[[#This Row],[Date]],"mmm")</f>
        <v>Mar</v>
      </c>
    </row>
    <row r="295" spans="1:9" x14ac:dyDescent="0.3">
      <c r="A295" s="1">
        <v>45361</v>
      </c>
      <c r="B295" t="s">
        <v>596</v>
      </c>
      <c r="C295" t="s">
        <v>22</v>
      </c>
      <c r="D295">
        <v>37</v>
      </c>
      <c r="E295">
        <v>41115</v>
      </c>
      <c r="F295">
        <v>1521255</v>
      </c>
      <c r="G295" t="s">
        <v>14</v>
      </c>
      <c r="H295" t="s">
        <v>11</v>
      </c>
      <c r="I295" t="str">
        <f>TEXT(tblSales[[#This Row],[Date]],"mmm")</f>
        <v>Mar</v>
      </c>
    </row>
    <row r="296" spans="1:9" x14ac:dyDescent="0.3">
      <c r="A296" s="1">
        <v>45379</v>
      </c>
      <c r="B296" t="s">
        <v>600</v>
      </c>
      <c r="C296" t="s">
        <v>13</v>
      </c>
      <c r="D296">
        <v>14</v>
      </c>
      <c r="E296">
        <v>13207</v>
      </c>
      <c r="F296">
        <v>184898</v>
      </c>
      <c r="G296" t="s">
        <v>23</v>
      </c>
      <c r="H296" t="s">
        <v>27</v>
      </c>
      <c r="I296" t="str">
        <f>TEXT(tblSales[[#This Row],[Date]],"mmm")</f>
        <v>Mar</v>
      </c>
    </row>
    <row r="297" spans="1:9" x14ac:dyDescent="0.3">
      <c r="A297" s="1">
        <v>45352</v>
      </c>
      <c r="B297" t="s">
        <v>605</v>
      </c>
      <c r="C297" t="s">
        <v>22</v>
      </c>
      <c r="D297">
        <v>28</v>
      </c>
      <c r="E297">
        <v>44054</v>
      </c>
      <c r="F297">
        <v>1233512</v>
      </c>
      <c r="G297" t="s">
        <v>19</v>
      </c>
      <c r="H297" t="s">
        <v>30</v>
      </c>
      <c r="I297" t="str">
        <f>TEXT(tblSales[[#This Row],[Date]],"mmm")</f>
        <v>Mar</v>
      </c>
    </row>
    <row r="298" spans="1:9" x14ac:dyDescent="0.3">
      <c r="A298" s="1">
        <v>45362</v>
      </c>
      <c r="B298" t="s">
        <v>621</v>
      </c>
      <c r="C298" t="s">
        <v>22</v>
      </c>
      <c r="D298">
        <v>27</v>
      </c>
      <c r="E298">
        <v>19394</v>
      </c>
      <c r="F298">
        <v>523638</v>
      </c>
      <c r="G298" t="s">
        <v>14</v>
      </c>
      <c r="H298" t="s">
        <v>27</v>
      </c>
      <c r="I298" t="str">
        <f>TEXT(tblSales[[#This Row],[Date]],"mmm")</f>
        <v>Mar</v>
      </c>
    </row>
    <row r="299" spans="1:9" x14ac:dyDescent="0.3">
      <c r="A299" s="1">
        <v>45357</v>
      </c>
      <c r="B299" t="s">
        <v>644</v>
      </c>
      <c r="C299" t="s">
        <v>26</v>
      </c>
      <c r="D299">
        <v>2</v>
      </c>
      <c r="E299">
        <v>28704</v>
      </c>
      <c r="F299">
        <v>57408</v>
      </c>
      <c r="G299" t="s">
        <v>19</v>
      </c>
      <c r="H299" t="s">
        <v>27</v>
      </c>
      <c r="I299" t="str">
        <f>TEXT(tblSales[[#This Row],[Date]],"mmm")</f>
        <v>Mar</v>
      </c>
    </row>
    <row r="300" spans="1:9" x14ac:dyDescent="0.3">
      <c r="A300" s="1">
        <v>45382</v>
      </c>
      <c r="B300" t="s">
        <v>657</v>
      </c>
      <c r="C300" t="s">
        <v>9</v>
      </c>
      <c r="D300">
        <v>7</v>
      </c>
      <c r="E300">
        <v>8707</v>
      </c>
      <c r="F300">
        <v>60949</v>
      </c>
      <c r="G300" t="s">
        <v>10</v>
      </c>
      <c r="H300" t="s">
        <v>17</v>
      </c>
      <c r="I300" t="str">
        <f>TEXT(tblSales[[#This Row],[Date]],"mmm")</f>
        <v>Mar</v>
      </c>
    </row>
    <row r="301" spans="1:9" x14ac:dyDescent="0.3">
      <c r="A301" s="1">
        <v>45370</v>
      </c>
      <c r="B301" t="s">
        <v>658</v>
      </c>
      <c r="C301" t="s">
        <v>22</v>
      </c>
      <c r="D301">
        <v>21</v>
      </c>
      <c r="E301">
        <v>6587</v>
      </c>
      <c r="F301">
        <v>138327</v>
      </c>
      <c r="G301" t="s">
        <v>10</v>
      </c>
      <c r="H301" t="s">
        <v>17</v>
      </c>
      <c r="I301" t="str">
        <f>TEXT(tblSales[[#This Row],[Date]],"mmm")</f>
        <v>Mar</v>
      </c>
    </row>
    <row r="302" spans="1:9" x14ac:dyDescent="0.3">
      <c r="A302" s="1">
        <v>45359</v>
      </c>
      <c r="B302" t="s">
        <v>659</v>
      </c>
      <c r="C302" t="s">
        <v>35</v>
      </c>
      <c r="D302">
        <v>15</v>
      </c>
      <c r="E302">
        <v>13938</v>
      </c>
      <c r="F302">
        <v>209070</v>
      </c>
      <c r="G302" t="s">
        <v>14</v>
      </c>
      <c r="H302" t="s">
        <v>15</v>
      </c>
      <c r="I302" t="str">
        <f>TEXT(tblSales[[#This Row],[Date]],"mmm")</f>
        <v>Mar</v>
      </c>
    </row>
    <row r="303" spans="1:9" x14ac:dyDescent="0.3">
      <c r="A303" s="1">
        <v>45356</v>
      </c>
      <c r="B303" t="s">
        <v>671</v>
      </c>
      <c r="C303" t="s">
        <v>35</v>
      </c>
      <c r="D303">
        <v>21</v>
      </c>
      <c r="E303">
        <v>25405</v>
      </c>
      <c r="F303">
        <v>533505</v>
      </c>
      <c r="G303" t="s">
        <v>23</v>
      </c>
      <c r="H303" t="s">
        <v>27</v>
      </c>
      <c r="I303" t="str">
        <f>TEXT(tblSales[[#This Row],[Date]],"mmm")</f>
        <v>Mar</v>
      </c>
    </row>
    <row r="304" spans="1:9" x14ac:dyDescent="0.3">
      <c r="A304" s="1">
        <v>45356</v>
      </c>
      <c r="B304" t="s">
        <v>737</v>
      </c>
      <c r="C304" t="s">
        <v>22</v>
      </c>
      <c r="D304">
        <v>12</v>
      </c>
      <c r="E304">
        <v>34142</v>
      </c>
      <c r="F304">
        <v>409704</v>
      </c>
      <c r="G304" t="s">
        <v>14</v>
      </c>
      <c r="H304" t="s">
        <v>30</v>
      </c>
      <c r="I304" t="str">
        <f>TEXT(tblSales[[#This Row],[Date]],"mmm")</f>
        <v>Mar</v>
      </c>
    </row>
    <row r="305" spans="1:9" x14ac:dyDescent="0.3">
      <c r="A305" s="1">
        <v>45354</v>
      </c>
      <c r="B305" t="s">
        <v>754</v>
      </c>
      <c r="C305" t="s">
        <v>9</v>
      </c>
      <c r="D305">
        <v>21</v>
      </c>
      <c r="E305">
        <v>44231</v>
      </c>
      <c r="F305">
        <v>928851</v>
      </c>
      <c r="G305" t="s">
        <v>19</v>
      </c>
      <c r="H305" t="s">
        <v>15</v>
      </c>
      <c r="I305" t="str">
        <f>TEXT(tblSales[[#This Row],[Date]],"mmm")</f>
        <v>Mar</v>
      </c>
    </row>
    <row r="306" spans="1:9" x14ac:dyDescent="0.3">
      <c r="A306" s="1">
        <v>45365</v>
      </c>
      <c r="B306" t="s">
        <v>762</v>
      </c>
      <c r="C306" t="s">
        <v>26</v>
      </c>
      <c r="D306">
        <v>20</v>
      </c>
      <c r="E306">
        <v>18182</v>
      </c>
      <c r="F306">
        <v>363640</v>
      </c>
      <c r="G306" t="s">
        <v>10</v>
      </c>
      <c r="H306" t="s">
        <v>17</v>
      </c>
      <c r="I306" t="str">
        <f>TEXT(tblSales[[#This Row],[Date]],"mmm")</f>
        <v>Mar</v>
      </c>
    </row>
    <row r="307" spans="1:9" x14ac:dyDescent="0.3">
      <c r="A307" s="1">
        <v>45365</v>
      </c>
      <c r="B307" t="s">
        <v>788</v>
      </c>
      <c r="C307" t="s">
        <v>35</v>
      </c>
      <c r="D307">
        <v>21</v>
      </c>
      <c r="E307">
        <v>7676</v>
      </c>
      <c r="F307">
        <v>161196</v>
      </c>
      <c r="G307" t="s">
        <v>23</v>
      </c>
      <c r="H307" t="s">
        <v>15</v>
      </c>
      <c r="I307" t="str">
        <f>TEXT(tblSales[[#This Row],[Date]],"mmm")</f>
        <v>Mar</v>
      </c>
    </row>
    <row r="308" spans="1:9" x14ac:dyDescent="0.3">
      <c r="A308" s="1">
        <v>45356</v>
      </c>
      <c r="B308" t="s">
        <v>799</v>
      </c>
      <c r="C308" t="s">
        <v>22</v>
      </c>
      <c r="D308">
        <v>10</v>
      </c>
      <c r="E308">
        <v>19004</v>
      </c>
      <c r="F308">
        <v>190040</v>
      </c>
      <c r="G308" t="s">
        <v>19</v>
      </c>
      <c r="H308" t="s">
        <v>27</v>
      </c>
      <c r="I308" t="str">
        <f>TEXT(tblSales[[#This Row],[Date]],"mmm")</f>
        <v>Mar</v>
      </c>
    </row>
    <row r="309" spans="1:9" x14ac:dyDescent="0.3">
      <c r="A309" s="1">
        <v>45382</v>
      </c>
      <c r="B309" t="s">
        <v>830</v>
      </c>
      <c r="C309" t="s">
        <v>35</v>
      </c>
      <c r="D309">
        <v>37</v>
      </c>
      <c r="E309">
        <v>15195</v>
      </c>
      <c r="F309">
        <v>562215</v>
      </c>
      <c r="G309" t="s">
        <v>19</v>
      </c>
      <c r="H309" t="s">
        <v>15</v>
      </c>
      <c r="I309" t="str">
        <f>TEXT(tblSales[[#This Row],[Date]],"mmm")</f>
        <v>Mar</v>
      </c>
    </row>
    <row r="310" spans="1:9" x14ac:dyDescent="0.3">
      <c r="A310" s="1">
        <v>45364</v>
      </c>
      <c r="B310" t="s">
        <v>832</v>
      </c>
      <c r="C310" t="s">
        <v>35</v>
      </c>
      <c r="D310">
        <v>25</v>
      </c>
      <c r="E310">
        <v>19665</v>
      </c>
      <c r="F310">
        <v>491625</v>
      </c>
      <c r="G310" t="s">
        <v>23</v>
      </c>
      <c r="H310" t="s">
        <v>15</v>
      </c>
      <c r="I310" t="str">
        <f>TEXT(tblSales[[#This Row],[Date]],"mmm")</f>
        <v>Mar</v>
      </c>
    </row>
    <row r="311" spans="1:9" x14ac:dyDescent="0.3">
      <c r="A311" s="1">
        <v>45362</v>
      </c>
      <c r="B311" t="s">
        <v>835</v>
      </c>
      <c r="C311" t="s">
        <v>35</v>
      </c>
      <c r="D311">
        <v>1</v>
      </c>
      <c r="E311">
        <v>17303</v>
      </c>
      <c r="F311">
        <v>17303</v>
      </c>
      <c r="G311" t="s">
        <v>19</v>
      </c>
      <c r="H311" t="s">
        <v>11</v>
      </c>
      <c r="I311" t="str">
        <f>TEXT(tblSales[[#This Row],[Date]],"mmm")</f>
        <v>Mar</v>
      </c>
    </row>
    <row r="312" spans="1:9" x14ac:dyDescent="0.3">
      <c r="A312" s="1">
        <v>45373</v>
      </c>
      <c r="B312" t="s">
        <v>869</v>
      </c>
      <c r="C312" t="s">
        <v>9</v>
      </c>
      <c r="D312">
        <v>39</v>
      </c>
      <c r="E312">
        <v>22949</v>
      </c>
      <c r="F312">
        <v>895011</v>
      </c>
      <c r="G312" t="s">
        <v>14</v>
      </c>
      <c r="H312" t="s">
        <v>30</v>
      </c>
      <c r="I312" t="str">
        <f>TEXT(tblSales[[#This Row],[Date]],"mmm")</f>
        <v>Mar</v>
      </c>
    </row>
    <row r="313" spans="1:9" x14ac:dyDescent="0.3">
      <c r="A313" s="1">
        <v>45379</v>
      </c>
      <c r="B313" t="s">
        <v>873</v>
      </c>
      <c r="C313" t="s">
        <v>13</v>
      </c>
      <c r="D313">
        <v>24</v>
      </c>
      <c r="E313">
        <v>9697</v>
      </c>
      <c r="F313">
        <v>232728</v>
      </c>
      <c r="G313" t="s">
        <v>10</v>
      </c>
      <c r="H313" t="s">
        <v>11</v>
      </c>
      <c r="I313" t="str">
        <f>TEXT(tblSales[[#This Row],[Date]],"mmm")</f>
        <v>Mar</v>
      </c>
    </row>
    <row r="314" spans="1:9" x14ac:dyDescent="0.3">
      <c r="A314" s="1">
        <v>45360</v>
      </c>
      <c r="B314" t="s">
        <v>879</v>
      </c>
      <c r="C314" t="s">
        <v>26</v>
      </c>
      <c r="D314">
        <v>7</v>
      </c>
      <c r="E314">
        <v>12257</v>
      </c>
      <c r="F314">
        <v>85799</v>
      </c>
      <c r="G314" t="s">
        <v>10</v>
      </c>
      <c r="H314" t="s">
        <v>15</v>
      </c>
      <c r="I314" t="str">
        <f>TEXT(tblSales[[#This Row],[Date]],"mmm")</f>
        <v>Mar</v>
      </c>
    </row>
    <row r="315" spans="1:9" x14ac:dyDescent="0.3">
      <c r="A315" s="1">
        <v>45368</v>
      </c>
      <c r="B315" t="s">
        <v>885</v>
      </c>
      <c r="C315" t="s">
        <v>9</v>
      </c>
      <c r="D315">
        <v>8</v>
      </c>
      <c r="E315">
        <v>41128</v>
      </c>
      <c r="F315">
        <v>329024</v>
      </c>
      <c r="G315" t="s">
        <v>10</v>
      </c>
      <c r="H315" t="s">
        <v>27</v>
      </c>
      <c r="I315" t="str">
        <f>TEXT(tblSales[[#This Row],[Date]],"mmm")</f>
        <v>Mar</v>
      </c>
    </row>
    <row r="316" spans="1:9" x14ac:dyDescent="0.3">
      <c r="A316" s="1">
        <v>45372</v>
      </c>
      <c r="B316" t="s">
        <v>897</v>
      </c>
      <c r="C316" t="s">
        <v>35</v>
      </c>
      <c r="D316">
        <v>40</v>
      </c>
      <c r="E316">
        <v>11970</v>
      </c>
      <c r="F316">
        <v>478800</v>
      </c>
      <c r="G316" t="s">
        <v>10</v>
      </c>
      <c r="H316" t="s">
        <v>27</v>
      </c>
      <c r="I316" t="str">
        <f>TEXT(tblSales[[#This Row],[Date]],"mmm")</f>
        <v>Mar</v>
      </c>
    </row>
    <row r="317" spans="1:9" x14ac:dyDescent="0.3">
      <c r="A317" s="1">
        <v>45357</v>
      </c>
      <c r="B317" t="s">
        <v>905</v>
      </c>
      <c r="C317" t="s">
        <v>9</v>
      </c>
      <c r="D317">
        <v>14</v>
      </c>
      <c r="E317">
        <v>44586</v>
      </c>
      <c r="F317">
        <v>624204</v>
      </c>
      <c r="G317" t="s">
        <v>23</v>
      </c>
      <c r="H317" t="s">
        <v>30</v>
      </c>
      <c r="I317" t="str">
        <f>TEXT(tblSales[[#This Row],[Date]],"mmm")</f>
        <v>Mar</v>
      </c>
    </row>
    <row r="318" spans="1:9" x14ac:dyDescent="0.3">
      <c r="A318" s="1">
        <v>45360</v>
      </c>
      <c r="B318" t="s">
        <v>924</v>
      </c>
      <c r="C318" t="s">
        <v>9</v>
      </c>
      <c r="D318">
        <v>37</v>
      </c>
      <c r="E318">
        <v>39191</v>
      </c>
      <c r="F318">
        <v>1450067</v>
      </c>
      <c r="G318" t="s">
        <v>10</v>
      </c>
      <c r="H318" t="s">
        <v>15</v>
      </c>
      <c r="I318" t="str">
        <f>TEXT(tblSales[[#This Row],[Date]],"mmm")</f>
        <v>Mar</v>
      </c>
    </row>
    <row r="319" spans="1:9" x14ac:dyDescent="0.3">
      <c r="A319" s="1">
        <v>45358</v>
      </c>
      <c r="B319" t="s">
        <v>926</v>
      </c>
      <c r="C319" t="s">
        <v>35</v>
      </c>
      <c r="D319">
        <v>27</v>
      </c>
      <c r="E319">
        <v>22836</v>
      </c>
      <c r="F319">
        <v>616572</v>
      </c>
      <c r="G319" t="s">
        <v>10</v>
      </c>
      <c r="H319" t="s">
        <v>15</v>
      </c>
      <c r="I319" t="str">
        <f>TEXT(tblSales[[#This Row],[Date]],"mmm")</f>
        <v>Mar</v>
      </c>
    </row>
    <row r="320" spans="1:9" x14ac:dyDescent="0.3">
      <c r="A320" s="1">
        <v>45358</v>
      </c>
      <c r="B320" t="s">
        <v>953</v>
      </c>
      <c r="C320" t="s">
        <v>9</v>
      </c>
      <c r="D320">
        <v>31</v>
      </c>
      <c r="E320">
        <v>20196</v>
      </c>
      <c r="F320">
        <v>626076</v>
      </c>
      <c r="G320" t="s">
        <v>10</v>
      </c>
      <c r="H320" t="s">
        <v>11</v>
      </c>
      <c r="I320" t="str">
        <f>TEXT(tblSales[[#This Row],[Date]],"mmm")</f>
        <v>Mar</v>
      </c>
    </row>
    <row r="321" spans="1:9" x14ac:dyDescent="0.3">
      <c r="A321" s="1">
        <v>45377</v>
      </c>
      <c r="B321" t="s">
        <v>959</v>
      </c>
      <c r="C321" t="s">
        <v>13</v>
      </c>
      <c r="D321">
        <v>11</v>
      </c>
      <c r="E321">
        <v>31207</v>
      </c>
      <c r="F321">
        <v>343277</v>
      </c>
      <c r="G321" t="s">
        <v>23</v>
      </c>
      <c r="H321" t="s">
        <v>15</v>
      </c>
      <c r="I321" t="str">
        <f>TEXT(tblSales[[#This Row],[Date]],"mmm")</f>
        <v>Mar</v>
      </c>
    </row>
    <row r="322" spans="1:9" x14ac:dyDescent="0.3">
      <c r="A322" s="1">
        <v>45358</v>
      </c>
      <c r="B322" t="s">
        <v>961</v>
      </c>
      <c r="C322" t="s">
        <v>35</v>
      </c>
      <c r="D322">
        <v>8</v>
      </c>
      <c r="E322">
        <v>25877</v>
      </c>
      <c r="F322">
        <v>207016</v>
      </c>
      <c r="G322" t="s">
        <v>14</v>
      </c>
      <c r="H322" t="s">
        <v>17</v>
      </c>
      <c r="I322" t="str">
        <f>TEXT(tblSales[[#This Row],[Date]],"mmm")</f>
        <v>Mar</v>
      </c>
    </row>
    <row r="323" spans="1:9" x14ac:dyDescent="0.3">
      <c r="A323" s="1">
        <v>45373</v>
      </c>
      <c r="B323" t="s">
        <v>981</v>
      </c>
      <c r="C323" t="s">
        <v>22</v>
      </c>
      <c r="D323">
        <v>23</v>
      </c>
      <c r="E323">
        <v>28731</v>
      </c>
      <c r="F323">
        <v>660813</v>
      </c>
      <c r="G323" t="s">
        <v>23</v>
      </c>
      <c r="H323" t="s">
        <v>30</v>
      </c>
      <c r="I323" t="str">
        <f>TEXT(tblSales[[#This Row],[Date]],"mmm")</f>
        <v>Mar</v>
      </c>
    </row>
    <row r="324" spans="1:9" x14ac:dyDescent="0.3">
      <c r="A324" s="1">
        <v>45376</v>
      </c>
      <c r="B324" t="s">
        <v>988</v>
      </c>
      <c r="C324" t="s">
        <v>35</v>
      </c>
      <c r="D324">
        <v>30</v>
      </c>
      <c r="E324">
        <v>24974</v>
      </c>
      <c r="F324">
        <v>749220</v>
      </c>
      <c r="G324" t="s">
        <v>14</v>
      </c>
      <c r="H324" t="s">
        <v>17</v>
      </c>
      <c r="I324" t="str">
        <f>TEXT(tblSales[[#This Row],[Date]],"mmm")</f>
        <v>Mar</v>
      </c>
    </row>
    <row r="325" spans="1:9" x14ac:dyDescent="0.3">
      <c r="A325" s="1">
        <v>45375</v>
      </c>
      <c r="B325" t="s">
        <v>990</v>
      </c>
      <c r="C325" t="s">
        <v>26</v>
      </c>
      <c r="D325">
        <v>20</v>
      </c>
      <c r="E325">
        <v>35311</v>
      </c>
      <c r="F325">
        <v>706220</v>
      </c>
      <c r="G325" t="s">
        <v>19</v>
      </c>
      <c r="H325" t="s">
        <v>17</v>
      </c>
      <c r="I325" t="str">
        <f>TEXT(tblSales[[#This Row],[Date]],"mmm")</f>
        <v>Mar</v>
      </c>
    </row>
    <row r="326" spans="1:9" x14ac:dyDescent="0.3">
      <c r="A326" s="1">
        <v>45355</v>
      </c>
      <c r="B326" t="s">
        <v>999</v>
      </c>
      <c r="C326" t="s">
        <v>13</v>
      </c>
      <c r="D326">
        <v>13</v>
      </c>
      <c r="E326">
        <v>25081</v>
      </c>
      <c r="F326">
        <v>326053</v>
      </c>
      <c r="G326" t="s">
        <v>14</v>
      </c>
      <c r="H326" t="s">
        <v>11</v>
      </c>
      <c r="I326" t="str">
        <f>TEXT(tblSales[[#This Row],[Date]],"mmm")</f>
        <v>Mar</v>
      </c>
    </row>
    <row r="327" spans="1:9" x14ac:dyDescent="0.3">
      <c r="A327" s="1">
        <v>45363</v>
      </c>
      <c r="B327" t="s">
        <v>1017</v>
      </c>
      <c r="C327" t="s">
        <v>13</v>
      </c>
      <c r="D327">
        <v>36</v>
      </c>
      <c r="E327">
        <v>22672</v>
      </c>
      <c r="F327">
        <v>816192</v>
      </c>
      <c r="G327" t="s">
        <v>19</v>
      </c>
      <c r="H327" t="s">
        <v>27</v>
      </c>
      <c r="I327" t="str">
        <f>TEXT(tblSales[[#This Row],[Date]],"mmm")</f>
        <v>Mar</v>
      </c>
    </row>
    <row r="328" spans="1:9" x14ac:dyDescent="0.3">
      <c r="A328" s="1">
        <v>45355</v>
      </c>
      <c r="B328" t="s">
        <v>1040</v>
      </c>
      <c r="C328" t="s">
        <v>13</v>
      </c>
      <c r="D328">
        <v>23</v>
      </c>
      <c r="E328">
        <v>39352</v>
      </c>
      <c r="F328">
        <v>905096</v>
      </c>
      <c r="G328" t="s">
        <v>10</v>
      </c>
      <c r="H328" t="s">
        <v>11</v>
      </c>
      <c r="I328" t="str">
        <f>TEXT(tblSales[[#This Row],[Date]],"mmm")</f>
        <v>Mar</v>
      </c>
    </row>
    <row r="329" spans="1:9" x14ac:dyDescent="0.3">
      <c r="A329" s="1">
        <v>45381</v>
      </c>
      <c r="B329" t="s">
        <v>1045</v>
      </c>
      <c r="C329" t="s">
        <v>22</v>
      </c>
      <c r="D329">
        <v>28</v>
      </c>
      <c r="E329">
        <v>18252</v>
      </c>
      <c r="F329">
        <v>511056</v>
      </c>
      <c r="G329" t="s">
        <v>14</v>
      </c>
      <c r="H329" t="s">
        <v>17</v>
      </c>
      <c r="I329" t="str">
        <f>TEXT(tblSales[[#This Row],[Date]],"mmm")</f>
        <v>Mar</v>
      </c>
    </row>
    <row r="330" spans="1:9" x14ac:dyDescent="0.3">
      <c r="A330" s="1">
        <v>45352</v>
      </c>
      <c r="B330" t="s">
        <v>1067</v>
      </c>
      <c r="C330" t="s">
        <v>35</v>
      </c>
      <c r="D330">
        <v>2</v>
      </c>
      <c r="E330">
        <v>39405</v>
      </c>
      <c r="F330">
        <v>78810</v>
      </c>
      <c r="G330" t="s">
        <v>14</v>
      </c>
      <c r="H330" t="s">
        <v>30</v>
      </c>
      <c r="I330" t="str">
        <f>TEXT(tblSales[[#This Row],[Date]],"mmm")</f>
        <v>Mar</v>
      </c>
    </row>
    <row r="331" spans="1:9" x14ac:dyDescent="0.3">
      <c r="A331" s="1">
        <v>45361</v>
      </c>
      <c r="B331" t="s">
        <v>1072</v>
      </c>
      <c r="C331" t="s">
        <v>22</v>
      </c>
      <c r="D331">
        <v>4</v>
      </c>
      <c r="E331">
        <v>27840</v>
      </c>
      <c r="F331">
        <v>111360</v>
      </c>
      <c r="G331" t="s">
        <v>14</v>
      </c>
      <c r="H331" t="s">
        <v>27</v>
      </c>
      <c r="I331" t="str">
        <f>TEXT(tblSales[[#This Row],[Date]],"mmm")</f>
        <v>Mar</v>
      </c>
    </row>
    <row r="332" spans="1:9" x14ac:dyDescent="0.3">
      <c r="A332" s="1">
        <v>45361</v>
      </c>
      <c r="B332" t="s">
        <v>1092</v>
      </c>
      <c r="C332" t="s">
        <v>35</v>
      </c>
      <c r="D332">
        <v>6</v>
      </c>
      <c r="E332">
        <v>32479</v>
      </c>
      <c r="F332">
        <v>194874</v>
      </c>
      <c r="G332" t="s">
        <v>23</v>
      </c>
      <c r="H332" t="s">
        <v>15</v>
      </c>
      <c r="I332" t="str">
        <f>TEXT(tblSales[[#This Row],[Date]],"mmm")</f>
        <v>Mar</v>
      </c>
    </row>
    <row r="333" spans="1:9" x14ac:dyDescent="0.3">
      <c r="A333" s="1">
        <v>45356</v>
      </c>
      <c r="B333" t="s">
        <v>1103</v>
      </c>
      <c r="C333" t="s">
        <v>13</v>
      </c>
      <c r="D333">
        <v>31</v>
      </c>
      <c r="E333">
        <v>15003</v>
      </c>
      <c r="F333">
        <v>465093</v>
      </c>
      <c r="G333" t="s">
        <v>23</v>
      </c>
      <c r="H333" t="s">
        <v>27</v>
      </c>
      <c r="I333" t="str">
        <f>TEXT(tblSales[[#This Row],[Date]],"mmm")</f>
        <v>Mar</v>
      </c>
    </row>
    <row r="334" spans="1:9" x14ac:dyDescent="0.3">
      <c r="A334" s="1">
        <v>45356</v>
      </c>
      <c r="B334" t="s">
        <v>1104</v>
      </c>
      <c r="C334" t="s">
        <v>35</v>
      </c>
      <c r="D334">
        <v>3</v>
      </c>
      <c r="E334">
        <v>8963</v>
      </c>
      <c r="F334">
        <v>26889</v>
      </c>
      <c r="G334" t="s">
        <v>23</v>
      </c>
      <c r="H334" t="s">
        <v>30</v>
      </c>
      <c r="I334" t="str">
        <f>TEXT(tblSales[[#This Row],[Date]],"mmm")</f>
        <v>Mar</v>
      </c>
    </row>
    <row r="335" spans="1:9" x14ac:dyDescent="0.3">
      <c r="A335" s="1">
        <v>45380</v>
      </c>
      <c r="B335" t="s">
        <v>1107</v>
      </c>
      <c r="C335" t="s">
        <v>9</v>
      </c>
      <c r="D335">
        <v>38</v>
      </c>
      <c r="E335">
        <v>22196</v>
      </c>
      <c r="F335">
        <v>843448</v>
      </c>
      <c r="G335" t="s">
        <v>19</v>
      </c>
      <c r="H335" t="s">
        <v>15</v>
      </c>
      <c r="I335" t="str">
        <f>TEXT(tblSales[[#This Row],[Date]],"mmm")</f>
        <v>Mar</v>
      </c>
    </row>
    <row r="336" spans="1:9" x14ac:dyDescent="0.3">
      <c r="A336" s="1">
        <v>45359</v>
      </c>
      <c r="B336" t="s">
        <v>1109</v>
      </c>
      <c r="C336" t="s">
        <v>35</v>
      </c>
      <c r="D336">
        <v>40</v>
      </c>
      <c r="E336">
        <v>29589</v>
      </c>
      <c r="F336">
        <v>1183560</v>
      </c>
      <c r="G336" t="s">
        <v>19</v>
      </c>
      <c r="H336" t="s">
        <v>27</v>
      </c>
      <c r="I336" t="str">
        <f>TEXT(tblSales[[#This Row],[Date]],"mmm")</f>
        <v>Mar</v>
      </c>
    </row>
    <row r="337" spans="1:9" x14ac:dyDescent="0.3">
      <c r="A337" s="1">
        <v>45375</v>
      </c>
      <c r="B337" t="s">
        <v>1112</v>
      </c>
      <c r="C337" t="s">
        <v>13</v>
      </c>
      <c r="D337">
        <v>14</v>
      </c>
      <c r="E337">
        <v>21905</v>
      </c>
      <c r="F337">
        <v>306670</v>
      </c>
      <c r="G337" t="s">
        <v>19</v>
      </c>
      <c r="H337" t="s">
        <v>30</v>
      </c>
      <c r="I337" t="str">
        <f>TEXT(tblSales[[#This Row],[Date]],"mmm")</f>
        <v>Mar</v>
      </c>
    </row>
    <row r="338" spans="1:9" x14ac:dyDescent="0.3">
      <c r="A338" s="1">
        <v>45370</v>
      </c>
      <c r="B338" t="s">
        <v>1116</v>
      </c>
      <c r="C338" t="s">
        <v>9</v>
      </c>
      <c r="D338">
        <v>19</v>
      </c>
      <c r="E338">
        <v>29169</v>
      </c>
      <c r="F338">
        <v>554211</v>
      </c>
      <c r="G338" t="s">
        <v>19</v>
      </c>
      <c r="H338" t="s">
        <v>27</v>
      </c>
      <c r="I338" t="str">
        <f>TEXT(tblSales[[#This Row],[Date]],"mmm")</f>
        <v>Mar</v>
      </c>
    </row>
    <row r="339" spans="1:9" x14ac:dyDescent="0.3">
      <c r="A339" s="1">
        <v>45355</v>
      </c>
      <c r="B339" t="s">
        <v>1127</v>
      </c>
      <c r="C339" t="s">
        <v>35</v>
      </c>
      <c r="D339">
        <v>8</v>
      </c>
      <c r="E339">
        <v>19210</v>
      </c>
      <c r="F339">
        <v>153680</v>
      </c>
      <c r="G339" t="s">
        <v>23</v>
      </c>
      <c r="H339" t="s">
        <v>15</v>
      </c>
      <c r="I339" t="str">
        <f>TEXT(tblSales[[#This Row],[Date]],"mmm")</f>
        <v>Mar</v>
      </c>
    </row>
    <row r="340" spans="1:9" x14ac:dyDescent="0.3">
      <c r="A340" s="1">
        <v>45379</v>
      </c>
      <c r="B340" t="s">
        <v>1147</v>
      </c>
      <c r="C340" t="s">
        <v>35</v>
      </c>
      <c r="D340">
        <v>24</v>
      </c>
      <c r="E340">
        <v>7953</v>
      </c>
      <c r="F340">
        <v>190872</v>
      </c>
      <c r="G340" t="s">
        <v>10</v>
      </c>
      <c r="H340" t="s">
        <v>17</v>
      </c>
      <c r="I340" t="str">
        <f>TEXT(tblSales[[#This Row],[Date]],"mmm")</f>
        <v>Mar</v>
      </c>
    </row>
    <row r="341" spans="1:9" x14ac:dyDescent="0.3">
      <c r="A341" s="1">
        <v>45374</v>
      </c>
      <c r="B341" t="s">
        <v>1157</v>
      </c>
      <c r="C341" t="s">
        <v>22</v>
      </c>
      <c r="D341">
        <v>14</v>
      </c>
      <c r="E341">
        <v>14947</v>
      </c>
      <c r="F341">
        <v>209258</v>
      </c>
      <c r="G341" t="s">
        <v>19</v>
      </c>
      <c r="H341" t="s">
        <v>27</v>
      </c>
      <c r="I341" t="str">
        <f>TEXT(tblSales[[#This Row],[Date]],"mmm")</f>
        <v>Mar</v>
      </c>
    </row>
    <row r="342" spans="1:9" x14ac:dyDescent="0.3">
      <c r="A342" s="1">
        <v>45378</v>
      </c>
      <c r="B342" t="s">
        <v>1169</v>
      </c>
      <c r="C342" t="s">
        <v>35</v>
      </c>
      <c r="D342">
        <v>40</v>
      </c>
      <c r="E342">
        <v>30021</v>
      </c>
      <c r="F342">
        <v>1200840</v>
      </c>
      <c r="G342" t="s">
        <v>19</v>
      </c>
      <c r="H342" t="s">
        <v>15</v>
      </c>
      <c r="I342" t="str">
        <f>TEXT(tblSales[[#This Row],[Date]],"mmm")</f>
        <v>Mar</v>
      </c>
    </row>
    <row r="343" spans="1:9" x14ac:dyDescent="0.3">
      <c r="A343" s="1">
        <v>45359</v>
      </c>
      <c r="B343" t="s">
        <v>1172</v>
      </c>
      <c r="C343" t="s">
        <v>13</v>
      </c>
      <c r="D343">
        <v>3</v>
      </c>
      <c r="E343">
        <v>18614</v>
      </c>
      <c r="F343">
        <v>55842</v>
      </c>
      <c r="G343" t="s">
        <v>23</v>
      </c>
      <c r="H343" t="s">
        <v>15</v>
      </c>
      <c r="I343" t="str">
        <f>TEXT(tblSales[[#This Row],[Date]],"mmm")</f>
        <v>Mar</v>
      </c>
    </row>
    <row r="344" spans="1:9" x14ac:dyDescent="0.3">
      <c r="A344" s="1">
        <v>45365</v>
      </c>
      <c r="B344" t="s">
        <v>1185</v>
      </c>
      <c r="C344" t="s">
        <v>9</v>
      </c>
      <c r="D344">
        <v>34</v>
      </c>
      <c r="E344">
        <v>12928</v>
      </c>
      <c r="F344">
        <v>439552</v>
      </c>
      <c r="G344" t="s">
        <v>14</v>
      </c>
      <c r="H344" t="s">
        <v>15</v>
      </c>
      <c r="I344" t="str">
        <f>TEXT(tblSales[[#This Row],[Date]],"mmm")</f>
        <v>Mar</v>
      </c>
    </row>
    <row r="345" spans="1:9" x14ac:dyDescent="0.3">
      <c r="A345" s="1">
        <v>45362</v>
      </c>
      <c r="B345" t="s">
        <v>1194</v>
      </c>
      <c r="C345" t="s">
        <v>13</v>
      </c>
      <c r="D345">
        <v>12</v>
      </c>
      <c r="E345">
        <v>29532</v>
      </c>
      <c r="F345">
        <v>354384</v>
      </c>
      <c r="G345" t="s">
        <v>19</v>
      </c>
      <c r="H345" t="s">
        <v>17</v>
      </c>
      <c r="I345" t="str">
        <f>TEXT(tblSales[[#This Row],[Date]],"mmm")</f>
        <v>Mar</v>
      </c>
    </row>
    <row r="346" spans="1:9" x14ac:dyDescent="0.3">
      <c r="A346" s="1">
        <v>45374</v>
      </c>
      <c r="B346" t="s">
        <v>1195</v>
      </c>
      <c r="C346" t="s">
        <v>35</v>
      </c>
      <c r="D346">
        <v>1</v>
      </c>
      <c r="E346">
        <v>21875</v>
      </c>
      <c r="F346">
        <v>21875</v>
      </c>
      <c r="G346" t="s">
        <v>19</v>
      </c>
      <c r="H346" t="s">
        <v>27</v>
      </c>
      <c r="I346" t="str">
        <f>TEXT(tblSales[[#This Row],[Date]],"mmm")</f>
        <v>Mar</v>
      </c>
    </row>
    <row r="347" spans="1:9" x14ac:dyDescent="0.3">
      <c r="A347" s="1">
        <v>45380</v>
      </c>
      <c r="B347" t="s">
        <v>1201</v>
      </c>
      <c r="C347" t="s">
        <v>9</v>
      </c>
      <c r="D347">
        <v>8</v>
      </c>
      <c r="E347">
        <v>27220</v>
      </c>
      <c r="F347">
        <v>217760</v>
      </c>
      <c r="G347" t="s">
        <v>14</v>
      </c>
      <c r="H347" t="s">
        <v>17</v>
      </c>
      <c r="I347" t="str">
        <f>TEXT(tblSales[[#This Row],[Date]],"mmm")</f>
        <v>Mar</v>
      </c>
    </row>
    <row r="348" spans="1:9" x14ac:dyDescent="0.3">
      <c r="A348" s="1">
        <v>45358</v>
      </c>
      <c r="B348" t="s">
        <v>1220</v>
      </c>
      <c r="C348" t="s">
        <v>9</v>
      </c>
      <c r="D348">
        <v>24</v>
      </c>
      <c r="E348">
        <v>22962</v>
      </c>
      <c r="F348">
        <v>551088</v>
      </c>
      <c r="G348" t="s">
        <v>19</v>
      </c>
      <c r="H348" t="s">
        <v>11</v>
      </c>
      <c r="I348" t="str">
        <f>TEXT(tblSales[[#This Row],[Date]],"mmm")</f>
        <v>Mar</v>
      </c>
    </row>
    <row r="349" spans="1:9" x14ac:dyDescent="0.3">
      <c r="A349" s="1">
        <v>45381</v>
      </c>
      <c r="B349" t="s">
        <v>1229</v>
      </c>
      <c r="C349" t="s">
        <v>9</v>
      </c>
      <c r="D349">
        <v>25</v>
      </c>
      <c r="E349">
        <v>22822</v>
      </c>
      <c r="F349">
        <v>570550</v>
      </c>
      <c r="G349" t="s">
        <v>19</v>
      </c>
      <c r="H349" t="s">
        <v>27</v>
      </c>
      <c r="I349" t="str">
        <f>TEXT(tblSales[[#This Row],[Date]],"mmm")</f>
        <v>Mar</v>
      </c>
    </row>
    <row r="350" spans="1:9" x14ac:dyDescent="0.3">
      <c r="A350" s="1">
        <v>45360</v>
      </c>
      <c r="B350" t="s">
        <v>1239</v>
      </c>
      <c r="C350" t="s">
        <v>13</v>
      </c>
      <c r="D350">
        <v>22</v>
      </c>
      <c r="E350">
        <v>6302</v>
      </c>
      <c r="F350">
        <v>138644</v>
      </c>
      <c r="G350" t="s">
        <v>14</v>
      </c>
      <c r="H350" t="s">
        <v>27</v>
      </c>
      <c r="I350" t="str">
        <f>TEXT(tblSales[[#This Row],[Date]],"mmm")</f>
        <v>Mar</v>
      </c>
    </row>
    <row r="351" spans="1:9" x14ac:dyDescent="0.3">
      <c r="A351" s="1">
        <v>45353</v>
      </c>
      <c r="B351" t="s">
        <v>1244</v>
      </c>
      <c r="C351" t="s">
        <v>26</v>
      </c>
      <c r="D351">
        <v>39</v>
      </c>
      <c r="E351">
        <v>32147</v>
      </c>
      <c r="F351">
        <v>1253733</v>
      </c>
      <c r="G351" t="s">
        <v>19</v>
      </c>
      <c r="H351" t="s">
        <v>15</v>
      </c>
      <c r="I351" t="str">
        <f>TEXT(tblSales[[#This Row],[Date]],"mmm")</f>
        <v>Mar</v>
      </c>
    </row>
    <row r="352" spans="1:9" x14ac:dyDescent="0.3">
      <c r="A352" s="1">
        <v>45366</v>
      </c>
      <c r="B352" t="s">
        <v>1247</v>
      </c>
      <c r="C352" t="s">
        <v>35</v>
      </c>
      <c r="D352">
        <v>11</v>
      </c>
      <c r="E352">
        <v>37924</v>
      </c>
      <c r="F352">
        <v>417164</v>
      </c>
      <c r="G352" t="s">
        <v>14</v>
      </c>
      <c r="H352" t="s">
        <v>17</v>
      </c>
      <c r="I352" t="str">
        <f>TEXT(tblSales[[#This Row],[Date]],"mmm")</f>
        <v>Mar</v>
      </c>
    </row>
    <row r="353" spans="1:9" x14ac:dyDescent="0.3">
      <c r="A353" s="1">
        <v>45378</v>
      </c>
      <c r="B353" t="s">
        <v>1258</v>
      </c>
      <c r="C353" t="s">
        <v>22</v>
      </c>
      <c r="D353">
        <v>37</v>
      </c>
      <c r="E353">
        <v>27602</v>
      </c>
      <c r="F353">
        <v>1021274</v>
      </c>
      <c r="G353" t="s">
        <v>10</v>
      </c>
      <c r="H353" t="s">
        <v>30</v>
      </c>
      <c r="I353" t="str">
        <f>TEXT(tblSales[[#This Row],[Date]],"mmm")</f>
        <v>Mar</v>
      </c>
    </row>
    <row r="354" spans="1:9" x14ac:dyDescent="0.3">
      <c r="A354" s="1">
        <v>45368</v>
      </c>
      <c r="B354" t="s">
        <v>1285</v>
      </c>
      <c r="C354" t="s">
        <v>22</v>
      </c>
      <c r="D354">
        <v>24</v>
      </c>
      <c r="E354">
        <v>30393</v>
      </c>
      <c r="F354">
        <v>729432</v>
      </c>
      <c r="G354" t="s">
        <v>23</v>
      </c>
      <c r="H354" t="s">
        <v>27</v>
      </c>
      <c r="I354" t="str">
        <f>TEXT(tblSales[[#This Row],[Date]],"mmm")</f>
        <v>Mar</v>
      </c>
    </row>
    <row r="355" spans="1:9" x14ac:dyDescent="0.3">
      <c r="A355" s="1">
        <v>45360</v>
      </c>
      <c r="B355" t="s">
        <v>1289</v>
      </c>
      <c r="C355" t="s">
        <v>13</v>
      </c>
      <c r="D355">
        <v>31</v>
      </c>
      <c r="E355">
        <v>41146</v>
      </c>
      <c r="F355">
        <v>1275526</v>
      </c>
      <c r="G355" t="s">
        <v>10</v>
      </c>
      <c r="H355" t="s">
        <v>27</v>
      </c>
      <c r="I355" t="str">
        <f>TEXT(tblSales[[#This Row],[Date]],"mmm")</f>
        <v>Mar</v>
      </c>
    </row>
    <row r="356" spans="1:9" x14ac:dyDescent="0.3">
      <c r="A356" s="1">
        <v>45357</v>
      </c>
      <c r="B356" t="s">
        <v>1303</v>
      </c>
      <c r="C356" t="s">
        <v>13</v>
      </c>
      <c r="D356">
        <v>32</v>
      </c>
      <c r="E356">
        <v>17022</v>
      </c>
      <c r="F356">
        <v>544704</v>
      </c>
      <c r="G356" t="s">
        <v>10</v>
      </c>
      <c r="H356" t="s">
        <v>11</v>
      </c>
      <c r="I356" t="str">
        <f>TEXT(tblSales[[#This Row],[Date]],"mmm")</f>
        <v>Mar</v>
      </c>
    </row>
    <row r="357" spans="1:9" x14ac:dyDescent="0.3">
      <c r="A357" s="1">
        <v>45379</v>
      </c>
      <c r="B357" t="s">
        <v>1307</v>
      </c>
      <c r="C357" t="s">
        <v>13</v>
      </c>
      <c r="D357">
        <v>26</v>
      </c>
      <c r="E357">
        <v>42835</v>
      </c>
      <c r="F357">
        <v>1113710</v>
      </c>
      <c r="G357" t="s">
        <v>19</v>
      </c>
      <c r="H357" t="s">
        <v>15</v>
      </c>
      <c r="I357" t="str">
        <f>TEXT(tblSales[[#This Row],[Date]],"mmm")</f>
        <v>Mar</v>
      </c>
    </row>
    <row r="358" spans="1:9" x14ac:dyDescent="0.3">
      <c r="A358" s="1">
        <v>45381</v>
      </c>
      <c r="B358" t="s">
        <v>1325</v>
      </c>
      <c r="C358" t="s">
        <v>35</v>
      </c>
      <c r="D358">
        <v>27</v>
      </c>
      <c r="E358">
        <v>13874</v>
      </c>
      <c r="F358">
        <v>374598</v>
      </c>
      <c r="G358" t="s">
        <v>14</v>
      </c>
      <c r="H358" t="s">
        <v>11</v>
      </c>
      <c r="I358" t="str">
        <f>TEXT(tblSales[[#This Row],[Date]],"mmm")</f>
        <v>Mar</v>
      </c>
    </row>
    <row r="359" spans="1:9" x14ac:dyDescent="0.3">
      <c r="A359" s="1">
        <v>45369</v>
      </c>
      <c r="B359" t="s">
        <v>1335</v>
      </c>
      <c r="C359" t="s">
        <v>35</v>
      </c>
      <c r="D359">
        <v>23</v>
      </c>
      <c r="E359">
        <v>26530</v>
      </c>
      <c r="F359">
        <v>610190</v>
      </c>
      <c r="G359" t="s">
        <v>23</v>
      </c>
      <c r="H359" t="s">
        <v>27</v>
      </c>
      <c r="I359" t="str">
        <f>TEXT(tblSales[[#This Row],[Date]],"mmm")</f>
        <v>Mar</v>
      </c>
    </row>
    <row r="360" spans="1:9" x14ac:dyDescent="0.3">
      <c r="A360" s="1">
        <v>45362</v>
      </c>
      <c r="B360" t="s">
        <v>1351</v>
      </c>
      <c r="C360" t="s">
        <v>26</v>
      </c>
      <c r="D360">
        <v>12</v>
      </c>
      <c r="E360">
        <v>12813</v>
      </c>
      <c r="F360">
        <v>153756</v>
      </c>
      <c r="G360" t="s">
        <v>23</v>
      </c>
      <c r="H360" t="s">
        <v>27</v>
      </c>
      <c r="I360" t="str">
        <f>TEXT(tblSales[[#This Row],[Date]],"mmm")</f>
        <v>Mar</v>
      </c>
    </row>
    <row r="361" spans="1:9" x14ac:dyDescent="0.3">
      <c r="A361" s="1">
        <v>45377</v>
      </c>
      <c r="B361" t="s">
        <v>1352</v>
      </c>
      <c r="C361" t="s">
        <v>22</v>
      </c>
      <c r="D361">
        <v>3</v>
      </c>
      <c r="E361">
        <v>12634</v>
      </c>
      <c r="F361">
        <v>37902</v>
      </c>
      <c r="G361" t="s">
        <v>23</v>
      </c>
      <c r="H361" t="s">
        <v>15</v>
      </c>
      <c r="I361" t="str">
        <f>TEXT(tblSales[[#This Row],[Date]],"mmm")</f>
        <v>Mar</v>
      </c>
    </row>
    <row r="362" spans="1:9" x14ac:dyDescent="0.3">
      <c r="A362" s="1">
        <v>45358</v>
      </c>
      <c r="B362" t="s">
        <v>1355</v>
      </c>
      <c r="C362" t="s">
        <v>9</v>
      </c>
      <c r="D362">
        <v>7</v>
      </c>
      <c r="E362">
        <v>44820</v>
      </c>
      <c r="F362">
        <v>313740</v>
      </c>
      <c r="G362" t="s">
        <v>23</v>
      </c>
      <c r="H362" t="s">
        <v>17</v>
      </c>
      <c r="I362" t="str">
        <f>TEXT(tblSales[[#This Row],[Date]],"mmm")</f>
        <v>Mar</v>
      </c>
    </row>
    <row r="363" spans="1:9" x14ac:dyDescent="0.3">
      <c r="A363" s="1">
        <v>45377</v>
      </c>
      <c r="B363" t="s">
        <v>1370</v>
      </c>
      <c r="C363" t="s">
        <v>22</v>
      </c>
      <c r="D363">
        <v>32</v>
      </c>
      <c r="E363">
        <v>7838</v>
      </c>
      <c r="F363">
        <v>250816</v>
      </c>
      <c r="G363" t="s">
        <v>10</v>
      </c>
      <c r="H363" t="s">
        <v>30</v>
      </c>
      <c r="I363" t="str">
        <f>TEXT(tblSales[[#This Row],[Date]],"mmm")</f>
        <v>Mar</v>
      </c>
    </row>
    <row r="364" spans="1:9" x14ac:dyDescent="0.3">
      <c r="A364" s="1">
        <v>45354</v>
      </c>
      <c r="B364" t="s">
        <v>1384</v>
      </c>
      <c r="C364" t="s">
        <v>9</v>
      </c>
      <c r="D364">
        <v>36</v>
      </c>
      <c r="E364">
        <v>25185</v>
      </c>
      <c r="F364">
        <v>906660</v>
      </c>
      <c r="G364" t="s">
        <v>14</v>
      </c>
      <c r="H364" t="s">
        <v>27</v>
      </c>
      <c r="I364" t="str">
        <f>TEXT(tblSales[[#This Row],[Date]],"mmm")</f>
        <v>Mar</v>
      </c>
    </row>
    <row r="365" spans="1:9" x14ac:dyDescent="0.3">
      <c r="A365" s="1">
        <v>45355</v>
      </c>
      <c r="B365" t="s">
        <v>1391</v>
      </c>
      <c r="C365" t="s">
        <v>22</v>
      </c>
      <c r="D365">
        <v>20</v>
      </c>
      <c r="E365">
        <v>41407</v>
      </c>
      <c r="F365">
        <v>828140</v>
      </c>
      <c r="G365" t="s">
        <v>14</v>
      </c>
      <c r="H365" t="s">
        <v>30</v>
      </c>
      <c r="I365" t="str">
        <f>TEXT(tblSales[[#This Row],[Date]],"mmm")</f>
        <v>Mar</v>
      </c>
    </row>
    <row r="366" spans="1:9" x14ac:dyDescent="0.3">
      <c r="A366" s="1">
        <v>45362</v>
      </c>
      <c r="B366" t="s">
        <v>1414</v>
      </c>
      <c r="C366" t="s">
        <v>22</v>
      </c>
      <c r="D366">
        <v>20</v>
      </c>
      <c r="E366">
        <v>17217</v>
      </c>
      <c r="F366">
        <v>344340</v>
      </c>
      <c r="G366" t="s">
        <v>14</v>
      </c>
      <c r="H366" t="s">
        <v>27</v>
      </c>
      <c r="I366" t="str">
        <f>TEXT(tblSales[[#This Row],[Date]],"mmm")</f>
        <v>Mar</v>
      </c>
    </row>
    <row r="367" spans="1:9" x14ac:dyDescent="0.3">
      <c r="A367" s="1">
        <v>45357</v>
      </c>
      <c r="B367" t="s">
        <v>1422</v>
      </c>
      <c r="C367" t="s">
        <v>35</v>
      </c>
      <c r="D367">
        <v>39</v>
      </c>
      <c r="E367">
        <v>14219</v>
      </c>
      <c r="F367">
        <v>554541</v>
      </c>
      <c r="G367" t="s">
        <v>19</v>
      </c>
      <c r="H367" t="s">
        <v>27</v>
      </c>
      <c r="I367" t="str">
        <f>TEXT(tblSales[[#This Row],[Date]],"mmm")</f>
        <v>Mar</v>
      </c>
    </row>
    <row r="368" spans="1:9" x14ac:dyDescent="0.3">
      <c r="A368" s="1">
        <v>45382</v>
      </c>
      <c r="B368" t="s">
        <v>1436</v>
      </c>
      <c r="C368" t="s">
        <v>9</v>
      </c>
      <c r="D368">
        <v>18</v>
      </c>
      <c r="E368">
        <v>41387</v>
      </c>
      <c r="F368">
        <v>744966</v>
      </c>
      <c r="G368" t="s">
        <v>14</v>
      </c>
      <c r="H368" t="s">
        <v>27</v>
      </c>
      <c r="I368" t="str">
        <f>TEXT(tblSales[[#This Row],[Date]],"mmm")</f>
        <v>Mar</v>
      </c>
    </row>
    <row r="369" spans="1:9" x14ac:dyDescent="0.3">
      <c r="A369" s="1">
        <v>45361</v>
      </c>
      <c r="B369" t="s">
        <v>1454</v>
      </c>
      <c r="C369" t="s">
        <v>35</v>
      </c>
      <c r="D369">
        <v>12</v>
      </c>
      <c r="E369">
        <v>28396</v>
      </c>
      <c r="F369">
        <v>340752</v>
      </c>
      <c r="G369" t="s">
        <v>10</v>
      </c>
      <c r="H369" t="s">
        <v>30</v>
      </c>
      <c r="I369" t="str">
        <f>TEXT(tblSales[[#This Row],[Date]],"mmm")</f>
        <v>Mar</v>
      </c>
    </row>
    <row r="370" spans="1:9" x14ac:dyDescent="0.3">
      <c r="A370" s="1">
        <v>45358</v>
      </c>
      <c r="B370" t="s">
        <v>1457</v>
      </c>
      <c r="C370" t="s">
        <v>22</v>
      </c>
      <c r="D370">
        <v>6</v>
      </c>
      <c r="E370">
        <v>25493</v>
      </c>
      <c r="F370">
        <v>152958</v>
      </c>
      <c r="G370" t="s">
        <v>23</v>
      </c>
      <c r="H370" t="s">
        <v>30</v>
      </c>
      <c r="I370" t="str">
        <f>TEXT(tblSales[[#This Row],[Date]],"mmm")</f>
        <v>Mar</v>
      </c>
    </row>
    <row r="371" spans="1:9" x14ac:dyDescent="0.3">
      <c r="A371" s="1">
        <v>45380</v>
      </c>
      <c r="B371" t="s">
        <v>1465</v>
      </c>
      <c r="C371" t="s">
        <v>26</v>
      </c>
      <c r="D371">
        <v>11</v>
      </c>
      <c r="E371">
        <v>31251</v>
      </c>
      <c r="F371">
        <v>343761</v>
      </c>
      <c r="G371" t="s">
        <v>14</v>
      </c>
      <c r="H371" t="s">
        <v>15</v>
      </c>
      <c r="I371" t="str">
        <f>TEXT(tblSales[[#This Row],[Date]],"mmm")</f>
        <v>Mar</v>
      </c>
    </row>
    <row r="372" spans="1:9" x14ac:dyDescent="0.3">
      <c r="A372" s="1">
        <v>45394</v>
      </c>
      <c r="B372" t="s">
        <v>8</v>
      </c>
      <c r="C372" t="s">
        <v>9</v>
      </c>
      <c r="D372">
        <v>13</v>
      </c>
      <c r="E372">
        <v>29299</v>
      </c>
      <c r="F372">
        <v>380887</v>
      </c>
      <c r="G372" t="s">
        <v>10</v>
      </c>
      <c r="H372" t="s">
        <v>11</v>
      </c>
      <c r="I372" t="str">
        <f>TEXT(tblSales[[#This Row],[Date]],"mmm")</f>
        <v>Apr</v>
      </c>
    </row>
    <row r="373" spans="1:9" x14ac:dyDescent="0.3">
      <c r="A373" s="1">
        <v>45397</v>
      </c>
      <c r="B373" t="s">
        <v>25</v>
      </c>
      <c r="C373" t="s">
        <v>26</v>
      </c>
      <c r="D373">
        <v>25</v>
      </c>
      <c r="E373">
        <v>28802</v>
      </c>
      <c r="F373">
        <v>720050</v>
      </c>
      <c r="G373" t="s">
        <v>14</v>
      </c>
      <c r="H373" t="s">
        <v>27</v>
      </c>
      <c r="I373" t="str">
        <f>TEXT(tblSales[[#This Row],[Date]],"mmm")</f>
        <v>Apr</v>
      </c>
    </row>
    <row r="374" spans="1:9" x14ac:dyDescent="0.3">
      <c r="A374" s="1">
        <v>45408</v>
      </c>
      <c r="B374" t="s">
        <v>37</v>
      </c>
      <c r="C374" t="s">
        <v>26</v>
      </c>
      <c r="D374">
        <v>14</v>
      </c>
      <c r="E374">
        <v>8232</v>
      </c>
      <c r="F374">
        <v>115248</v>
      </c>
      <c r="G374" t="s">
        <v>14</v>
      </c>
      <c r="H374" t="s">
        <v>30</v>
      </c>
      <c r="I374" t="str">
        <f>TEXT(tblSales[[#This Row],[Date]],"mmm")</f>
        <v>Apr</v>
      </c>
    </row>
    <row r="375" spans="1:9" x14ac:dyDescent="0.3">
      <c r="A375" s="1">
        <v>45386</v>
      </c>
      <c r="B375" t="s">
        <v>41</v>
      </c>
      <c r="C375" t="s">
        <v>35</v>
      </c>
      <c r="D375">
        <v>1</v>
      </c>
      <c r="E375">
        <v>25837</v>
      </c>
      <c r="F375">
        <v>25837</v>
      </c>
      <c r="G375" t="s">
        <v>23</v>
      </c>
      <c r="H375" t="s">
        <v>11</v>
      </c>
      <c r="I375" t="str">
        <f>TEXT(tblSales[[#This Row],[Date]],"mmm")</f>
        <v>Apr</v>
      </c>
    </row>
    <row r="376" spans="1:9" x14ac:dyDescent="0.3">
      <c r="A376" s="1">
        <v>45402</v>
      </c>
      <c r="B376" t="s">
        <v>65</v>
      </c>
      <c r="C376" t="s">
        <v>22</v>
      </c>
      <c r="D376">
        <v>35</v>
      </c>
      <c r="E376">
        <v>9886</v>
      </c>
      <c r="F376">
        <v>346010</v>
      </c>
      <c r="G376" t="s">
        <v>19</v>
      </c>
      <c r="H376" t="s">
        <v>11</v>
      </c>
      <c r="I376" t="str">
        <f>TEXT(tblSales[[#This Row],[Date]],"mmm")</f>
        <v>Apr</v>
      </c>
    </row>
    <row r="377" spans="1:9" x14ac:dyDescent="0.3">
      <c r="A377" s="1">
        <v>45408</v>
      </c>
      <c r="B377" t="s">
        <v>71</v>
      </c>
      <c r="C377" t="s">
        <v>26</v>
      </c>
      <c r="D377">
        <v>1</v>
      </c>
      <c r="E377">
        <v>10569</v>
      </c>
      <c r="F377">
        <v>10569</v>
      </c>
      <c r="G377" t="s">
        <v>14</v>
      </c>
      <c r="H377" t="s">
        <v>15</v>
      </c>
      <c r="I377" t="str">
        <f>TEXT(tblSales[[#This Row],[Date]],"mmm")</f>
        <v>Apr</v>
      </c>
    </row>
    <row r="378" spans="1:9" x14ac:dyDescent="0.3">
      <c r="A378" s="1">
        <v>45398</v>
      </c>
      <c r="B378" t="s">
        <v>75</v>
      </c>
      <c r="C378" t="s">
        <v>13</v>
      </c>
      <c r="D378">
        <v>29</v>
      </c>
      <c r="E378">
        <v>10259</v>
      </c>
      <c r="F378">
        <v>297511</v>
      </c>
      <c r="G378" t="s">
        <v>23</v>
      </c>
      <c r="H378" t="s">
        <v>30</v>
      </c>
      <c r="I378" t="str">
        <f>TEXT(tblSales[[#This Row],[Date]],"mmm")</f>
        <v>Apr</v>
      </c>
    </row>
    <row r="379" spans="1:9" x14ac:dyDescent="0.3">
      <c r="A379" s="1">
        <v>45388</v>
      </c>
      <c r="B379" t="s">
        <v>82</v>
      </c>
      <c r="C379" t="s">
        <v>35</v>
      </c>
      <c r="D379">
        <v>34</v>
      </c>
      <c r="E379">
        <v>29349</v>
      </c>
      <c r="F379">
        <v>997866</v>
      </c>
      <c r="G379" t="s">
        <v>10</v>
      </c>
      <c r="H379" t="s">
        <v>15</v>
      </c>
      <c r="I379" t="str">
        <f>TEXT(tblSales[[#This Row],[Date]],"mmm")</f>
        <v>Apr</v>
      </c>
    </row>
    <row r="380" spans="1:9" x14ac:dyDescent="0.3">
      <c r="A380" s="1">
        <v>45411</v>
      </c>
      <c r="B380" t="s">
        <v>99</v>
      </c>
      <c r="C380" t="s">
        <v>35</v>
      </c>
      <c r="D380">
        <v>28</v>
      </c>
      <c r="E380">
        <v>42520</v>
      </c>
      <c r="F380">
        <v>1190560</v>
      </c>
      <c r="G380" t="s">
        <v>19</v>
      </c>
      <c r="H380" t="s">
        <v>27</v>
      </c>
      <c r="I380" t="str">
        <f>TEXT(tblSales[[#This Row],[Date]],"mmm")</f>
        <v>Apr</v>
      </c>
    </row>
    <row r="381" spans="1:9" x14ac:dyDescent="0.3">
      <c r="A381" s="1">
        <v>45412</v>
      </c>
      <c r="B381" t="s">
        <v>102</v>
      </c>
      <c r="C381" t="s">
        <v>26</v>
      </c>
      <c r="D381">
        <v>27</v>
      </c>
      <c r="E381">
        <v>43203</v>
      </c>
      <c r="F381">
        <v>1166481</v>
      </c>
      <c r="G381" t="s">
        <v>14</v>
      </c>
      <c r="H381" t="s">
        <v>15</v>
      </c>
      <c r="I381" t="str">
        <f>TEXT(tblSales[[#This Row],[Date]],"mmm")</f>
        <v>Apr</v>
      </c>
    </row>
    <row r="382" spans="1:9" x14ac:dyDescent="0.3">
      <c r="A382" s="1">
        <v>45400</v>
      </c>
      <c r="B382" t="s">
        <v>103</v>
      </c>
      <c r="C382" t="s">
        <v>9</v>
      </c>
      <c r="D382">
        <v>18</v>
      </c>
      <c r="E382">
        <v>7400</v>
      </c>
      <c r="F382">
        <v>133200</v>
      </c>
      <c r="G382" t="s">
        <v>19</v>
      </c>
      <c r="H382" t="s">
        <v>15</v>
      </c>
      <c r="I382" t="str">
        <f>TEXT(tblSales[[#This Row],[Date]],"mmm")</f>
        <v>Apr</v>
      </c>
    </row>
    <row r="383" spans="1:9" x14ac:dyDescent="0.3">
      <c r="A383" s="1">
        <v>45387</v>
      </c>
      <c r="B383" t="s">
        <v>105</v>
      </c>
      <c r="C383" t="s">
        <v>35</v>
      </c>
      <c r="D383">
        <v>18</v>
      </c>
      <c r="E383">
        <v>38914</v>
      </c>
      <c r="F383">
        <v>700452</v>
      </c>
      <c r="G383" t="s">
        <v>14</v>
      </c>
      <c r="H383" t="s">
        <v>17</v>
      </c>
      <c r="I383" t="str">
        <f>TEXT(tblSales[[#This Row],[Date]],"mmm")</f>
        <v>Apr</v>
      </c>
    </row>
    <row r="384" spans="1:9" x14ac:dyDescent="0.3">
      <c r="A384" s="1">
        <v>45386</v>
      </c>
      <c r="B384" t="s">
        <v>110</v>
      </c>
      <c r="C384" t="s">
        <v>35</v>
      </c>
      <c r="D384">
        <v>9</v>
      </c>
      <c r="E384">
        <v>12181</v>
      </c>
      <c r="F384">
        <v>109629</v>
      </c>
      <c r="G384" t="s">
        <v>23</v>
      </c>
      <c r="H384" t="s">
        <v>27</v>
      </c>
      <c r="I384" t="str">
        <f>TEXT(tblSales[[#This Row],[Date]],"mmm")</f>
        <v>Apr</v>
      </c>
    </row>
    <row r="385" spans="1:9" x14ac:dyDescent="0.3">
      <c r="A385" s="1">
        <v>45404</v>
      </c>
      <c r="B385" t="s">
        <v>127</v>
      </c>
      <c r="C385" t="s">
        <v>22</v>
      </c>
      <c r="D385">
        <v>35</v>
      </c>
      <c r="E385">
        <v>43249</v>
      </c>
      <c r="F385">
        <v>1513715</v>
      </c>
      <c r="G385" t="s">
        <v>23</v>
      </c>
      <c r="H385" t="s">
        <v>15</v>
      </c>
      <c r="I385" t="str">
        <f>TEXT(tblSales[[#This Row],[Date]],"mmm")</f>
        <v>Apr</v>
      </c>
    </row>
    <row r="386" spans="1:9" x14ac:dyDescent="0.3">
      <c r="A386" s="1">
        <v>45405</v>
      </c>
      <c r="B386" t="s">
        <v>134</v>
      </c>
      <c r="C386" t="s">
        <v>9</v>
      </c>
      <c r="D386">
        <v>34</v>
      </c>
      <c r="E386">
        <v>11582</v>
      </c>
      <c r="F386">
        <v>393788</v>
      </c>
      <c r="G386" t="s">
        <v>14</v>
      </c>
      <c r="H386" t="s">
        <v>17</v>
      </c>
      <c r="I386" t="str">
        <f>TEXT(tblSales[[#This Row],[Date]],"mmm")</f>
        <v>Apr</v>
      </c>
    </row>
    <row r="387" spans="1:9" x14ac:dyDescent="0.3">
      <c r="A387" s="1">
        <v>45393</v>
      </c>
      <c r="B387" t="s">
        <v>147</v>
      </c>
      <c r="C387" t="s">
        <v>13</v>
      </c>
      <c r="D387">
        <v>8</v>
      </c>
      <c r="E387">
        <v>14477</v>
      </c>
      <c r="F387">
        <v>115816</v>
      </c>
      <c r="G387" t="s">
        <v>10</v>
      </c>
      <c r="H387" t="s">
        <v>27</v>
      </c>
      <c r="I387" t="str">
        <f>TEXT(tblSales[[#This Row],[Date]],"mmm")</f>
        <v>Apr</v>
      </c>
    </row>
    <row r="388" spans="1:9" x14ac:dyDescent="0.3">
      <c r="A388" s="1">
        <v>45407</v>
      </c>
      <c r="B388" t="s">
        <v>153</v>
      </c>
      <c r="C388" t="s">
        <v>35</v>
      </c>
      <c r="D388">
        <v>34</v>
      </c>
      <c r="E388">
        <v>11675</v>
      </c>
      <c r="F388">
        <v>396950</v>
      </c>
      <c r="G388" t="s">
        <v>19</v>
      </c>
      <c r="H388" t="s">
        <v>15</v>
      </c>
      <c r="I388" t="str">
        <f>TEXT(tblSales[[#This Row],[Date]],"mmm")</f>
        <v>Apr</v>
      </c>
    </row>
    <row r="389" spans="1:9" x14ac:dyDescent="0.3">
      <c r="A389" s="1">
        <v>45392</v>
      </c>
      <c r="B389" t="s">
        <v>163</v>
      </c>
      <c r="C389" t="s">
        <v>9</v>
      </c>
      <c r="D389">
        <v>24</v>
      </c>
      <c r="E389">
        <v>21073</v>
      </c>
      <c r="F389">
        <v>505752</v>
      </c>
      <c r="G389" t="s">
        <v>19</v>
      </c>
      <c r="H389" t="s">
        <v>17</v>
      </c>
      <c r="I389" t="str">
        <f>TEXT(tblSales[[#This Row],[Date]],"mmm")</f>
        <v>Apr</v>
      </c>
    </row>
    <row r="390" spans="1:9" x14ac:dyDescent="0.3">
      <c r="A390" s="1">
        <v>45407</v>
      </c>
      <c r="B390" t="s">
        <v>167</v>
      </c>
      <c r="C390" t="s">
        <v>13</v>
      </c>
      <c r="D390">
        <v>13</v>
      </c>
      <c r="E390">
        <v>39758</v>
      </c>
      <c r="F390">
        <v>516854</v>
      </c>
      <c r="G390" t="s">
        <v>14</v>
      </c>
      <c r="H390" t="s">
        <v>11</v>
      </c>
      <c r="I390" t="str">
        <f>TEXT(tblSales[[#This Row],[Date]],"mmm")</f>
        <v>Apr</v>
      </c>
    </row>
    <row r="391" spans="1:9" x14ac:dyDescent="0.3">
      <c r="A391" s="1">
        <v>45410</v>
      </c>
      <c r="B391" t="s">
        <v>169</v>
      </c>
      <c r="C391" t="s">
        <v>22</v>
      </c>
      <c r="D391">
        <v>22</v>
      </c>
      <c r="E391">
        <v>35151</v>
      </c>
      <c r="F391">
        <v>773322</v>
      </c>
      <c r="G391" t="s">
        <v>10</v>
      </c>
      <c r="H391" t="s">
        <v>30</v>
      </c>
      <c r="I391" t="str">
        <f>TEXT(tblSales[[#This Row],[Date]],"mmm")</f>
        <v>Apr</v>
      </c>
    </row>
    <row r="392" spans="1:9" x14ac:dyDescent="0.3">
      <c r="A392" s="1">
        <v>45398</v>
      </c>
      <c r="B392" t="s">
        <v>181</v>
      </c>
      <c r="C392" t="s">
        <v>35</v>
      </c>
      <c r="D392">
        <v>9</v>
      </c>
      <c r="E392">
        <v>21331</v>
      </c>
      <c r="F392">
        <v>191979</v>
      </c>
      <c r="G392" t="s">
        <v>19</v>
      </c>
      <c r="H392" t="s">
        <v>11</v>
      </c>
      <c r="I392" t="str">
        <f>TEXT(tblSales[[#This Row],[Date]],"mmm")</f>
        <v>Apr</v>
      </c>
    </row>
    <row r="393" spans="1:9" x14ac:dyDescent="0.3">
      <c r="A393" s="1">
        <v>45384</v>
      </c>
      <c r="B393" t="s">
        <v>210</v>
      </c>
      <c r="C393" t="s">
        <v>22</v>
      </c>
      <c r="D393">
        <v>14</v>
      </c>
      <c r="E393">
        <v>36233</v>
      </c>
      <c r="F393">
        <v>507262</v>
      </c>
      <c r="G393" t="s">
        <v>14</v>
      </c>
      <c r="H393" t="s">
        <v>15</v>
      </c>
      <c r="I393" t="str">
        <f>TEXT(tblSales[[#This Row],[Date]],"mmm")</f>
        <v>Apr</v>
      </c>
    </row>
    <row r="394" spans="1:9" x14ac:dyDescent="0.3">
      <c r="A394" s="1">
        <v>45386</v>
      </c>
      <c r="B394" t="s">
        <v>236</v>
      </c>
      <c r="C394" t="s">
        <v>9</v>
      </c>
      <c r="D394">
        <v>31</v>
      </c>
      <c r="E394">
        <v>33538</v>
      </c>
      <c r="F394">
        <v>1039678</v>
      </c>
      <c r="G394" t="s">
        <v>23</v>
      </c>
      <c r="H394" t="s">
        <v>11</v>
      </c>
      <c r="I394" t="str">
        <f>TEXT(tblSales[[#This Row],[Date]],"mmm")</f>
        <v>Apr</v>
      </c>
    </row>
    <row r="395" spans="1:9" x14ac:dyDescent="0.3">
      <c r="A395" s="1">
        <v>45387</v>
      </c>
      <c r="B395" t="s">
        <v>264</v>
      </c>
      <c r="C395" t="s">
        <v>9</v>
      </c>
      <c r="D395">
        <v>31</v>
      </c>
      <c r="E395">
        <v>16110</v>
      </c>
      <c r="F395">
        <v>499410</v>
      </c>
      <c r="G395" t="s">
        <v>14</v>
      </c>
      <c r="H395" t="s">
        <v>27</v>
      </c>
      <c r="I395" t="str">
        <f>TEXT(tblSales[[#This Row],[Date]],"mmm")</f>
        <v>Apr</v>
      </c>
    </row>
    <row r="396" spans="1:9" x14ac:dyDescent="0.3">
      <c r="A396" s="1">
        <v>45410</v>
      </c>
      <c r="B396" t="s">
        <v>288</v>
      </c>
      <c r="C396" t="s">
        <v>35</v>
      </c>
      <c r="D396">
        <v>30</v>
      </c>
      <c r="E396">
        <v>43370</v>
      </c>
      <c r="F396">
        <v>1301100</v>
      </c>
      <c r="G396" t="s">
        <v>23</v>
      </c>
      <c r="H396" t="s">
        <v>30</v>
      </c>
      <c r="I396" t="str">
        <f>TEXT(tblSales[[#This Row],[Date]],"mmm")</f>
        <v>Apr</v>
      </c>
    </row>
    <row r="397" spans="1:9" x14ac:dyDescent="0.3">
      <c r="A397" s="1">
        <v>45403</v>
      </c>
      <c r="B397" t="s">
        <v>315</v>
      </c>
      <c r="C397" t="s">
        <v>26</v>
      </c>
      <c r="D397">
        <v>15</v>
      </c>
      <c r="E397">
        <v>29527</v>
      </c>
      <c r="F397">
        <v>442905</v>
      </c>
      <c r="G397" t="s">
        <v>23</v>
      </c>
      <c r="H397" t="s">
        <v>27</v>
      </c>
      <c r="I397" t="str">
        <f>TEXT(tblSales[[#This Row],[Date]],"mmm")</f>
        <v>Apr</v>
      </c>
    </row>
    <row r="398" spans="1:9" x14ac:dyDescent="0.3">
      <c r="A398" s="1">
        <v>45391</v>
      </c>
      <c r="B398" t="s">
        <v>317</v>
      </c>
      <c r="C398" t="s">
        <v>13</v>
      </c>
      <c r="D398">
        <v>12</v>
      </c>
      <c r="E398">
        <v>16914</v>
      </c>
      <c r="F398">
        <v>202968</v>
      </c>
      <c r="G398" t="s">
        <v>19</v>
      </c>
      <c r="H398" t="s">
        <v>30</v>
      </c>
      <c r="I398" t="str">
        <f>TEXT(tblSales[[#This Row],[Date]],"mmm")</f>
        <v>Apr</v>
      </c>
    </row>
    <row r="399" spans="1:9" x14ac:dyDescent="0.3">
      <c r="A399" s="1">
        <v>45401</v>
      </c>
      <c r="B399" t="s">
        <v>327</v>
      </c>
      <c r="C399" t="s">
        <v>26</v>
      </c>
      <c r="D399">
        <v>26</v>
      </c>
      <c r="E399">
        <v>37854</v>
      </c>
      <c r="F399">
        <v>984204</v>
      </c>
      <c r="G399" t="s">
        <v>23</v>
      </c>
      <c r="H399" t="s">
        <v>30</v>
      </c>
      <c r="I399" t="str">
        <f>TEXT(tblSales[[#This Row],[Date]],"mmm")</f>
        <v>Apr</v>
      </c>
    </row>
    <row r="400" spans="1:9" x14ac:dyDescent="0.3">
      <c r="A400" s="1">
        <v>45397</v>
      </c>
      <c r="B400" t="s">
        <v>333</v>
      </c>
      <c r="C400" t="s">
        <v>35</v>
      </c>
      <c r="D400">
        <v>17</v>
      </c>
      <c r="E400">
        <v>13335</v>
      </c>
      <c r="F400">
        <v>226695</v>
      </c>
      <c r="G400" t="s">
        <v>14</v>
      </c>
      <c r="H400" t="s">
        <v>11</v>
      </c>
      <c r="I400" t="str">
        <f>TEXT(tblSales[[#This Row],[Date]],"mmm")</f>
        <v>Apr</v>
      </c>
    </row>
    <row r="401" spans="1:9" x14ac:dyDescent="0.3">
      <c r="A401" s="1">
        <v>45383</v>
      </c>
      <c r="B401" t="s">
        <v>351</v>
      </c>
      <c r="C401" t="s">
        <v>13</v>
      </c>
      <c r="D401">
        <v>11</v>
      </c>
      <c r="E401">
        <v>44549</v>
      </c>
      <c r="F401">
        <v>490039</v>
      </c>
      <c r="G401" t="s">
        <v>14</v>
      </c>
      <c r="H401" t="s">
        <v>15</v>
      </c>
      <c r="I401" t="str">
        <f>TEXT(tblSales[[#This Row],[Date]],"mmm")</f>
        <v>Apr</v>
      </c>
    </row>
    <row r="402" spans="1:9" x14ac:dyDescent="0.3">
      <c r="A402" s="1">
        <v>45403</v>
      </c>
      <c r="B402" t="s">
        <v>357</v>
      </c>
      <c r="C402" t="s">
        <v>13</v>
      </c>
      <c r="D402">
        <v>40</v>
      </c>
      <c r="E402">
        <v>25313</v>
      </c>
      <c r="F402">
        <v>1012520</v>
      </c>
      <c r="G402" t="s">
        <v>19</v>
      </c>
      <c r="H402" t="s">
        <v>11</v>
      </c>
      <c r="I402" t="str">
        <f>TEXT(tblSales[[#This Row],[Date]],"mmm")</f>
        <v>Apr</v>
      </c>
    </row>
    <row r="403" spans="1:9" x14ac:dyDescent="0.3">
      <c r="A403" s="1">
        <v>45401</v>
      </c>
      <c r="B403" t="s">
        <v>366</v>
      </c>
      <c r="C403" t="s">
        <v>13</v>
      </c>
      <c r="D403">
        <v>18</v>
      </c>
      <c r="E403">
        <v>39116</v>
      </c>
      <c r="F403">
        <v>704088</v>
      </c>
      <c r="G403" t="s">
        <v>23</v>
      </c>
      <c r="H403" t="s">
        <v>17</v>
      </c>
      <c r="I403" t="str">
        <f>TEXT(tblSales[[#This Row],[Date]],"mmm")</f>
        <v>Apr</v>
      </c>
    </row>
    <row r="404" spans="1:9" x14ac:dyDescent="0.3">
      <c r="A404" s="1">
        <v>45409</v>
      </c>
      <c r="B404" t="s">
        <v>380</v>
      </c>
      <c r="C404" t="s">
        <v>35</v>
      </c>
      <c r="D404">
        <v>13</v>
      </c>
      <c r="E404">
        <v>36675</v>
      </c>
      <c r="F404">
        <v>476775</v>
      </c>
      <c r="G404" t="s">
        <v>14</v>
      </c>
      <c r="H404" t="s">
        <v>15</v>
      </c>
      <c r="I404" t="str">
        <f>TEXT(tblSales[[#This Row],[Date]],"mmm")</f>
        <v>Apr</v>
      </c>
    </row>
    <row r="405" spans="1:9" x14ac:dyDescent="0.3">
      <c r="A405" s="1">
        <v>45412</v>
      </c>
      <c r="B405" t="s">
        <v>409</v>
      </c>
      <c r="C405" t="s">
        <v>13</v>
      </c>
      <c r="D405">
        <v>15</v>
      </c>
      <c r="E405">
        <v>20772</v>
      </c>
      <c r="F405">
        <v>311580</v>
      </c>
      <c r="G405" t="s">
        <v>19</v>
      </c>
      <c r="H405" t="s">
        <v>27</v>
      </c>
      <c r="I405" t="str">
        <f>TEXT(tblSales[[#This Row],[Date]],"mmm")</f>
        <v>Apr</v>
      </c>
    </row>
    <row r="406" spans="1:9" x14ac:dyDescent="0.3">
      <c r="A406" s="1">
        <v>45403</v>
      </c>
      <c r="B406" t="s">
        <v>421</v>
      </c>
      <c r="C406" t="s">
        <v>35</v>
      </c>
      <c r="D406">
        <v>5</v>
      </c>
      <c r="E406">
        <v>14051</v>
      </c>
      <c r="F406">
        <v>70255</v>
      </c>
      <c r="G406" t="s">
        <v>23</v>
      </c>
      <c r="H406" t="s">
        <v>17</v>
      </c>
      <c r="I406" t="str">
        <f>TEXT(tblSales[[#This Row],[Date]],"mmm")</f>
        <v>Apr</v>
      </c>
    </row>
    <row r="407" spans="1:9" x14ac:dyDescent="0.3">
      <c r="A407" s="1">
        <v>45395</v>
      </c>
      <c r="B407" t="s">
        <v>427</v>
      </c>
      <c r="C407" t="s">
        <v>13</v>
      </c>
      <c r="D407">
        <v>18</v>
      </c>
      <c r="E407">
        <v>23076</v>
      </c>
      <c r="F407">
        <v>415368</v>
      </c>
      <c r="G407" t="s">
        <v>19</v>
      </c>
      <c r="H407" t="s">
        <v>27</v>
      </c>
      <c r="I407" t="str">
        <f>TEXT(tblSales[[#This Row],[Date]],"mmm")</f>
        <v>Apr</v>
      </c>
    </row>
    <row r="408" spans="1:9" x14ac:dyDescent="0.3">
      <c r="A408" s="1">
        <v>45399</v>
      </c>
      <c r="B408" t="s">
        <v>436</v>
      </c>
      <c r="C408" t="s">
        <v>35</v>
      </c>
      <c r="D408">
        <v>7</v>
      </c>
      <c r="E408">
        <v>36360</v>
      </c>
      <c r="F408">
        <v>254520</v>
      </c>
      <c r="G408" t="s">
        <v>14</v>
      </c>
      <c r="H408" t="s">
        <v>15</v>
      </c>
      <c r="I408" t="str">
        <f>TEXT(tblSales[[#This Row],[Date]],"mmm")</f>
        <v>Apr</v>
      </c>
    </row>
    <row r="409" spans="1:9" x14ac:dyDescent="0.3">
      <c r="A409" s="1">
        <v>45395</v>
      </c>
      <c r="B409" t="s">
        <v>443</v>
      </c>
      <c r="C409" t="s">
        <v>22</v>
      </c>
      <c r="D409">
        <v>38</v>
      </c>
      <c r="E409">
        <v>13994</v>
      </c>
      <c r="F409">
        <v>531772</v>
      </c>
      <c r="G409" t="s">
        <v>10</v>
      </c>
      <c r="H409" t="s">
        <v>30</v>
      </c>
      <c r="I409" t="str">
        <f>TEXT(tblSales[[#This Row],[Date]],"mmm")</f>
        <v>Apr</v>
      </c>
    </row>
    <row r="410" spans="1:9" x14ac:dyDescent="0.3">
      <c r="A410" s="1">
        <v>45386</v>
      </c>
      <c r="B410" t="s">
        <v>447</v>
      </c>
      <c r="C410" t="s">
        <v>26</v>
      </c>
      <c r="D410">
        <v>2</v>
      </c>
      <c r="E410">
        <v>35836</v>
      </c>
      <c r="F410">
        <v>71672</v>
      </c>
      <c r="G410" t="s">
        <v>14</v>
      </c>
      <c r="H410" t="s">
        <v>30</v>
      </c>
      <c r="I410" t="str">
        <f>TEXT(tblSales[[#This Row],[Date]],"mmm")</f>
        <v>Apr</v>
      </c>
    </row>
    <row r="411" spans="1:9" x14ac:dyDescent="0.3">
      <c r="A411" s="1">
        <v>45412</v>
      </c>
      <c r="B411" t="s">
        <v>482</v>
      </c>
      <c r="C411" t="s">
        <v>26</v>
      </c>
      <c r="D411">
        <v>27</v>
      </c>
      <c r="E411">
        <v>13128</v>
      </c>
      <c r="F411">
        <v>354456</v>
      </c>
      <c r="G411" t="s">
        <v>19</v>
      </c>
      <c r="H411" t="s">
        <v>30</v>
      </c>
      <c r="I411" t="str">
        <f>TEXT(tblSales[[#This Row],[Date]],"mmm")</f>
        <v>Apr</v>
      </c>
    </row>
    <row r="412" spans="1:9" x14ac:dyDescent="0.3">
      <c r="A412" s="1">
        <v>45393</v>
      </c>
      <c r="B412" t="s">
        <v>484</v>
      </c>
      <c r="C412" t="s">
        <v>35</v>
      </c>
      <c r="D412">
        <v>26</v>
      </c>
      <c r="E412">
        <v>27796</v>
      </c>
      <c r="F412">
        <v>722696</v>
      </c>
      <c r="G412" t="s">
        <v>10</v>
      </c>
      <c r="H412" t="s">
        <v>17</v>
      </c>
      <c r="I412" t="str">
        <f>TEXT(tblSales[[#This Row],[Date]],"mmm")</f>
        <v>Apr</v>
      </c>
    </row>
    <row r="413" spans="1:9" x14ac:dyDescent="0.3">
      <c r="A413" s="1">
        <v>45389</v>
      </c>
      <c r="B413" t="s">
        <v>497</v>
      </c>
      <c r="C413" t="s">
        <v>13</v>
      </c>
      <c r="D413">
        <v>10</v>
      </c>
      <c r="E413">
        <v>21072</v>
      </c>
      <c r="F413">
        <v>210720</v>
      </c>
      <c r="G413" t="s">
        <v>10</v>
      </c>
      <c r="H413" t="s">
        <v>30</v>
      </c>
      <c r="I413" t="str">
        <f>TEXT(tblSales[[#This Row],[Date]],"mmm")</f>
        <v>Apr</v>
      </c>
    </row>
    <row r="414" spans="1:9" x14ac:dyDescent="0.3">
      <c r="A414" s="1">
        <v>45389</v>
      </c>
      <c r="B414" t="s">
        <v>515</v>
      </c>
      <c r="C414" t="s">
        <v>13</v>
      </c>
      <c r="D414">
        <v>30</v>
      </c>
      <c r="E414">
        <v>27614</v>
      </c>
      <c r="F414">
        <v>828420</v>
      </c>
      <c r="G414" t="s">
        <v>19</v>
      </c>
      <c r="H414" t="s">
        <v>15</v>
      </c>
      <c r="I414" t="str">
        <f>TEXT(tblSales[[#This Row],[Date]],"mmm")</f>
        <v>Apr</v>
      </c>
    </row>
    <row r="415" spans="1:9" x14ac:dyDescent="0.3">
      <c r="A415" s="1">
        <v>45389</v>
      </c>
      <c r="B415" t="s">
        <v>524</v>
      </c>
      <c r="C415" t="s">
        <v>13</v>
      </c>
      <c r="D415">
        <v>1</v>
      </c>
      <c r="E415">
        <v>19292</v>
      </c>
      <c r="F415">
        <v>19292</v>
      </c>
      <c r="G415" t="s">
        <v>19</v>
      </c>
      <c r="H415" t="s">
        <v>27</v>
      </c>
      <c r="I415" t="str">
        <f>TEXT(tblSales[[#This Row],[Date]],"mmm")</f>
        <v>Apr</v>
      </c>
    </row>
    <row r="416" spans="1:9" x14ac:dyDescent="0.3">
      <c r="A416" s="1">
        <v>45401</v>
      </c>
      <c r="B416" t="s">
        <v>529</v>
      </c>
      <c r="C416" t="s">
        <v>35</v>
      </c>
      <c r="D416">
        <v>40</v>
      </c>
      <c r="E416">
        <v>10901</v>
      </c>
      <c r="F416">
        <v>436040</v>
      </c>
      <c r="G416" t="s">
        <v>19</v>
      </c>
      <c r="H416" t="s">
        <v>11</v>
      </c>
      <c r="I416" t="str">
        <f>TEXT(tblSales[[#This Row],[Date]],"mmm")</f>
        <v>Apr</v>
      </c>
    </row>
    <row r="417" spans="1:9" x14ac:dyDescent="0.3">
      <c r="A417" s="1">
        <v>45394</v>
      </c>
      <c r="B417" t="s">
        <v>566</v>
      </c>
      <c r="C417" t="s">
        <v>13</v>
      </c>
      <c r="D417">
        <v>20</v>
      </c>
      <c r="E417">
        <v>6042</v>
      </c>
      <c r="F417">
        <v>120840</v>
      </c>
      <c r="G417" t="s">
        <v>10</v>
      </c>
      <c r="H417" t="s">
        <v>15</v>
      </c>
      <c r="I417" t="str">
        <f>TEXT(tblSales[[#This Row],[Date]],"mmm")</f>
        <v>Apr</v>
      </c>
    </row>
    <row r="418" spans="1:9" x14ac:dyDescent="0.3">
      <c r="A418" s="1">
        <v>45402</v>
      </c>
      <c r="B418" t="s">
        <v>576</v>
      </c>
      <c r="C418" t="s">
        <v>22</v>
      </c>
      <c r="D418">
        <v>16</v>
      </c>
      <c r="E418">
        <v>9008</v>
      </c>
      <c r="F418">
        <v>144128</v>
      </c>
      <c r="G418" t="s">
        <v>19</v>
      </c>
      <c r="H418" t="s">
        <v>11</v>
      </c>
      <c r="I418" t="str">
        <f>TEXT(tblSales[[#This Row],[Date]],"mmm")</f>
        <v>Apr</v>
      </c>
    </row>
    <row r="419" spans="1:9" x14ac:dyDescent="0.3">
      <c r="A419" s="1">
        <v>45412</v>
      </c>
      <c r="B419" t="s">
        <v>591</v>
      </c>
      <c r="C419" t="s">
        <v>35</v>
      </c>
      <c r="D419">
        <v>16</v>
      </c>
      <c r="E419">
        <v>22534</v>
      </c>
      <c r="F419">
        <v>360544</v>
      </c>
      <c r="G419" t="s">
        <v>10</v>
      </c>
      <c r="H419" t="s">
        <v>11</v>
      </c>
      <c r="I419" t="str">
        <f>TEXT(tblSales[[#This Row],[Date]],"mmm")</f>
        <v>Apr</v>
      </c>
    </row>
    <row r="420" spans="1:9" x14ac:dyDescent="0.3">
      <c r="A420" s="1">
        <v>45409</v>
      </c>
      <c r="B420" t="s">
        <v>612</v>
      </c>
      <c r="C420" t="s">
        <v>13</v>
      </c>
      <c r="D420">
        <v>16</v>
      </c>
      <c r="E420">
        <v>42168</v>
      </c>
      <c r="F420">
        <v>674688</v>
      </c>
      <c r="G420" t="s">
        <v>14</v>
      </c>
      <c r="H420" t="s">
        <v>27</v>
      </c>
      <c r="I420" t="str">
        <f>TEXT(tblSales[[#This Row],[Date]],"mmm")</f>
        <v>Apr</v>
      </c>
    </row>
    <row r="421" spans="1:9" x14ac:dyDescent="0.3">
      <c r="A421" s="1">
        <v>45395</v>
      </c>
      <c r="B421" t="s">
        <v>635</v>
      </c>
      <c r="C421" t="s">
        <v>9</v>
      </c>
      <c r="D421">
        <v>17</v>
      </c>
      <c r="E421">
        <v>25570</v>
      </c>
      <c r="F421">
        <v>434690</v>
      </c>
      <c r="G421" t="s">
        <v>23</v>
      </c>
      <c r="H421" t="s">
        <v>15</v>
      </c>
      <c r="I421" t="str">
        <f>TEXT(tblSales[[#This Row],[Date]],"mmm")</f>
        <v>Apr</v>
      </c>
    </row>
    <row r="422" spans="1:9" x14ac:dyDescent="0.3">
      <c r="A422" s="1">
        <v>45404</v>
      </c>
      <c r="B422" t="s">
        <v>661</v>
      </c>
      <c r="C422" t="s">
        <v>13</v>
      </c>
      <c r="D422">
        <v>6</v>
      </c>
      <c r="E422">
        <v>13321</v>
      </c>
      <c r="F422">
        <v>79926</v>
      </c>
      <c r="G422" t="s">
        <v>23</v>
      </c>
      <c r="H422" t="s">
        <v>27</v>
      </c>
      <c r="I422" t="str">
        <f>TEXT(tblSales[[#This Row],[Date]],"mmm")</f>
        <v>Apr</v>
      </c>
    </row>
    <row r="423" spans="1:9" x14ac:dyDescent="0.3">
      <c r="A423" s="1">
        <v>45396</v>
      </c>
      <c r="B423" t="s">
        <v>662</v>
      </c>
      <c r="C423" t="s">
        <v>26</v>
      </c>
      <c r="D423">
        <v>6</v>
      </c>
      <c r="E423">
        <v>31828</v>
      </c>
      <c r="F423">
        <v>190968</v>
      </c>
      <c r="G423" t="s">
        <v>10</v>
      </c>
      <c r="H423" t="s">
        <v>27</v>
      </c>
      <c r="I423" t="str">
        <f>TEXT(tblSales[[#This Row],[Date]],"mmm")</f>
        <v>Apr</v>
      </c>
    </row>
    <row r="424" spans="1:9" x14ac:dyDescent="0.3">
      <c r="A424" s="1">
        <v>45406</v>
      </c>
      <c r="B424" t="s">
        <v>672</v>
      </c>
      <c r="C424" t="s">
        <v>13</v>
      </c>
      <c r="D424">
        <v>29</v>
      </c>
      <c r="E424">
        <v>30423</v>
      </c>
      <c r="F424">
        <v>882267</v>
      </c>
      <c r="G424" t="s">
        <v>14</v>
      </c>
      <c r="H424" t="s">
        <v>27</v>
      </c>
      <c r="I424" t="str">
        <f>TEXT(tblSales[[#This Row],[Date]],"mmm")</f>
        <v>Apr</v>
      </c>
    </row>
    <row r="425" spans="1:9" x14ac:dyDescent="0.3">
      <c r="A425" s="1">
        <v>45404</v>
      </c>
      <c r="B425" t="s">
        <v>675</v>
      </c>
      <c r="C425" t="s">
        <v>35</v>
      </c>
      <c r="D425">
        <v>40</v>
      </c>
      <c r="E425">
        <v>13227</v>
      </c>
      <c r="F425">
        <v>529080</v>
      </c>
      <c r="G425" t="s">
        <v>10</v>
      </c>
      <c r="H425" t="s">
        <v>27</v>
      </c>
      <c r="I425" t="str">
        <f>TEXT(tblSales[[#This Row],[Date]],"mmm")</f>
        <v>Apr</v>
      </c>
    </row>
    <row r="426" spans="1:9" x14ac:dyDescent="0.3">
      <c r="A426" s="1">
        <v>45396</v>
      </c>
      <c r="B426" t="s">
        <v>683</v>
      </c>
      <c r="C426" t="s">
        <v>35</v>
      </c>
      <c r="D426">
        <v>3</v>
      </c>
      <c r="E426">
        <v>9771</v>
      </c>
      <c r="F426">
        <v>29313</v>
      </c>
      <c r="G426" t="s">
        <v>23</v>
      </c>
      <c r="H426" t="s">
        <v>17</v>
      </c>
      <c r="I426" t="str">
        <f>TEXT(tblSales[[#This Row],[Date]],"mmm")</f>
        <v>Apr</v>
      </c>
    </row>
    <row r="427" spans="1:9" x14ac:dyDescent="0.3">
      <c r="A427" s="1">
        <v>45402</v>
      </c>
      <c r="B427" t="s">
        <v>686</v>
      </c>
      <c r="C427" t="s">
        <v>13</v>
      </c>
      <c r="D427">
        <v>5</v>
      </c>
      <c r="E427">
        <v>26447</v>
      </c>
      <c r="F427">
        <v>132235</v>
      </c>
      <c r="G427" t="s">
        <v>14</v>
      </c>
      <c r="H427" t="s">
        <v>27</v>
      </c>
      <c r="I427" t="str">
        <f>TEXT(tblSales[[#This Row],[Date]],"mmm")</f>
        <v>Apr</v>
      </c>
    </row>
    <row r="428" spans="1:9" x14ac:dyDescent="0.3">
      <c r="A428" s="1">
        <v>45410</v>
      </c>
      <c r="B428" t="s">
        <v>693</v>
      </c>
      <c r="C428" t="s">
        <v>13</v>
      </c>
      <c r="D428">
        <v>36</v>
      </c>
      <c r="E428">
        <v>29272</v>
      </c>
      <c r="F428">
        <v>1053792</v>
      </c>
      <c r="G428" t="s">
        <v>19</v>
      </c>
      <c r="H428" t="s">
        <v>17</v>
      </c>
      <c r="I428" t="str">
        <f>TEXT(tblSales[[#This Row],[Date]],"mmm")</f>
        <v>Apr</v>
      </c>
    </row>
    <row r="429" spans="1:9" x14ac:dyDescent="0.3">
      <c r="A429" s="1">
        <v>45403</v>
      </c>
      <c r="B429" t="s">
        <v>695</v>
      </c>
      <c r="C429" t="s">
        <v>35</v>
      </c>
      <c r="D429">
        <v>9</v>
      </c>
      <c r="E429">
        <v>15365</v>
      </c>
      <c r="F429">
        <v>138285</v>
      </c>
      <c r="G429" t="s">
        <v>10</v>
      </c>
      <c r="H429" t="s">
        <v>30</v>
      </c>
      <c r="I429" t="str">
        <f>TEXT(tblSales[[#This Row],[Date]],"mmm")</f>
        <v>Apr</v>
      </c>
    </row>
    <row r="430" spans="1:9" x14ac:dyDescent="0.3">
      <c r="A430" s="1">
        <v>45394</v>
      </c>
      <c r="B430" t="s">
        <v>698</v>
      </c>
      <c r="C430" t="s">
        <v>26</v>
      </c>
      <c r="D430">
        <v>12</v>
      </c>
      <c r="E430">
        <v>42326</v>
      </c>
      <c r="F430">
        <v>507912</v>
      </c>
      <c r="G430" t="s">
        <v>23</v>
      </c>
      <c r="H430" t="s">
        <v>17</v>
      </c>
      <c r="I430" t="str">
        <f>TEXT(tblSales[[#This Row],[Date]],"mmm")</f>
        <v>Apr</v>
      </c>
    </row>
    <row r="431" spans="1:9" x14ac:dyDescent="0.3">
      <c r="A431" s="1">
        <v>45385</v>
      </c>
      <c r="B431" t="s">
        <v>721</v>
      </c>
      <c r="C431" t="s">
        <v>26</v>
      </c>
      <c r="D431">
        <v>23</v>
      </c>
      <c r="E431">
        <v>13798</v>
      </c>
      <c r="F431">
        <v>317354</v>
      </c>
      <c r="G431" t="s">
        <v>10</v>
      </c>
      <c r="H431" t="s">
        <v>17</v>
      </c>
      <c r="I431" t="str">
        <f>TEXT(tblSales[[#This Row],[Date]],"mmm")</f>
        <v>Apr</v>
      </c>
    </row>
    <row r="432" spans="1:9" x14ac:dyDescent="0.3">
      <c r="A432" s="1">
        <v>45385</v>
      </c>
      <c r="B432" t="s">
        <v>734</v>
      </c>
      <c r="C432" t="s">
        <v>35</v>
      </c>
      <c r="D432">
        <v>28</v>
      </c>
      <c r="E432">
        <v>17324</v>
      </c>
      <c r="F432">
        <v>485072</v>
      </c>
      <c r="G432" t="s">
        <v>14</v>
      </c>
      <c r="H432" t="s">
        <v>17</v>
      </c>
      <c r="I432" t="str">
        <f>TEXT(tblSales[[#This Row],[Date]],"mmm")</f>
        <v>Apr</v>
      </c>
    </row>
    <row r="433" spans="1:9" x14ac:dyDescent="0.3">
      <c r="A433" s="1">
        <v>45403</v>
      </c>
      <c r="B433" t="s">
        <v>751</v>
      </c>
      <c r="C433" t="s">
        <v>35</v>
      </c>
      <c r="D433">
        <v>37</v>
      </c>
      <c r="E433">
        <v>32129</v>
      </c>
      <c r="F433">
        <v>1188773</v>
      </c>
      <c r="G433" t="s">
        <v>23</v>
      </c>
      <c r="H433" t="s">
        <v>27</v>
      </c>
      <c r="I433" t="str">
        <f>TEXT(tblSales[[#This Row],[Date]],"mmm")</f>
        <v>Apr</v>
      </c>
    </row>
    <row r="434" spans="1:9" x14ac:dyDescent="0.3">
      <c r="A434" s="1">
        <v>45412</v>
      </c>
      <c r="B434" t="s">
        <v>771</v>
      </c>
      <c r="C434" t="s">
        <v>22</v>
      </c>
      <c r="D434">
        <v>36</v>
      </c>
      <c r="E434">
        <v>20512</v>
      </c>
      <c r="F434">
        <v>738432</v>
      </c>
      <c r="G434" t="s">
        <v>10</v>
      </c>
      <c r="H434" t="s">
        <v>17</v>
      </c>
      <c r="I434" t="str">
        <f>TEXT(tblSales[[#This Row],[Date]],"mmm")</f>
        <v>Apr</v>
      </c>
    </row>
    <row r="435" spans="1:9" x14ac:dyDescent="0.3">
      <c r="A435" s="1">
        <v>45394</v>
      </c>
      <c r="B435" t="s">
        <v>786</v>
      </c>
      <c r="C435" t="s">
        <v>22</v>
      </c>
      <c r="D435">
        <v>32</v>
      </c>
      <c r="E435">
        <v>7207</v>
      </c>
      <c r="F435">
        <v>230624</v>
      </c>
      <c r="G435" t="s">
        <v>23</v>
      </c>
      <c r="H435" t="s">
        <v>27</v>
      </c>
      <c r="I435" t="str">
        <f>TEXT(tblSales[[#This Row],[Date]],"mmm")</f>
        <v>Apr</v>
      </c>
    </row>
    <row r="436" spans="1:9" x14ac:dyDescent="0.3">
      <c r="A436" s="1">
        <v>45401</v>
      </c>
      <c r="B436" t="s">
        <v>792</v>
      </c>
      <c r="C436" t="s">
        <v>22</v>
      </c>
      <c r="D436">
        <v>3</v>
      </c>
      <c r="E436">
        <v>25471</v>
      </c>
      <c r="F436">
        <v>76413</v>
      </c>
      <c r="G436" t="s">
        <v>23</v>
      </c>
      <c r="H436" t="s">
        <v>27</v>
      </c>
      <c r="I436" t="str">
        <f>TEXT(tblSales[[#This Row],[Date]],"mmm")</f>
        <v>Apr</v>
      </c>
    </row>
    <row r="437" spans="1:9" x14ac:dyDescent="0.3">
      <c r="A437" s="1">
        <v>45390</v>
      </c>
      <c r="B437" t="s">
        <v>796</v>
      </c>
      <c r="C437" t="s">
        <v>26</v>
      </c>
      <c r="D437">
        <v>25</v>
      </c>
      <c r="E437">
        <v>14842</v>
      </c>
      <c r="F437">
        <v>371050</v>
      </c>
      <c r="G437" t="s">
        <v>19</v>
      </c>
      <c r="H437" t="s">
        <v>17</v>
      </c>
      <c r="I437" t="str">
        <f>TEXT(tblSales[[#This Row],[Date]],"mmm")</f>
        <v>Apr</v>
      </c>
    </row>
    <row r="438" spans="1:9" x14ac:dyDescent="0.3">
      <c r="A438" s="1">
        <v>45402</v>
      </c>
      <c r="B438" t="s">
        <v>797</v>
      </c>
      <c r="C438" t="s">
        <v>26</v>
      </c>
      <c r="D438">
        <v>22</v>
      </c>
      <c r="E438">
        <v>17186</v>
      </c>
      <c r="F438">
        <v>378092</v>
      </c>
      <c r="G438" t="s">
        <v>19</v>
      </c>
      <c r="H438" t="s">
        <v>15</v>
      </c>
      <c r="I438" t="str">
        <f>TEXT(tblSales[[#This Row],[Date]],"mmm")</f>
        <v>Apr</v>
      </c>
    </row>
    <row r="439" spans="1:9" x14ac:dyDescent="0.3">
      <c r="A439" s="1">
        <v>45385</v>
      </c>
      <c r="B439" t="s">
        <v>811</v>
      </c>
      <c r="C439" t="s">
        <v>26</v>
      </c>
      <c r="D439">
        <v>5</v>
      </c>
      <c r="E439">
        <v>6077</v>
      </c>
      <c r="F439">
        <v>30385</v>
      </c>
      <c r="G439" t="s">
        <v>10</v>
      </c>
      <c r="H439" t="s">
        <v>30</v>
      </c>
      <c r="I439" t="str">
        <f>TEXT(tblSales[[#This Row],[Date]],"mmm")</f>
        <v>Apr</v>
      </c>
    </row>
    <row r="440" spans="1:9" x14ac:dyDescent="0.3">
      <c r="A440" s="1">
        <v>45399</v>
      </c>
      <c r="B440" t="s">
        <v>820</v>
      </c>
      <c r="C440" t="s">
        <v>22</v>
      </c>
      <c r="D440">
        <v>24</v>
      </c>
      <c r="E440">
        <v>30099</v>
      </c>
      <c r="F440">
        <v>722376</v>
      </c>
      <c r="G440" t="s">
        <v>10</v>
      </c>
      <c r="H440" t="s">
        <v>17</v>
      </c>
      <c r="I440" t="str">
        <f>TEXT(tblSales[[#This Row],[Date]],"mmm")</f>
        <v>Apr</v>
      </c>
    </row>
    <row r="441" spans="1:9" x14ac:dyDescent="0.3">
      <c r="A441" s="1">
        <v>45405</v>
      </c>
      <c r="B441" t="s">
        <v>822</v>
      </c>
      <c r="C441" t="s">
        <v>22</v>
      </c>
      <c r="D441">
        <v>3</v>
      </c>
      <c r="E441">
        <v>42893</v>
      </c>
      <c r="F441">
        <v>128679</v>
      </c>
      <c r="G441" t="s">
        <v>10</v>
      </c>
      <c r="H441" t="s">
        <v>30</v>
      </c>
      <c r="I441" t="str">
        <f>TEXT(tblSales[[#This Row],[Date]],"mmm")</f>
        <v>Apr</v>
      </c>
    </row>
    <row r="442" spans="1:9" x14ac:dyDescent="0.3">
      <c r="A442" s="1">
        <v>45400</v>
      </c>
      <c r="B442" t="s">
        <v>824</v>
      </c>
      <c r="C442" t="s">
        <v>26</v>
      </c>
      <c r="D442">
        <v>29</v>
      </c>
      <c r="E442">
        <v>25525</v>
      </c>
      <c r="F442">
        <v>740225</v>
      </c>
      <c r="G442" t="s">
        <v>14</v>
      </c>
      <c r="H442" t="s">
        <v>11</v>
      </c>
      <c r="I442" t="str">
        <f>TEXT(tblSales[[#This Row],[Date]],"mmm")</f>
        <v>Apr</v>
      </c>
    </row>
    <row r="443" spans="1:9" x14ac:dyDescent="0.3">
      <c r="A443" s="1">
        <v>45399</v>
      </c>
      <c r="B443" t="s">
        <v>847</v>
      </c>
      <c r="C443" t="s">
        <v>22</v>
      </c>
      <c r="D443">
        <v>10</v>
      </c>
      <c r="E443">
        <v>40344</v>
      </c>
      <c r="F443">
        <v>403440</v>
      </c>
      <c r="G443" t="s">
        <v>10</v>
      </c>
      <c r="H443" t="s">
        <v>15</v>
      </c>
      <c r="I443" t="str">
        <f>TEXT(tblSales[[#This Row],[Date]],"mmm")</f>
        <v>Apr</v>
      </c>
    </row>
    <row r="444" spans="1:9" x14ac:dyDescent="0.3">
      <c r="A444" s="1">
        <v>45409</v>
      </c>
      <c r="B444" t="s">
        <v>856</v>
      </c>
      <c r="C444" t="s">
        <v>35</v>
      </c>
      <c r="D444">
        <v>12</v>
      </c>
      <c r="E444">
        <v>19523</v>
      </c>
      <c r="F444">
        <v>234276</v>
      </c>
      <c r="G444" t="s">
        <v>10</v>
      </c>
      <c r="H444" t="s">
        <v>27</v>
      </c>
      <c r="I444" t="str">
        <f>TEXT(tblSales[[#This Row],[Date]],"mmm")</f>
        <v>Apr</v>
      </c>
    </row>
    <row r="445" spans="1:9" x14ac:dyDescent="0.3">
      <c r="A445" s="1">
        <v>45399</v>
      </c>
      <c r="B445" t="s">
        <v>857</v>
      </c>
      <c r="C445" t="s">
        <v>26</v>
      </c>
      <c r="D445">
        <v>22</v>
      </c>
      <c r="E445">
        <v>10490</v>
      </c>
      <c r="F445">
        <v>230780</v>
      </c>
      <c r="G445" t="s">
        <v>10</v>
      </c>
      <c r="H445" t="s">
        <v>15</v>
      </c>
      <c r="I445" t="str">
        <f>TEXT(tblSales[[#This Row],[Date]],"mmm")</f>
        <v>Apr</v>
      </c>
    </row>
    <row r="446" spans="1:9" x14ac:dyDescent="0.3">
      <c r="A446" s="1">
        <v>45402</v>
      </c>
      <c r="B446" t="s">
        <v>867</v>
      </c>
      <c r="C446" t="s">
        <v>22</v>
      </c>
      <c r="D446">
        <v>29</v>
      </c>
      <c r="E446">
        <v>6279</v>
      </c>
      <c r="F446">
        <v>182091</v>
      </c>
      <c r="G446" t="s">
        <v>10</v>
      </c>
      <c r="H446" t="s">
        <v>15</v>
      </c>
      <c r="I446" t="str">
        <f>TEXT(tblSales[[#This Row],[Date]],"mmm")</f>
        <v>Apr</v>
      </c>
    </row>
    <row r="447" spans="1:9" x14ac:dyDescent="0.3">
      <c r="A447" s="1">
        <v>45390</v>
      </c>
      <c r="B447" t="s">
        <v>871</v>
      </c>
      <c r="C447" t="s">
        <v>13</v>
      </c>
      <c r="D447">
        <v>24</v>
      </c>
      <c r="E447">
        <v>14348</v>
      </c>
      <c r="F447">
        <v>344352</v>
      </c>
      <c r="G447" t="s">
        <v>23</v>
      </c>
      <c r="H447" t="s">
        <v>30</v>
      </c>
      <c r="I447" t="str">
        <f>TEXT(tblSales[[#This Row],[Date]],"mmm")</f>
        <v>Apr</v>
      </c>
    </row>
    <row r="448" spans="1:9" x14ac:dyDescent="0.3">
      <c r="A448" s="1">
        <v>45411</v>
      </c>
      <c r="B448" t="s">
        <v>886</v>
      </c>
      <c r="C448" t="s">
        <v>9</v>
      </c>
      <c r="D448">
        <v>40</v>
      </c>
      <c r="E448">
        <v>39298</v>
      </c>
      <c r="F448">
        <v>1571920</v>
      </c>
      <c r="G448" t="s">
        <v>10</v>
      </c>
      <c r="H448" t="s">
        <v>27</v>
      </c>
      <c r="I448" t="str">
        <f>TEXT(tblSales[[#This Row],[Date]],"mmm")</f>
        <v>Apr</v>
      </c>
    </row>
    <row r="449" spans="1:9" x14ac:dyDescent="0.3">
      <c r="A449" s="1">
        <v>45411</v>
      </c>
      <c r="B449" t="s">
        <v>892</v>
      </c>
      <c r="C449" t="s">
        <v>9</v>
      </c>
      <c r="D449">
        <v>36</v>
      </c>
      <c r="E449">
        <v>36462</v>
      </c>
      <c r="F449">
        <v>1312632</v>
      </c>
      <c r="G449" t="s">
        <v>19</v>
      </c>
      <c r="H449" t="s">
        <v>11</v>
      </c>
      <c r="I449" t="str">
        <f>TEXT(tblSales[[#This Row],[Date]],"mmm")</f>
        <v>Apr</v>
      </c>
    </row>
    <row r="450" spans="1:9" x14ac:dyDescent="0.3">
      <c r="A450" s="1">
        <v>45392</v>
      </c>
      <c r="B450" t="s">
        <v>909</v>
      </c>
      <c r="C450" t="s">
        <v>9</v>
      </c>
      <c r="D450">
        <v>12</v>
      </c>
      <c r="E450">
        <v>10513</v>
      </c>
      <c r="F450">
        <v>126156</v>
      </c>
      <c r="G450" t="s">
        <v>23</v>
      </c>
      <c r="H450" t="s">
        <v>17</v>
      </c>
      <c r="I450" t="str">
        <f>TEXT(tblSales[[#This Row],[Date]],"mmm")</f>
        <v>Apr</v>
      </c>
    </row>
    <row r="451" spans="1:9" x14ac:dyDescent="0.3">
      <c r="A451" s="1">
        <v>45399</v>
      </c>
      <c r="B451" t="s">
        <v>913</v>
      </c>
      <c r="C451" t="s">
        <v>35</v>
      </c>
      <c r="D451">
        <v>26</v>
      </c>
      <c r="E451">
        <v>16659</v>
      </c>
      <c r="F451">
        <v>433134</v>
      </c>
      <c r="G451" t="s">
        <v>10</v>
      </c>
      <c r="H451" t="s">
        <v>17</v>
      </c>
      <c r="I451" t="str">
        <f>TEXT(tblSales[[#This Row],[Date]],"mmm")</f>
        <v>Apr</v>
      </c>
    </row>
    <row r="452" spans="1:9" x14ac:dyDescent="0.3">
      <c r="A452" s="1">
        <v>45385</v>
      </c>
      <c r="B452" t="s">
        <v>942</v>
      </c>
      <c r="C452" t="s">
        <v>35</v>
      </c>
      <c r="D452">
        <v>1</v>
      </c>
      <c r="E452">
        <v>38569</v>
      </c>
      <c r="F452">
        <v>38569</v>
      </c>
      <c r="G452" t="s">
        <v>23</v>
      </c>
      <c r="H452" t="s">
        <v>30</v>
      </c>
      <c r="I452" t="str">
        <f>TEXT(tblSales[[#This Row],[Date]],"mmm")</f>
        <v>Apr</v>
      </c>
    </row>
    <row r="453" spans="1:9" x14ac:dyDescent="0.3">
      <c r="A453" s="1">
        <v>45386</v>
      </c>
      <c r="B453" t="s">
        <v>947</v>
      </c>
      <c r="C453" t="s">
        <v>13</v>
      </c>
      <c r="D453">
        <v>33</v>
      </c>
      <c r="E453">
        <v>19363</v>
      </c>
      <c r="F453">
        <v>638979</v>
      </c>
      <c r="G453" t="s">
        <v>10</v>
      </c>
      <c r="H453" t="s">
        <v>27</v>
      </c>
      <c r="I453" t="str">
        <f>TEXT(tblSales[[#This Row],[Date]],"mmm")</f>
        <v>Apr</v>
      </c>
    </row>
    <row r="454" spans="1:9" x14ac:dyDescent="0.3">
      <c r="A454" s="1">
        <v>45397</v>
      </c>
      <c r="B454" t="s">
        <v>950</v>
      </c>
      <c r="C454" t="s">
        <v>13</v>
      </c>
      <c r="D454">
        <v>7</v>
      </c>
      <c r="E454">
        <v>38261</v>
      </c>
      <c r="F454">
        <v>267827</v>
      </c>
      <c r="G454" t="s">
        <v>23</v>
      </c>
      <c r="H454" t="s">
        <v>27</v>
      </c>
      <c r="I454" t="str">
        <f>TEXT(tblSales[[#This Row],[Date]],"mmm")</f>
        <v>Apr</v>
      </c>
    </row>
    <row r="455" spans="1:9" x14ac:dyDescent="0.3">
      <c r="A455" s="1">
        <v>45383</v>
      </c>
      <c r="B455" t="s">
        <v>957</v>
      </c>
      <c r="C455" t="s">
        <v>22</v>
      </c>
      <c r="D455">
        <v>13</v>
      </c>
      <c r="E455">
        <v>40792</v>
      </c>
      <c r="F455">
        <v>530296</v>
      </c>
      <c r="G455" t="s">
        <v>19</v>
      </c>
      <c r="H455" t="s">
        <v>17</v>
      </c>
      <c r="I455" t="str">
        <f>TEXT(tblSales[[#This Row],[Date]],"mmm")</f>
        <v>Apr</v>
      </c>
    </row>
    <row r="456" spans="1:9" x14ac:dyDescent="0.3">
      <c r="A456" s="1">
        <v>45397</v>
      </c>
      <c r="B456" t="s">
        <v>964</v>
      </c>
      <c r="C456" t="s">
        <v>22</v>
      </c>
      <c r="D456">
        <v>31</v>
      </c>
      <c r="E456">
        <v>25430</v>
      </c>
      <c r="F456">
        <v>788330</v>
      </c>
      <c r="G456" t="s">
        <v>23</v>
      </c>
      <c r="H456" t="s">
        <v>30</v>
      </c>
      <c r="I456" t="str">
        <f>TEXT(tblSales[[#This Row],[Date]],"mmm")</f>
        <v>Apr</v>
      </c>
    </row>
    <row r="457" spans="1:9" x14ac:dyDescent="0.3">
      <c r="A457" s="1">
        <v>45410</v>
      </c>
      <c r="B457" t="s">
        <v>967</v>
      </c>
      <c r="C457" t="s">
        <v>9</v>
      </c>
      <c r="D457">
        <v>29</v>
      </c>
      <c r="E457">
        <v>41522</v>
      </c>
      <c r="F457">
        <v>1204138</v>
      </c>
      <c r="G457" t="s">
        <v>23</v>
      </c>
      <c r="H457" t="s">
        <v>11</v>
      </c>
      <c r="I457" t="str">
        <f>TEXT(tblSales[[#This Row],[Date]],"mmm")</f>
        <v>Apr</v>
      </c>
    </row>
    <row r="458" spans="1:9" x14ac:dyDescent="0.3">
      <c r="A458" s="1">
        <v>45395</v>
      </c>
      <c r="B458" t="s">
        <v>971</v>
      </c>
      <c r="C458" t="s">
        <v>9</v>
      </c>
      <c r="D458">
        <v>8</v>
      </c>
      <c r="E458">
        <v>25817</v>
      </c>
      <c r="F458">
        <v>206536</v>
      </c>
      <c r="G458" t="s">
        <v>23</v>
      </c>
      <c r="H458" t="s">
        <v>17</v>
      </c>
      <c r="I458" t="str">
        <f>TEXT(tblSales[[#This Row],[Date]],"mmm")</f>
        <v>Apr</v>
      </c>
    </row>
    <row r="459" spans="1:9" x14ac:dyDescent="0.3">
      <c r="A459" s="1">
        <v>45396</v>
      </c>
      <c r="B459" t="s">
        <v>980</v>
      </c>
      <c r="C459" t="s">
        <v>22</v>
      </c>
      <c r="D459">
        <v>7</v>
      </c>
      <c r="E459">
        <v>6873</v>
      </c>
      <c r="F459">
        <v>48111</v>
      </c>
      <c r="G459" t="s">
        <v>14</v>
      </c>
      <c r="H459" t="s">
        <v>11</v>
      </c>
      <c r="I459" t="str">
        <f>TEXT(tblSales[[#This Row],[Date]],"mmm")</f>
        <v>Apr</v>
      </c>
    </row>
    <row r="460" spans="1:9" x14ac:dyDescent="0.3">
      <c r="A460" s="1">
        <v>45393</v>
      </c>
      <c r="B460" t="s">
        <v>991</v>
      </c>
      <c r="C460" t="s">
        <v>26</v>
      </c>
      <c r="D460">
        <v>7</v>
      </c>
      <c r="E460">
        <v>7852</v>
      </c>
      <c r="F460">
        <v>54964</v>
      </c>
      <c r="G460" t="s">
        <v>14</v>
      </c>
      <c r="H460" t="s">
        <v>27</v>
      </c>
      <c r="I460" t="str">
        <f>TEXT(tblSales[[#This Row],[Date]],"mmm")</f>
        <v>Apr</v>
      </c>
    </row>
    <row r="461" spans="1:9" x14ac:dyDescent="0.3">
      <c r="A461" s="1">
        <v>45388</v>
      </c>
      <c r="B461" t="s">
        <v>992</v>
      </c>
      <c r="C461" t="s">
        <v>13</v>
      </c>
      <c r="D461">
        <v>1</v>
      </c>
      <c r="E461">
        <v>36043</v>
      </c>
      <c r="F461">
        <v>36043</v>
      </c>
      <c r="G461" t="s">
        <v>19</v>
      </c>
      <c r="H461" t="s">
        <v>30</v>
      </c>
      <c r="I461" t="str">
        <f>TEXT(tblSales[[#This Row],[Date]],"mmm")</f>
        <v>Apr</v>
      </c>
    </row>
    <row r="462" spans="1:9" x14ac:dyDescent="0.3">
      <c r="A462" s="1">
        <v>45395</v>
      </c>
      <c r="B462" t="s">
        <v>1000</v>
      </c>
      <c r="C462" t="s">
        <v>9</v>
      </c>
      <c r="D462">
        <v>6</v>
      </c>
      <c r="E462">
        <v>19288</v>
      </c>
      <c r="F462">
        <v>115728</v>
      </c>
      <c r="G462" t="s">
        <v>10</v>
      </c>
      <c r="H462" t="s">
        <v>11</v>
      </c>
      <c r="I462" t="str">
        <f>TEXT(tblSales[[#This Row],[Date]],"mmm")</f>
        <v>Apr</v>
      </c>
    </row>
    <row r="463" spans="1:9" x14ac:dyDescent="0.3">
      <c r="A463" s="1">
        <v>45407</v>
      </c>
      <c r="B463" t="s">
        <v>1002</v>
      </c>
      <c r="C463" t="s">
        <v>26</v>
      </c>
      <c r="D463">
        <v>7</v>
      </c>
      <c r="E463">
        <v>25036</v>
      </c>
      <c r="F463">
        <v>175252</v>
      </c>
      <c r="G463" t="s">
        <v>14</v>
      </c>
      <c r="H463" t="s">
        <v>17</v>
      </c>
      <c r="I463" t="str">
        <f>TEXT(tblSales[[#This Row],[Date]],"mmm")</f>
        <v>Apr</v>
      </c>
    </row>
    <row r="464" spans="1:9" x14ac:dyDescent="0.3">
      <c r="A464" s="1">
        <v>45399</v>
      </c>
      <c r="B464" t="s">
        <v>1003</v>
      </c>
      <c r="C464" t="s">
        <v>35</v>
      </c>
      <c r="D464">
        <v>23</v>
      </c>
      <c r="E464">
        <v>16669</v>
      </c>
      <c r="F464">
        <v>383387</v>
      </c>
      <c r="G464" t="s">
        <v>14</v>
      </c>
      <c r="H464" t="s">
        <v>15</v>
      </c>
      <c r="I464" t="str">
        <f>TEXT(tblSales[[#This Row],[Date]],"mmm")</f>
        <v>Apr</v>
      </c>
    </row>
    <row r="465" spans="1:9" x14ac:dyDescent="0.3">
      <c r="A465" s="1">
        <v>45388</v>
      </c>
      <c r="B465" t="s">
        <v>1018</v>
      </c>
      <c r="C465" t="s">
        <v>13</v>
      </c>
      <c r="D465">
        <v>17</v>
      </c>
      <c r="E465">
        <v>14537</v>
      </c>
      <c r="F465">
        <v>247129</v>
      </c>
      <c r="G465" t="s">
        <v>10</v>
      </c>
      <c r="H465" t="s">
        <v>15</v>
      </c>
      <c r="I465" t="str">
        <f>TEXT(tblSales[[#This Row],[Date]],"mmm")</f>
        <v>Apr</v>
      </c>
    </row>
    <row r="466" spans="1:9" x14ac:dyDescent="0.3">
      <c r="A466" s="1">
        <v>45384</v>
      </c>
      <c r="B466" t="s">
        <v>1022</v>
      </c>
      <c r="C466" t="s">
        <v>35</v>
      </c>
      <c r="D466">
        <v>14</v>
      </c>
      <c r="E466">
        <v>12969</v>
      </c>
      <c r="F466">
        <v>181566</v>
      </c>
      <c r="G466" t="s">
        <v>10</v>
      </c>
      <c r="H466" t="s">
        <v>11</v>
      </c>
      <c r="I466" t="str">
        <f>TEXT(tblSales[[#This Row],[Date]],"mmm")</f>
        <v>Apr</v>
      </c>
    </row>
    <row r="467" spans="1:9" x14ac:dyDescent="0.3">
      <c r="A467" s="1">
        <v>45396</v>
      </c>
      <c r="B467" t="s">
        <v>1034</v>
      </c>
      <c r="C467" t="s">
        <v>22</v>
      </c>
      <c r="D467">
        <v>22</v>
      </c>
      <c r="E467">
        <v>34830</v>
      </c>
      <c r="F467">
        <v>766260</v>
      </c>
      <c r="G467" t="s">
        <v>14</v>
      </c>
      <c r="H467" t="s">
        <v>15</v>
      </c>
      <c r="I467" t="str">
        <f>TEXT(tblSales[[#This Row],[Date]],"mmm")</f>
        <v>Apr</v>
      </c>
    </row>
    <row r="468" spans="1:9" x14ac:dyDescent="0.3">
      <c r="A468" s="1">
        <v>45409</v>
      </c>
      <c r="B468" t="s">
        <v>1036</v>
      </c>
      <c r="C468" t="s">
        <v>9</v>
      </c>
      <c r="D468">
        <v>12</v>
      </c>
      <c r="E468">
        <v>17311</v>
      </c>
      <c r="F468">
        <v>207732</v>
      </c>
      <c r="G468" t="s">
        <v>23</v>
      </c>
      <c r="H468" t="s">
        <v>27</v>
      </c>
      <c r="I468" t="str">
        <f>TEXT(tblSales[[#This Row],[Date]],"mmm")</f>
        <v>Apr</v>
      </c>
    </row>
    <row r="469" spans="1:9" x14ac:dyDescent="0.3">
      <c r="A469" s="1">
        <v>45400</v>
      </c>
      <c r="B469" t="s">
        <v>1037</v>
      </c>
      <c r="C469" t="s">
        <v>13</v>
      </c>
      <c r="D469">
        <v>25</v>
      </c>
      <c r="E469">
        <v>24914</v>
      </c>
      <c r="F469">
        <v>622850</v>
      </c>
      <c r="G469" t="s">
        <v>14</v>
      </c>
      <c r="H469" t="s">
        <v>30</v>
      </c>
      <c r="I469" t="str">
        <f>TEXT(tblSales[[#This Row],[Date]],"mmm")</f>
        <v>Apr</v>
      </c>
    </row>
    <row r="470" spans="1:9" x14ac:dyDescent="0.3">
      <c r="A470" s="1">
        <v>45391</v>
      </c>
      <c r="B470" t="s">
        <v>1044</v>
      </c>
      <c r="C470" t="s">
        <v>35</v>
      </c>
      <c r="D470">
        <v>21</v>
      </c>
      <c r="E470">
        <v>19538</v>
      </c>
      <c r="F470">
        <v>410298</v>
      </c>
      <c r="G470" t="s">
        <v>14</v>
      </c>
      <c r="H470" t="s">
        <v>17</v>
      </c>
      <c r="I470" t="str">
        <f>TEXT(tblSales[[#This Row],[Date]],"mmm")</f>
        <v>Apr</v>
      </c>
    </row>
    <row r="471" spans="1:9" x14ac:dyDescent="0.3">
      <c r="A471" s="1">
        <v>45388</v>
      </c>
      <c r="B471" t="s">
        <v>1053</v>
      </c>
      <c r="C471" t="s">
        <v>35</v>
      </c>
      <c r="D471">
        <v>7</v>
      </c>
      <c r="E471">
        <v>8787</v>
      </c>
      <c r="F471">
        <v>61509</v>
      </c>
      <c r="G471" t="s">
        <v>23</v>
      </c>
      <c r="H471" t="s">
        <v>17</v>
      </c>
      <c r="I471" t="str">
        <f>TEXT(tblSales[[#This Row],[Date]],"mmm")</f>
        <v>Apr</v>
      </c>
    </row>
    <row r="472" spans="1:9" x14ac:dyDescent="0.3">
      <c r="A472" s="1">
        <v>45404</v>
      </c>
      <c r="B472" t="s">
        <v>1055</v>
      </c>
      <c r="C472" t="s">
        <v>26</v>
      </c>
      <c r="D472">
        <v>2</v>
      </c>
      <c r="E472">
        <v>31862</v>
      </c>
      <c r="F472">
        <v>63724</v>
      </c>
      <c r="G472" t="s">
        <v>19</v>
      </c>
      <c r="H472" t="s">
        <v>30</v>
      </c>
      <c r="I472" t="str">
        <f>TEXT(tblSales[[#This Row],[Date]],"mmm")</f>
        <v>Apr</v>
      </c>
    </row>
    <row r="473" spans="1:9" x14ac:dyDescent="0.3">
      <c r="A473" s="1">
        <v>45390</v>
      </c>
      <c r="B473" t="s">
        <v>1071</v>
      </c>
      <c r="C473" t="s">
        <v>13</v>
      </c>
      <c r="D473">
        <v>31</v>
      </c>
      <c r="E473">
        <v>41096</v>
      </c>
      <c r="F473">
        <v>1273976</v>
      </c>
      <c r="G473" t="s">
        <v>14</v>
      </c>
      <c r="H473" t="s">
        <v>15</v>
      </c>
      <c r="I473" t="str">
        <f>TEXT(tblSales[[#This Row],[Date]],"mmm")</f>
        <v>Apr</v>
      </c>
    </row>
    <row r="474" spans="1:9" x14ac:dyDescent="0.3">
      <c r="A474" s="1">
        <v>45401</v>
      </c>
      <c r="B474" t="s">
        <v>1085</v>
      </c>
      <c r="C474" t="s">
        <v>9</v>
      </c>
      <c r="D474">
        <v>27</v>
      </c>
      <c r="E474">
        <v>33226</v>
      </c>
      <c r="F474">
        <v>897102</v>
      </c>
      <c r="G474" t="s">
        <v>19</v>
      </c>
      <c r="H474" t="s">
        <v>17</v>
      </c>
      <c r="I474" t="str">
        <f>TEXT(tblSales[[#This Row],[Date]],"mmm")</f>
        <v>Apr</v>
      </c>
    </row>
    <row r="475" spans="1:9" x14ac:dyDescent="0.3">
      <c r="A475" s="1">
        <v>45408</v>
      </c>
      <c r="B475" t="s">
        <v>1096</v>
      </c>
      <c r="C475" t="s">
        <v>26</v>
      </c>
      <c r="D475">
        <v>30</v>
      </c>
      <c r="E475">
        <v>18615</v>
      </c>
      <c r="F475">
        <v>558450</v>
      </c>
      <c r="G475" t="s">
        <v>10</v>
      </c>
      <c r="H475" t="s">
        <v>27</v>
      </c>
      <c r="I475" t="str">
        <f>TEXT(tblSales[[#This Row],[Date]],"mmm")</f>
        <v>Apr</v>
      </c>
    </row>
    <row r="476" spans="1:9" x14ac:dyDescent="0.3">
      <c r="A476" s="1">
        <v>45396</v>
      </c>
      <c r="B476" t="s">
        <v>1111</v>
      </c>
      <c r="C476" t="s">
        <v>35</v>
      </c>
      <c r="D476">
        <v>6</v>
      </c>
      <c r="E476">
        <v>39375</v>
      </c>
      <c r="F476">
        <v>236250</v>
      </c>
      <c r="G476" t="s">
        <v>10</v>
      </c>
      <c r="H476" t="s">
        <v>11</v>
      </c>
      <c r="I476" t="str">
        <f>TEXT(tblSales[[#This Row],[Date]],"mmm")</f>
        <v>Apr</v>
      </c>
    </row>
    <row r="477" spans="1:9" x14ac:dyDescent="0.3">
      <c r="A477" s="1">
        <v>45400</v>
      </c>
      <c r="B477" t="s">
        <v>1120</v>
      </c>
      <c r="C477" t="s">
        <v>22</v>
      </c>
      <c r="D477">
        <v>35</v>
      </c>
      <c r="E477">
        <v>22122</v>
      </c>
      <c r="F477">
        <v>774270</v>
      </c>
      <c r="G477" t="s">
        <v>23</v>
      </c>
      <c r="H477" t="s">
        <v>11</v>
      </c>
      <c r="I477" t="str">
        <f>TEXT(tblSales[[#This Row],[Date]],"mmm")</f>
        <v>Apr</v>
      </c>
    </row>
    <row r="478" spans="1:9" x14ac:dyDescent="0.3">
      <c r="A478" s="1">
        <v>45394</v>
      </c>
      <c r="B478" t="s">
        <v>1128</v>
      </c>
      <c r="C478" t="s">
        <v>9</v>
      </c>
      <c r="D478">
        <v>27</v>
      </c>
      <c r="E478">
        <v>41544</v>
      </c>
      <c r="F478">
        <v>1121688</v>
      </c>
      <c r="G478" t="s">
        <v>19</v>
      </c>
      <c r="H478" t="s">
        <v>30</v>
      </c>
      <c r="I478" t="str">
        <f>TEXT(tblSales[[#This Row],[Date]],"mmm")</f>
        <v>Apr</v>
      </c>
    </row>
    <row r="479" spans="1:9" x14ac:dyDescent="0.3">
      <c r="A479" s="1">
        <v>45398</v>
      </c>
      <c r="B479" t="s">
        <v>1138</v>
      </c>
      <c r="C479" t="s">
        <v>26</v>
      </c>
      <c r="D479">
        <v>21</v>
      </c>
      <c r="E479">
        <v>12026</v>
      </c>
      <c r="F479">
        <v>252546</v>
      </c>
      <c r="G479" t="s">
        <v>14</v>
      </c>
      <c r="H479" t="s">
        <v>17</v>
      </c>
      <c r="I479" t="str">
        <f>TEXT(tblSales[[#This Row],[Date]],"mmm")</f>
        <v>Apr</v>
      </c>
    </row>
    <row r="480" spans="1:9" x14ac:dyDescent="0.3">
      <c r="A480" s="1">
        <v>45409</v>
      </c>
      <c r="B480" t="s">
        <v>1149</v>
      </c>
      <c r="C480" t="s">
        <v>13</v>
      </c>
      <c r="D480">
        <v>14</v>
      </c>
      <c r="E480">
        <v>13191</v>
      </c>
      <c r="F480">
        <v>184674</v>
      </c>
      <c r="G480" t="s">
        <v>23</v>
      </c>
      <c r="H480" t="s">
        <v>11</v>
      </c>
      <c r="I480" t="str">
        <f>TEXT(tblSales[[#This Row],[Date]],"mmm")</f>
        <v>Apr</v>
      </c>
    </row>
    <row r="481" spans="1:9" x14ac:dyDescent="0.3">
      <c r="A481" s="1">
        <v>45412</v>
      </c>
      <c r="B481" t="s">
        <v>1152</v>
      </c>
      <c r="C481" t="s">
        <v>9</v>
      </c>
      <c r="D481">
        <v>34</v>
      </c>
      <c r="E481">
        <v>32293</v>
      </c>
      <c r="F481">
        <v>1097962</v>
      </c>
      <c r="G481" t="s">
        <v>23</v>
      </c>
      <c r="H481" t="s">
        <v>15</v>
      </c>
      <c r="I481" t="str">
        <f>TEXT(tblSales[[#This Row],[Date]],"mmm")</f>
        <v>Apr</v>
      </c>
    </row>
    <row r="482" spans="1:9" x14ac:dyDescent="0.3">
      <c r="A482" s="1">
        <v>45409</v>
      </c>
      <c r="B482" t="s">
        <v>1203</v>
      </c>
      <c r="C482" t="s">
        <v>35</v>
      </c>
      <c r="D482">
        <v>1</v>
      </c>
      <c r="E482">
        <v>23797</v>
      </c>
      <c r="F482">
        <v>23797</v>
      </c>
      <c r="G482" t="s">
        <v>14</v>
      </c>
      <c r="H482" t="s">
        <v>11</v>
      </c>
      <c r="I482" t="str">
        <f>TEXT(tblSales[[#This Row],[Date]],"mmm")</f>
        <v>Apr</v>
      </c>
    </row>
    <row r="483" spans="1:9" x14ac:dyDescent="0.3">
      <c r="A483" s="1">
        <v>45395</v>
      </c>
      <c r="B483" t="s">
        <v>1227</v>
      </c>
      <c r="C483" t="s">
        <v>9</v>
      </c>
      <c r="D483">
        <v>15</v>
      </c>
      <c r="E483">
        <v>22883</v>
      </c>
      <c r="F483">
        <v>343245</v>
      </c>
      <c r="G483" t="s">
        <v>10</v>
      </c>
      <c r="H483" t="s">
        <v>30</v>
      </c>
      <c r="I483" t="str">
        <f>TEXT(tblSales[[#This Row],[Date]],"mmm")</f>
        <v>Apr</v>
      </c>
    </row>
    <row r="484" spans="1:9" x14ac:dyDescent="0.3">
      <c r="A484" s="1">
        <v>45402</v>
      </c>
      <c r="B484" t="s">
        <v>1233</v>
      </c>
      <c r="C484" t="s">
        <v>35</v>
      </c>
      <c r="D484">
        <v>21</v>
      </c>
      <c r="E484">
        <v>40701</v>
      </c>
      <c r="F484">
        <v>854721</v>
      </c>
      <c r="G484" t="s">
        <v>14</v>
      </c>
      <c r="H484" t="s">
        <v>15</v>
      </c>
      <c r="I484" t="str">
        <f>TEXT(tblSales[[#This Row],[Date]],"mmm")</f>
        <v>Apr</v>
      </c>
    </row>
    <row r="485" spans="1:9" x14ac:dyDescent="0.3">
      <c r="A485" s="1">
        <v>45406</v>
      </c>
      <c r="B485" t="s">
        <v>1255</v>
      </c>
      <c r="C485" t="s">
        <v>13</v>
      </c>
      <c r="D485">
        <v>39</v>
      </c>
      <c r="E485">
        <v>37401</v>
      </c>
      <c r="F485">
        <v>1458639</v>
      </c>
      <c r="G485" t="s">
        <v>23</v>
      </c>
      <c r="H485" t="s">
        <v>17</v>
      </c>
      <c r="I485" t="str">
        <f>TEXT(tblSales[[#This Row],[Date]],"mmm")</f>
        <v>Apr</v>
      </c>
    </row>
    <row r="486" spans="1:9" x14ac:dyDescent="0.3">
      <c r="A486" s="1">
        <v>45410</v>
      </c>
      <c r="B486" t="s">
        <v>1263</v>
      </c>
      <c r="C486" t="s">
        <v>22</v>
      </c>
      <c r="D486">
        <v>5</v>
      </c>
      <c r="E486">
        <v>24939</v>
      </c>
      <c r="F486">
        <v>124695</v>
      </c>
      <c r="G486" t="s">
        <v>10</v>
      </c>
      <c r="H486" t="s">
        <v>15</v>
      </c>
      <c r="I486" t="str">
        <f>TEXT(tblSales[[#This Row],[Date]],"mmm")</f>
        <v>Apr</v>
      </c>
    </row>
    <row r="487" spans="1:9" x14ac:dyDescent="0.3">
      <c r="A487" s="1">
        <v>45398</v>
      </c>
      <c r="B487" t="s">
        <v>1264</v>
      </c>
      <c r="C487" t="s">
        <v>26</v>
      </c>
      <c r="D487">
        <v>38</v>
      </c>
      <c r="E487">
        <v>38825</v>
      </c>
      <c r="F487">
        <v>1475350</v>
      </c>
      <c r="G487" t="s">
        <v>10</v>
      </c>
      <c r="H487" t="s">
        <v>11</v>
      </c>
      <c r="I487" t="str">
        <f>TEXT(tblSales[[#This Row],[Date]],"mmm")</f>
        <v>Apr</v>
      </c>
    </row>
    <row r="488" spans="1:9" x14ac:dyDescent="0.3">
      <c r="A488" s="1">
        <v>45402</v>
      </c>
      <c r="B488" t="s">
        <v>1270</v>
      </c>
      <c r="C488" t="s">
        <v>13</v>
      </c>
      <c r="D488">
        <v>21</v>
      </c>
      <c r="E488">
        <v>22563</v>
      </c>
      <c r="F488">
        <v>473823</v>
      </c>
      <c r="G488" t="s">
        <v>10</v>
      </c>
      <c r="H488" t="s">
        <v>11</v>
      </c>
      <c r="I488" t="str">
        <f>TEXT(tblSales[[#This Row],[Date]],"mmm")</f>
        <v>Apr</v>
      </c>
    </row>
    <row r="489" spans="1:9" x14ac:dyDescent="0.3">
      <c r="A489" s="1">
        <v>45389</v>
      </c>
      <c r="B489" t="s">
        <v>1298</v>
      </c>
      <c r="C489" t="s">
        <v>13</v>
      </c>
      <c r="D489">
        <v>19</v>
      </c>
      <c r="E489">
        <v>34563</v>
      </c>
      <c r="F489">
        <v>656697</v>
      </c>
      <c r="G489" t="s">
        <v>23</v>
      </c>
      <c r="H489" t="s">
        <v>30</v>
      </c>
      <c r="I489" t="str">
        <f>TEXT(tblSales[[#This Row],[Date]],"mmm")</f>
        <v>Apr</v>
      </c>
    </row>
    <row r="490" spans="1:9" x14ac:dyDescent="0.3">
      <c r="A490" s="1">
        <v>45407</v>
      </c>
      <c r="B490" t="s">
        <v>1314</v>
      </c>
      <c r="C490" t="s">
        <v>35</v>
      </c>
      <c r="D490">
        <v>26</v>
      </c>
      <c r="E490">
        <v>40238</v>
      </c>
      <c r="F490">
        <v>1046188</v>
      </c>
      <c r="G490" t="s">
        <v>23</v>
      </c>
      <c r="H490" t="s">
        <v>11</v>
      </c>
      <c r="I490" t="str">
        <f>TEXT(tblSales[[#This Row],[Date]],"mmm")</f>
        <v>Apr</v>
      </c>
    </row>
    <row r="491" spans="1:9" x14ac:dyDescent="0.3">
      <c r="A491" s="1">
        <v>45387</v>
      </c>
      <c r="B491" t="s">
        <v>1315</v>
      </c>
      <c r="C491" t="s">
        <v>35</v>
      </c>
      <c r="D491">
        <v>12</v>
      </c>
      <c r="E491">
        <v>32308</v>
      </c>
      <c r="F491">
        <v>387696</v>
      </c>
      <c r="G491" t="s">
        <v>23</v>
      </c>
      <c r="H491" t="s">
        <v>11</v>
      </c>
      <c r="I491" t="str">
        <f>TEXT(tblSales[[#This Row],[Date]],"mmm")</f>
        <v>Apr</v>
      </c>
    </row>
    <row r="492" spans="1:9" x14ac:dyDescent="0.3">
      <c r="A492" s="1">
        <v>45404</v>
      </c>
      <c r="B492" t="s">
        <v>1353</v>
      </c>
      <c r="C492" t="s">
        <v>22</v>
      </c>
      <c r="D492">
        <v>29</v>
      </c>
      <c r="E492">
        <v>35471</v>
      </c>
      <c r="F492">
        <v>1028659</v>
      </c>
      <c r="G492" t="s">
        <v>10</v>
      </c>
      <c r="H492" t="s">
        <v>11</v>
      </c>
      <c r="I492" t="str">
        <f>TEXT(tblSales[[#This Row],[Date]],"mmm")</f>
        <v>Apr</v>
      </c>
    </row>
    <row r="493" spans="1:9" x14ac:dyDescent="0.3">
      <c r="A493" s="1">
        <v>45388</v>
      </c>
      <c r="B493" t="s">
        <v>1356</v>
      </c>
      <c r="C493" t="s">
        <v>13</v>
      </c>
      <c r="D493">
        <v>37</v>
      </c>
      <c r="E493">
        <v>24383</v>
      </c>
      <c r="F493">
        <v>902171</v>
      </c>
      <c r="G493" t="s">
        <v>19</v>
      </c>
      <c r="H493" t="s">
        <v>15</v>
      </c>
      <c r="I493" t="str">
        <f>TEXT(tblSales[[#This Row],[Date]],"mmm")</f>
        <v>Apr</v>
      </c>
    </row>
    <row r="494" spans="1:9" x14ac:dyDescent="0.3">
      <c r="A494" s="1">
        <v>45412</v>
      </c>
      <c r="B494" t="s">
        <v>1381</v>
      </c>
      <c r="C494" t="s">
        <v>9</v>
      </c>
      <c r="D494">
        <v>30</v>
      </c>
      <c r="E494">
        <v>27562</v>
      </c>
      <c r="F494">
        <v>826860</v>
      </c>
      <c r="G494" t="s">
        <v>14</v>
      </c>
      <c r="H494" t="s">
        <v>30</v>
      </c>
      <c r="I494" t="str">
        <f>TEXT(tblSales[[#This Row],[Date]],"mmm")</f>
        <v>Apr</v>
      </c>
    </row>
    <row r="495" spans="1:9" x14ac:dyDescent="0.3">
      <c r="A495" s="1">
        <v>45411</v>
      </c>
      <c r="B495" t="s">
        <v>1386</v>
      </c>
      <c r="C495" t="s">
        <v>9</v>
      </c>
      <c r="D495">
        <v>16</v>
      </c>
      <c r="E495">
        <v>34688</v>
      </c>
      <c r="F495">
        <v>555008</v>
      </c>
      <c r="G495" t="s">
        <v>23</v>
      </c>
      <c r="H495" t="s">
        <v>15</v>
      </c>
      <c r="I495" t="str">
        <f>TEXT(tblSales[[#This Row],[Date]],"mmm")</f>
        <v>Apr</v>
      </c>
    </row>
    <row r="496" spans="1:9" x14ac:dyDescent="0.3">
      <c r="A496" s="1">
        <v>45390</v>
      </c>
      <c r="B496" t="s">
        <v>1407</v>
      </c>
      <c r="C496" t="s">
        <v>9</v>
      </c>
      <c r="D496">
        <v>10</v>
      </c>
      <c r="E496">
        <v>17178</v>
      </c>
      <c r="F496">
        <v>171780</v>
      </c>
      <c r="G496" t="s">
        <v>23</v>
      </c>
      <c r="H496" t="s">
        <v>30</v>
      </c>
      <c r="I496" t="str">
        <f>TEXT(tblSales[[#This Row],[Date]],"mmm")</f>
        <v>Apr</v>
      </c>
    </row>
    <row r="497" spans="1:9" x14ac:dyDescent="0.3">
      <c r="A497" s="1">
        <v>45383</v>
      </c>
      <c r="B497" t="s">
        <v>1409</v>
      </c>
      <c r="C497" t="s">
        <v>22</v>
      </c>
      <c r="D497">
        <v>11</v>
      </c>
      <c r="E497">
        <v>7565</v>
      </c>
      <c r="F497">
        <v>83215</v>
      </c>
      <c r="G497" t="s">
        <v>19</v>
      </c>
      <c r="H497" t="s">
        <v>17</v>
      </c>
      <c r="I497" t="str">
        <f>TEXT(tblSales[[#This Row],[Date]],"mmm")</f>
        <v>Apr</v>
      </c>
    </row>
    <row r="498" spans="1:9" x14ac:dyDescent="0.3">
      <c r="A498" s="1">
        <v>45385</v>
      </c>
      <c r="B498" t="s">
        <v>1441</v>
      </c>
      <c r="C498" t="s">
        <v>35</v>
      </c>
      <c r="D498">
        <v>38</v>
      </c>
      <c r="E498">
        <v>15139</v>
      </c>
      <c r="F498">
        <v>575282</v>
      </c>
      <c r="G498" t="s">
        <v>14</v>
      </c>
      <c r="H498" t="s">
        <v>15</v>
      </c>
      <c r="I498" t="str">
        <f>TEXT(tblSales[[#This Row],[Date]],"mmm")</f>
        <v>Apr</v>
      </c>
    </row>
    <row r="499" spans="1:9" x14ac:dyDescent="0.3">
      <c r="A499" s="1">
        <v>45391</v>
      </c>
      <c r="B499" t="s">
        <v>1448</v>
      </c>
      <c r="C499" t="s">
        <v>13</v>
      </c>
      <c r="D499">
        <v>27</v>
      </c>
      <c r="E499">
        <v>7241</v>
      </c>
      <c r="F499">
        <v>195507</v>
      </c>
      <c r="G499" t="s">
        <v>10</v>
      </c>
      <c r="H499" t="s">
        <v>27</v>
      </c>
      <c r="I499" t="str">
        <f>TEXT(tblSales[[#This Row],[Date]],"mmm")</f>
        <v>Apr</v>
      </c>
    </row>
    <row r="500" spans="1:9" x14ac:dyDescent="0.3">
      <c r="A500" s="1">
        <v>45402</v>
      </c>
      <c r="B500" t="s">
        <v>1455</v>
      </c>
      <c r="C500" t="s">
        <v>35</v>
      </c>
      <c r="D500">
        <v>6</v>
      </c>
      <c r="E500">
        <v>5242</v>
      </c>
      <c r="F500">
        <v>31452</v>
      </c>
      <c r="G500" t="s">
        <v>14</v>
      </c>
      <c r="H500" t="s">
        <v>17</v>
      </c>
      <c r="I500" t="str">
        <f>TEXT(tblSales[[#This Row],[Date]],"mmm")</f>
        <v>Apr</v>
      </c>
    </row>
    <row r="501" spans="1:9" x14ac:dyDescent="0.3">
      <c r="A501" s="1">
        <v>45385</v>
      </c>
      <c r="B501" t="s">
        <v>1471</v>
      </c>
      <c r="C501" t="s">
        <v>35</v>
      </c>
      <c r="D501">
        <v>17</v>
      </c>
      <c r="E501">
        <v>36742</v>
      </c>
      <c r="F501">
        <v>624614</v>
      </c>
      <c r="G501" t="s">
        <v>19</v>
      </c>
      <c r="H501" t="s">
        <v>17</v>
      </c>
      <c r="I501" t="str">
        <f>TEXT(tblSales[[#This Row],[Date]],"mmm")</f>
        <v>Apr</v>
      </c>
    </row>
    <row r="502" spans="1:9" x14ac:dyDescent="0.3">
      <c r="A502" s="1">
        <v>45394</v>
      </c>
      <c r="B502" t="s">
        <v>1472</v>
      </c>
      <c r="C502" t="s">
        <v>13</v>
      </c>
      <c r="D502">
        <v>8</v>
      </c>
      <c r="E502">
        <v>43149</v>
      </c>
      <c r="F502">
        <v>345192</v>
      </c>
      <c r="G502" t="s">
        <v>23</v>
      </c>
      <c r="H502" t="s">
        <v>30</v>
      </c>
      <c r="I502" t="str">
        <f>TEXT(tblSales[[#This Row],[Date]],"mmm")</f>
        <v>Apr</v>
      </c>
    </row>
    <row r="503" spans="1:9" x14ac:dyDescent="0.3">
      <c r="A503" s="1">
        <v>45398</v>
      </c>
      <c r="B503" t="s">
        <v>1480</v>
      </c>
      <c r="C503" t="s">
        <v>9</v>
      </c>
      <c r="D503">
        <v>26</v>
      </c>
      <c r="E503">
        <v>35158</v>
      </c>
      <c r="F503">
        <v>914108</v>
      </c>
      <c r="G503" t="s">
        <v>10</v>
      </c>
      <c r="H503" t="s">
        <v>15</v>
      </c>
      <c r="I503" t="str">
        <f>TEXT(tblSales[[#This Row],[Date]],"mmm")</f>
        <v>Apr</v>
      </c>
    </row>
    <row r="504" spans="1:9" x14ac:dyDescent="0.3">
      <c r="A504" s="1">
        <v>45390</v>
      </c>
      <c r="B504" t="s">
        <v>1484</v>
      </c>
      <c r="C504" t="s">
        <v>9</v>
      </c>
      <c r="D504">
        <v>4</v>
      </c>
      <c r="E504">
        <v>32920</v>
      </c>
      <c r="F504">
        <v>131680</v>
      </c>
      <c r="G504" t="s">
        <v>23</v>
      </c>
      <c r="H504" t="s">
        <v>17</v>
      </c>
      <c r="I504" t="str">
        <f>TEXT(tblSales[[#This Row],[Date]],"mmm")</f>
        <v>Apr</v>
      </c>
    </row>
    <row r="505" spans="1:9" x14ac:dyDescent="0.3">
      <c r="A505" s="1">
        <v>45395</v>
      </c>
      <c r="B505" t="s">
        <v>1486</v>
      </c>
      <c r="C505" t="s">
        <v>26</v>
      </c>
      <c r="D505">
        <v>8</v>
      </c>
      <c r="E505">
        <v>28658</v>
      </c>
      <c r="F505">
        <v>229264</v>
      </c>
      <c r="G505" t="s">
        <v>23</v>
      </c>
      <c r="H505" t="s">
        <v>27</v>
      </c>
      <c r="I505" t="str">
        <f>TEXT(tblSales[[#This Row],[Date]],"mmm")</f>
        <v>Apr</v>
      </c>
    </row>
    <row r="506" spans="1:9" x14ac:dyDescent="0.3">
      <c r="A506" s="1">
        <v>45407</v>
      </c>
      <c r="B506" t="s">
        <v>1506</v>
      </c>
      <c r="C506" t="s">
        <v>26</v>
      </c>
      <c r="D506">
        <v>26</v>
      </c>
      <c r="E506">
        <v>23657</v>
      </c>
      <c r="F506">
        <v>615082</v>
      </c>
      <c r="G506" t="s">
        <v>23</v>
      </c>
      <c r="H506" t="s">
        <v>11</v>
      </c>
      <c r="I506" t="str">
        <f>TEXT(tblSales[[#This Row],[Date]],"mmm")</f>
        <v>Apr</v>
      </c>
    </row>
    <row r="507" spans="1:9" x14ac:dyDescent="0.3">
      <c r="A507" s="1">
        <v>45441</v>
      </c>
      <c r="B507" t="s">
        <v>38</v>
      </c>
      <c r="C507" t="s">
        <v>22</v>
      </c>
      <c r="D507">
        <v>21</v>
      </c>
      <c r="E507">
        <v>41063</v>
      </c>
      <c r="F507">
        <v>862323</v>
      </c>
      <c r="G507" t="s">
        <v>14</v>
      </c>
      <c r="H507" t="s">
        <v>30</v>
      </c>
      <c r="I507" t="str">
        <f>TEXT(tblSales[[#This Row],[Date]],"mmm")</f>
        <v>May</v>
      </c>
    </row>
    <row r="508" spans="1:9" x14ac:dyDescent="0.3">
      <c r="A508" s="1">
        <v>45416</v>
      </c>
      <c r="B508" t="s">
        <v>44</v>
      </c>
      <c r="C508" t="s">
        <v>22</v>
      </c>
      <c r="D508">
        <v>39</v>
      </c>
      <c r="E508">
        <v>11230</v>
      </c>
      <c r="F508">
        <v>437970</v>
      </c>
      <c r="G508" t="s">
        <v>10</v>
      </c>
      <c r="H508" t="s">
        <v>30</v>
      </c>
      <c r="I508" t="str">
        <f>TEXT(tblSales[[#This Row],[Date]],"mmm")</f>
        <v>May</v>
      </c>
    </row>
    <row r="509" spans="1:9" x14ac:dyDescent="0.3">
      <c r="A509" s="1">
        <v>45422</v>
      </c>
      <c r="B509" t="s">
        <v>46</v>
      </c>
      <c r="C509" t="s">
        <v>26</v>
      </c>
      <c r="D509">
        <v>14</v>
      </c>
      <c r="E509">
        <v>32960</v>
      </c>
      <c r="F509">
        <v>461440</v>
      </c>
      <c r="G509" t="s">
        <v>14</v>
      </c>
      <c r="H509" t="s">
        <v>27</v>
      </c>
      <c r="I509" t="str">
        <f>TEXT(tblSales[[#This Row],[Date]],"mmm")</f>
        <v>May</v>
      </c>
    </row>
    <row r="510" spans="1:9" x14ac:dyDescent="0.3">
      <c r="A510" s="1">
        <v>45428</v>
      </c>
      <c r="B510" t="s">
        <v>113</v>
      </c>
      <c r="C510" t="s">
        <v>22</v>
      </c>
      <c r="D510">
        <v>30</v>
      </c>
      <c r="E510">
        <v>35999</v>
      </c>
      <c r="F510">
        <v>1079970</v>
      </c>
      <c r="G510" t="s">
        <v>19</v>
      </c>
      <c r="H510" t="s">
        <v>17</v>
      </c>
      <c r="I510" t="str">
        <f>TEXT(tblSales[[#This Row],[Date]],"mmm")</f>
        <v>May</v>
      </c>
    </row>
    <row r="511" spans="1:9" x14ac:dyDescent="0.3">
      <c r="A511" s="1">
        <v>45439</v>
      </c>
      <c r="B511" t="s">
        <v>176</v>
      </c>
      <c r="C511" t="s">
        <v>22</v>
      </c>
      <c r="D511">
        <v>40</v>
      </c>
      <c r="E511">
        <v>41284</v>
      </c>
      <c r="F511">
        <v>1651360</v>
      </c>
      <c r="G511" t="s">
        <v>19</v>
      </c>
      <c r="H511" t="s">
        <v>15</v>
      </c>
      <c r="I511" t="str">
        <f>TEXT(tblSales[[#This Row],[Date]],"mmm")</f>
        <v>May</v>
      </c>
    </row>
    <row r="512" spans="1:9" x14ac:dyDescent="0.3">
      <c r="A512" s="1">
        <v>45435</v>
      </c>
      <c r="B512" t="s">
        <v>179</v>
      </c>
      <c r="C512" t="s">
        <v>26</v>
      </c>
      <c r="D512">
        <v>17</v>
      </c>
      <c r="E512">
        <v>17435</v>
      </c>
      <c r="F512">
        <v>296395</v>
      </c>
      <c r="G512" t="s">
        <v>14</v>
      </c>
      <c r="H512" t="s">
        <v>27</v>
      </c>
      <c r="I512" t="str">
        <f>TEXT(tblSales[[#This Row],[Date]],"mmm")</f>
        <v>May</v>
      </c>
    </row>
    <row r="513" spans="1:9" x14ac:dyDescent="0.3">
      <c r="A513" s="1">
        <v>45436</v>
      </c>
      <c r="B513" t="s">
        <v>197</v>
      </c>
      <c r="C513" t="s">
        <v>13</v>
      </c>
      <c r="D513">
        <v>10</v>
      </c>
      <c r="E513">
        <v>41680</v>
      </c>
      <c r="F513">
        <v>416800</v>
      </c>
      <c r="G513" t="s">
        <v>10</v>
      </c>
      <c r="H513" t="s">
        <v>17</v>
      </c>
      <c r="I513" t="str">
        <f>TEXT(tblSales[[#This Row],[Date]],"mmm")</f>
        <v>May</v>
      </c>
    </row>
    <row r="514" spans="1:9" x14ac:dyDescent="0.3">
      <c r="A514" s="1">
        <v>45435</v>
      </c>
      <c r="B514" t="s">
        <v>205</v>
      </c>
      <c r="C514" t="s">
        <v>26</v>
      </c>
      <c r="D514">
        <v>34</v>
      </c>
      <c r="E514">
        <v>19899</v>
      </c>
      <c r="F514">
        <v>676566</v>
      </c>
      <c r="G514" t="s">
        <v>19</v>
      </c>
      <c r="H514" t="s">
        <v>11</v>
      </c>
      <c r="I514" t="str">
        <f>TEXT(tblSales[[#This Row],[Date]],"mmm")</f>
        <v>May</v>
      </c>
    </row>
    <row r="515" spans="1:9" x14ac:dyDescent="0.3">
      <c r="A515" s="1">
        <v>45429</v>
      </c>
      <c r="B515" t="s">
        <v>213</v>
      </c>
      <c r="C515" t="s">
        <v>22</v>
      </c>
      <c r="D515">
        <v>38</v>
      </c>
      <c r="E515">
        <v>8996</v>
      </c>
      <c r="F515">
        <v>341848</v>
      </c>
      <c r="G515" t="s">
        <v>19</v>
      </c>
      <c r="H515" t="s">
        <v>17</v>
      </c>
      <c r="I515" t="str">
        <f>TEXT(tblSales[[#This Row],[Date]],"mmm")</f>
        <v>May</v>
      </c>
    </row>
    <row r="516" spans="1:9" x14ac:dyDescent="0.3">
      <c r="A516" s="1">
        <v>45443</v>
      </c>
      <c r="B516" t="s">
        <v>249</v>
      </c>
      <c r="C516" t="s">
        <v>13</v>
      </c>
      <c r="D516">
        <v>38</v>
      </c>
      <c r="E516">
        <v>36862</v>
      </c>
      <c r="F516">
        <v>1400756</v>
      </c>
      <c r="G516" t="s">
        <v>10</v>
      </c>
      <c r="H516" t="s">
        <v>11</v>
      </c>
      <c r="I516" t="str">
        <f>TEXT(tblSales[[#This Row],[Date]],"mmm")</f>
        <v>May</v>
      </c>
    </row>
    <row r="517" spans="1:9" x14ac:dyDescent="0.3">
      <c r="A517" s="1">
        <v>45414</v>
      </c>
      <c r="B517" t="s">
        <v>255</v>
      </c>
      <c r="C517" t="s">
        <v>22</v>
      </c>
      <c r="D517">
        <v>15</v>
      </c>
      <c r="E517">
        <v>25911</v>
      </c>
      <c r="F517">
        <v>388665</v>
      </c>
      <c r="G517" t="s">
        <v>19</v>
      </c>
      <c r="H517" t="s">
        <v>11</v>
      </c>
      <c r="I517" t="str">
        <f>TEXT(tblSales[[#This Row],[Date]],"mmm")</f>
        <v>May</v>
      </c>
    </row>
    <row r="518" spans="1:9" x14ac:dyDescent="0.3">
      <c r="A518" s="1">
        <v>45427</v>
      </c>
      <c r="B518" t="s">
        <v>256</v>
      </c>
      <c r="C518" t="s">
        <v>22</v>
      </c>
      <c r="D518">
        <v>27</v>
      </c>
      <c r="E518">
        <v>15303</v>
      </c>
      <c r="F518">
        <v>413181</v>
      </c>
      <c r="G518" t="s">
        <v>10</v>
      </c>
      <c r="H518" t="s">
        <v>30</v>
      </c>
      <c r="I518" t="str">
        <f>TEXT(tblSales[[#This Row],[Date]],"mmm")</f>
        <v>May</v>
      </c>
    </row>
    <row r="519" spans="1:9" x14ac:dyDescent="0.3">
      <c r="A519" s="1">
        <v>45416</v>
      </c>
      <c r="B519" t="s">
        <v>271</v>
      </c>
      <c r="C519" t="s">
        <v>26</v>
      </c>
      <c r="D519">
        <v>32</v>
      </c>
      <c r="E519">
        <v>10892</v>
      </c>
      <c r="F519">
        <v>348544</v>
      </c>
      <c r="G519" t="s">
        <v>14</v>
      </c>
      <c r="H519" t="s">
        <v>15</v>
      </c>
      <c r="I519" t="str">
        <f>TEXT(tblSales[[#This Row],[Date]],"mmm")</f>
        <v>May</v>
      </c>
    </row>
    <row r="520" spans="1:9" x14ac:dyDescent="0.3">
      <c r="A520" s="1">
        <v>45432</v>
      </c>
      <c r="B520" t="s">
        <v>275</v>
      </c>
      <c r="C520" t="s">
        <v>22</v>
      </c>
      <c r="D520">
        <v>13</v>
      </c>
      <c r="E520">
        <v>29026</v>
      </c>
      <c r="F520">
        <v>377338</v>
      </c>
      <c r="G520" t="s">
        <v>19</v>
      </c>
      <c r="H520" t="s">
        <v>27</v>
      </c>
      <c r="I520" t="str">
        <f>TEXT(tblSales[[#This Row],[Date]],"mmm")</f>
        <v>May</v>
      </c>
    </row>
    <row r="521" spans="1:9" x14ac:dyDescent="0.3">
      <c r="A521" s="1">
        <v>45422</v>
      </c>
      <c r="B521" t="s">
        <v>281</v>
      </c>
      <c r="C521" t="s">
        <v>22</v>
      </c>
      <c r="D521">
        <v>18</v>
      </c>
      <c r="E521">
        <v>30992</v>
      </c>
      <c r="F521">
        <v>557856</v>
      </c>
      <c r="G521" t="s">
        <v>14</v>
      </c>
      <c r="H521" t="s">
        <v>30</v>
      </c>
      <c r="I521" t="str">
        <f>TEXT(tblSales[[#This Row],[Date]],"mmm")</f>
        <v>May</v>
      </c>
    </row>
    <row r="522" spans="1:9" x14ac:dyDescent="0.3">
      <c r="A522" s="1">
        <v>45430</v>
      </c>
      <c r="B522" t="s">
        <v>318</v>
      </c>
      <c r="C522" t="s">
        <v>9</v>
      </c>
      <c r="D522">
        <v>39</v>
      </c>
      <c r="E522">
        <v>31671</v>
      </c>
      <c r="F522">
        <v>1235169</v>
      </c>
      <c r="G522" t="s">
        <v>19</v>
      </c>
      <c r="H522" t="s">
        <v>11</v>
      </c>
      <c r="I522" t="str">
        <f>TEXT(tblSales[[#This Row],[Date]],"mmm")</f>
        <v>May</v>
      </c>
    </row>
    <row r="523" spans="1:9" x14ac:dyDescent="0.3">
      <c r="A523" s="1">
        <v>45414</v>
      </c>
      <c r="B523" t="s">
        <v>326</v>
      </c>
      <c r="C523" t="s">
        <v>35</v>
      </c>
      <c r="D523">
        <v>40</v>
      </c>
      <c r="E523">
        <v>7655</v>
      </c>
      <c r="F523">
        <v>306200</v>
      </c>
      <c r="G523" t="s">
        <v>19</v>
      </c>
      <c r="H523" t="s">
        <v>15</v>
      </c>
      <c r="I523" t="str">
        <f>TEXT(tblSales[[#This Row],[Date]],"mmm")</f>
        <v>May</v>
      </c>
    </row>
    <row r="524" spans="1:9" x14ac:dyDescent="0.3">
      <c r="A524" s="1">
        <v>45441</v>
      </c>
      <c r="B524" t="s">
        <v>331</v>
      </c>
      <c r="C524" t="s">
        <v>22</v>
      </c>
      <c r="D524">
        <v>7</v>
      </c>
      <c r="E524">
        <v>40866</v>
      </c>
      <c r="F524">
        <v>286062</v>
      </c>
      <c r="G524" t="s">
        <v>14</v>
      </c>
      <c r="H524" t="s">
        <v>27</v>
      </c>
      <c r="I524" t="str">
        <f>TEXT(tblSales[[#This Row],[Date]],"mmm")</f>
        <v>May</v>
      </c>
    </row>
    <row r="525" spans="1:9" x14ac:dyDescent="0.3">
      <c r="A525" s="1">
        <v>45430</v>
      </c>
      <c r="B525" t="s">
        <v>339</v>
      </c>
      <c r="C525" t="s">
        <v>35</v>
      </c>
      <c r="D525">
        <v>4</v>
      </c>
      <c r="E525">
        <v>29897</v>
      </c>
      <c r="F525">
        <v>119588</v>
      </c>
      <c r="G525" t="s">
        <v>14</v>
      </c>
      <c r="H525" t="s">
        <v>11</v>
      </c>
      <c r="I525" t="str">
        <f>TEXT(tblSales[[#This Row],[Date]],"mmm")</f>
        <v>May</v>
      </c>
    </row>
    <row r="526" spans="1:9" x14ac:dyDescent="0.3">
      <c r="A526" s="1">
        <v>45433</v>
      </c>
      <c r="B526" t="s">
        <v>364</v>
      </c>
      <c r="C526" t="s">
        <v>13</v>
      </c>
      <c r="D526">
        <v>21</v>
      </c>
      <c r="E526">
        <v>23888</v>
      </c>
      <c r="F526">
        <v>501648</v>
      </c>
      <c r="G526" t="s">
        <v>14</v>
      </c>
      <c r="H526" t="s">
        <v>17</v>
      </c>
      <c r="I526" t="str">
        <f>TEXT(tblSales[[#This Row],[Date]],"mmm")</f>
        <v>May</v>
      </c>
    </row>
    <row r="527" spans="1:9" x14ac:dyDescent="0.3">
      <c r="A527" s="1">
        <v>45415</v>
      </c>
      <c r="B527" t="s">
        <v>402</v>
      </c>
      <c r="C527" t="s">
        <v>22</v>
      </c>
      <c r="D527">
        <v>3</v>
      </c>
      <c r="E527">
        <v>8442</v>
      </c>
      <c r="F527">
        <v>25326</v>
      </c>
      <c r="G527" t="s">
        <v>23</v>
      </c>
      <c r="H527" t="s">
        <v>27</v>
      </c>
      <c r="I527" t="str">
        <f>TEXT(tblSales[[#This Row],[Date]],"mmm")</f>
        <v>May</v>
      </c>
    </row>
    <row r="528" spans="1:9" x14ac:dyDescent="0.3">
      <c r="A528" s="1">
        <v>45441</v>
      </c>
      <c r="B528" t="s">
        <v>415</v>
      </c>
      <c r="C528" t="s">
        <v>26</v>
      </c>
      <c r="D528">
        <v>9</v>
      </c>
      <c r="E528">
        <v>33845</v>
      </c>
      <c r="F528">
        <v>304605</v>
      </c>
      <c r="G528" t="s">
        <v>14</v>
      </c>
      <c r="H528" t="s">
        <v>27</v>
      </c>
      <c r="I528" t="str">
        <f>TEXT(tblSales[[#This Row],[Date]],"mmm")</f>
        <v>May</v>
      </c>
    </row>
    <row r="529" spans="1:9" x14ac:dyDescent="0.3">
      <c r="A529" s="1">
        <v>45423</v>
      </c>
      <c r="B529" t="s">
        <v>425</v>
      </c>
      <c r="C529" t="s">
        <v>35</v>
      </c>
      <c r="D529">
        <v>28</v>
      </c>
      <c r="E529">
        <v>44868</v>
      </c>
      <c r="F529">
        <v>1256304</v>
      </c>
      <c r="G529" t="s">
        <v>14</v>
      </c>
      <c r="H529" t="s">
        <v>30</v>
      </c>
      <c r="I529" t="str">
        <f>TEXT(tblSales[[#This Row],[Date]],"mmm")</f>
        <v>May</v>
      </c>
    </row>
    <row r="530" spans="1:9" x14ac:dyDescent="0.3">
      <c r="A530" s="1">
        <v>45422</v>
      </c>
      <c r="B530" t="s">
        <v>440</v>
      </c>
      <c r="C530" t="s">
        <v>13</v>
      </c>
      <c r="D530">
        <v>27</v>
      </c>
      <c r="E530">
        <v>20535</v>
      </c>
      <c r="F530">
        <v>554445</v>
      </c>
      <c r="G530" t="s">
        <v>14</v>
      </c>
      <c r="H530" t="s">
        <v>27</v>
      </c>
      <c r="I530" t="str">
        <f>TEXT(tblSales[[#This Row],[Date]],"mmm")</f>
        <v>May</v>
      </c>
    </row>
    <row r="531" spans="1:9" x14ac:dyDescent="0.3">
      <c r="A531" s="1">
        <v>45431</v>
      </c>
      <c r="B531" t="s">
        <v>442</v>
      </c>
      <c r="C531" t="s">
        <v>22</v>
      </c>
      <c r="D531">
        <v>20</v>
      </c>
      <c r="E531">
        <v>10285</v>
      </c>
      <c r="F531">
        <v>205700</v>
      </c>
      <c r="G531" t="s">
        <v>23</v>
      </c>
      <c r="H531" t="s">
        <v>27</v>
      </c>
      <c r="I531" t="str">
        <f>TEXT(tblSales[[#This Row],[Date]],"mmm")</f>
        <v>May</v>
      </c>
    </row>
    <row r="532" spans="1:9" x14ac:dyDescent="0.3">
      <c r="A532" s="1">
        <v>45420</v>
      </c>
      <c r="B532" t="s">
        <v>450</v>
      </c>
      <c r="C532" t="s">
        <v>35</v>
      </c>
      <c r="D532">
        <v>4</v>
      </c>
      <c r="E532">
        <v>22546</v>
      </c>
      <c r="F532">
        <v>90184</v>
      </c>
      <c r="G532" t="s">
        <v>10</v>
      </c>
      <c r="H532" t="s">
        <v>27</v>
      </c>
      <c r="I532" t="str">
        <f>TEXT(tblSales[[#This Row],[Date]],"mmm")</f>
        <v>May</v>
      </c>
    </row>
    <row r="533" spans="1:9" x14ac:dyDescent="0.3">
      <c r="A533" s="1">
        <v>45433</v>
      </c>
      <c r="B533" t="s">
        <v>455</v>
      </c>
      <c r="C533" t="s">
        <v>35</v>
      </c>
      <c r="D533">
        <v>27</v>
      </c>
      <c r="E533">
        <v>16800</v>
      </c>
      <c r="F533">
        <v>453600</v>
      </c>
      <c r="G533" t="s">
        <v>23</v>
      </c>
      <c r="H533" t="s">
        <v>30</v>
      </c>
      <c r="I533" t="str">
        <f>TEXT(tblSales[[#This Row],[Date]],"mmm")</f>
        <v>May</v>
      </c>
    </row>
    <row r="534" spans="1:9" x14ac:dyDescent="0.3">
      <c r="A534" s="1">
        <v>45416</v>
      </c>
      <c r="B534" t="s">
        <v>456</v>
      </c>
      <c r="C534" t="s">
        <v>35</v>
      </c>
      <c r="D534">
        <v>9</v>
      </c>
      <c r="E534">
        <v>37638</v>
      </c>
      <c r="F534">
        <v>338742</v>
      </c>
      <c r="G534" t="s">
        <v>23</v>
      </c>
      <c r="H534" t="s">
        <v>30</v>
      </c>
      <c r="I534" t="str">
        <f>TEXT(tblSales[[#This Row],[Date]],"mmm")</f>
        <v>May</v>
      </c>
    </row>
    <row r="535" spans="1:9" x14ac:dyDescent="0.3">
      <c r="A535" s="1">
        <v>45426</v>
      </c>
      <c r="B535" t="s">
        <v>458</v>
      </c>
      <c r="C535" t="s">
        <v>22</v>
      </c>
      <c r="D535">
        <v>26</v>
      </c>
      <c r="E535">
        <v>17052</v>
      </c>
      <c r="F535">
        <v>443352</v>
      </c>
      <c r="G535" t="s">
        <v>14</v>
      </c>
      <c r="H535" t="s">
        <v>27</v>
      </c>
      <c r="I535" t="str">
        <f>TEXT(tblSales[[#This Row],[Date]],"mmm")</f>
        <v>May</v>
      </c>
    </row>
    <row r="536" spans="1:9" x14ac:dyDescent="0.3">
      <c r="A536" s="1">
        <v>45436</v>
      </c>
      <c r="B536" t="s">
        <v>500</v>
      </c>
      <c r="C536" t="s">
        <v>35</v>
      </c>
      <c r="D536">
        <v>18</v>
      </c>
      <c r="E536">
        <v>12930</v>
      </c>
      <c r="F536">
        <v>232740</v>
      </c>
      <c r="G536" t="s">
        <v>10</v>
      </c>
      <c r="H536" t="s">
        <v>27</v>
      </c>
      <c r="I536" t="str">
        <f>TEXT(tblSales[[#This Row],[Date]],"mmm")</f>
        <v>May</v>
      </c>
    </row>
    <row r="537" spans="1:9" x14ac:dyDescent="0.3">
      <c r="A537" s="1">
        <v>45433</v>
      </c>
      <c r="B537" t="s">
        <v>518</v>
      </c>
      <c r="C537" t="s">
        <v>35</v>
      </c>
      <c r="D537">
        <v>14</v>
      </c>
      <c r="E537">
        <v>30175</v>
      </c>
      <c r="F537">
        <v>422450</v>
      </c>
      <c r="G537" t="s">
        <v>19</v>
      </c>
      <c r="H537" t="s">
        <v>15</v>
      </c>
      <c r="I537" t="str">
        <f>TEXT(tblSales[[#This Row],[Date]],"mmm")</f>
        <v>May</v>
      </c>
    </row>
    <row r="538" spans="1:9" x14ac:dyDescent="0.3">
      <c r="A538" s="1">
        <v>45418</v>
      </c>
      <c r="B538" t="s">
        <v>539</v>
      </c>
      <c r="C538" t="s">
        <v>22</v>
      </c>
      <c r="D538">
        <v>30</v>
      </c>
      <c r="E538">
        <v>15707</v>
      </c>
      <c r="F538">
        <v>471210</v>
      </c>
      <c r="G538" t="s">
        <v>10</v>
      </c>
      <c r="H538" t="s">
        <v>30</v>
      </c>
      <c r="I538" t="str">
        <f>TEXT(tblSales[[#This Row],[Date]],"mmm")</f>
        <v>May</v>
      </c>
    </row>
    <row r="539" spans="1:9" x14ac:dyDescent="0.3">
      <c r="A539" s="1">
        <v>45436</v>
      </c>
      <c r="B539" t="s">
        <v>552</v>
      </c>
      <c r="C539" t="s">
        <v>35</v>
      </c>
      <c r="D539">
        <v>4</v>
      </c>
      <c r="E539">
        <v>44233</v>
      </c>
      <c r="F539">
        <v>176932</v>
      </c>
      <c r="G539" t="s">
        <v>23</v>
      </c>
      <c r="H539" t="s">
        <v>17</v>
      </c>
      <c r="I539" t="str">
        <f>TEXT(tblSales[[#This Row],[Date]],"mmm")</f>
        <v>May</v>
      </c>
    </row>
    <row r="540" spans="1:9" x14ac:dyDescent="0.3">
      <c r="A540" s="1">
        <v>45414</v>
      </c>
      <c r="B540" t="s">
        <v>553</v>
      </c>
      <c r="C540" t="s">
        <v>26</v>
      </c>
      <c r="D540">
        <v>38</v>
      </c>
      <c r="E540">
        <v>35952</v>
      </c>
      <c r="F540">
        <v>1366176</v>
      </c>
      <c r="G540" t="s">
        <v>19</v>
      </c>
      <c r="H540" t="s">
        <v>11</v>
      </c>
      <c r="I540" t="str">
        <f>TEXT(tblSales[[#This Row],[Date]],"mmm")</f>
        <v>May</v>
      </c>
    </row>
    <row r="541" spans="1:9" x14ac:dyDescent="0.3">
      <c r="A541" s="1">
        <v>45439</v>
      </c>
      <c r="B541" t="s">
        <v>570</v>
      </c>
      <c r="C541" t="s">
        <v>22</v>
      </c>
      <c r="D541">
        <v>1</v>
      </c>
      <c r="E541">
        <v>27003</v>
      </c>
      <c r="F541">
        <v>27003</v>
      </c>
      <c r="G541" t="s">
        <v>23</v>
      </c>
      <c r="H541" t="s">
        <v>11</v>
      </c>
      <c r="I541" t="str">
        <f>TEXT(tblSales[[#This Row],[Date]],"mmm")</f>
        <v>May</v>
      </c>
    </row>
    <row r="542" spans="1:9" x14ac:dyDescent="0.3">
      <c r="A542" s="1">
        <v>45437</v>
      </c>
      <c r="B542" t="s">
        <v>589</v>
      </c>
      <c r="C542" t="s">
        <v>26</v>
      </c>
      <c r="D542">
        <v>7</v>
      </c>
      <c r="E542">
        <v>15708</v>
      </c>
      <c r="F542">
        <v>109956</v>
      </c>
      <c r="G542" t="s">
        <v>23</v>
      </c>
      <c r="H542" t="s">
        <v>30</v>
      </c>
      <c r="I542" t="str">
        <f>TEXT(tblSales[[#This Row],[Date]],"mmm")</f>
        <v>May</v>
      </c>
    </row>
    <row r="543" spans="1:9" x14ac:dyDescent="0.3">
      <c r="A543" s="1">
        <v>45417</v>
      </c>
      <c r="B543" t="s">
        <v>590</v>
      </c>
      <c r="C543" t="s">
        <v>26</v>
      </c>
      <c r="D543">
        <v>37</v>
      </c>
      <c r="E543">
        <v>18489</v>
      </c>
      <c r="F543">
        <v>684093</v>
      </c>
      <c r="G543" t="s">
        <v>23</v>
      </c>
      <c r="H543" t="s">
        <v>27</v>
      </c>
      <c r="I543" t="str">
        <f>TEXT(tblSales[[#This Row],[Date]],"mmm")</f>
        <v>May</v>
      </c>
    </row>
    <row r="544" spans="1:9" x14ac:dyDescent="0.3">
      <c r="A544" s="1">
        <v>45432</v>
      </c>
      <c r="B544" t="s">
        <v>599</v>
      </c>
      <c r="C544" t="s">
        <v>22</v>
      </c>
      <c r="D544">
        <v>17</v>
      </c>
      <c r="E544">
        <v>26592</v>
      </c>
      <c r="F544">
        <v>452064</v>
      </c>
      <c r="G544" t="s">
        <v>10</v>
      </c>
      <c r="H544" t="s">
        <v>15</v>
      </c>
      <c r="I544" t="str">
        <f>TEXT(tblSales[[#This Row],[Date]],"mmm")</f>
        <v>May</v>
      </c>
    </row>
    <row r="545" spans="1:9" x14ac:dyDescent="0.3">
      <c r="A545" s="1">
        <v>45441</v>
      </c>
      <c r="B545" t="s">
        <v>607</v>
      </c>
      <c r="C545" t="s">
        <v>13</v>
      </c>
      <c r="D545">
        <v>29</v>
      </c>
      <c r="E545">
        <v>33987</v>
      </c>
      <c r="F545">
        <v>985623</v>
      </c>
      <c r="G545" t="s">
        <v>23</v>
      </c>
      <c r="H545" t="s">
        <v>17</v>
      </c>
      <c r="I545" t="str">
        <f>TEXT(tblSales[[#This Row],[Date]],"mmm")</f>
        <v>May</v>
      </c>
    </row>
    <row r="546" spans="1:9" x14ac:dyDescent="0.3">
      <c r="A546" s="1">
        <v>45429</v>
      </c>
      <c r="B546" t="s">
        <v>616</v>
      </c>
      <c r="C546" t="s">
        <v>26</v>
      </c>
      <c r="D546">
        <v>10</v>
      </c>
      <c r="E546">
        <v>37796</v>
      </c>
      <c r="F546">
        <v>377960</v>
      </c>
      <c r="G546" t="s">
        <v>10</v>
      </c>
      <c r="H546" t="s">
        <v>15</v>
      </c>
      <c r="I546" t="str">
        <f>TEXT(tblSales[[#This Row],[Date]],"mmm")</f>
        <v>May</v>
      </c>
    </row>
    <row r="547" spans="1:9" x14ac:dyDescent="0.3">
      <c r="A547" s="1">
        <v>45432</v>
      </c>
      <c r="B547" t="s">
        <v>619</v>
      </c>
      <c r="C547" t="s">
        <v>26</v>
      </c>
      <c r="D547">
        <v>11</v>
      </c>
      <c r="E547">
        <v>26096</v>
      </c>
      <c r="F547">
        <v>287056</v>
      </c>
      <c r="G547" t="s">
        <v>14</v>
      </c>
      <c r="H547" t="s">
        <v>17</v>
      </c>
      <c r="I547" t="str">
        <f>TEXT(tblSales[[#This Row],[Date]],"mmm")</f>
        <v>May</v>
      </c>
    </row>
    <row r="548" spans="1:9" x14ac:dyDescent="0.3">
      <c r="A548" s="1">
        <v>45432</v>
      </c>
      <c r="B548" t="s">
        <v>638</v>
      </c>
      <c r="C548" t="s">
        <v>35</v>
      </c>
      <c r="D548">
        <v>31</v>
      </c>
      <c r="E548">
        <v>11986</v>
      </c>
      <c r="F548">
        <v>371566</v>
      </c>
      <c r="G548" t="s">
        <v>19</v>
      </c>
      <c r="H548" t="s">
        <v>17</v>
      </c>
      <c r="I548" t="str">
        <f>TEXT(tblSales[[#This Row],[Date]],"mmm")</f>
        <v>May</v>
      </c>
    </row>
    <row r="549" spans="1:9" x14ac:dyDescent="0.3">
      <c r="A549" s="1">
        <v>45413</v>
      </c>
      <c r="B549" t="s">
        <v>649</v>
      </c>
      <c r="C549" t="s">
        <v>22</v>
      </c>
      <c r="D549">
        <v>23</v>
      </c>
      <c r="E549">
        <v>10033</v>
      </c>
      <c r="F549">
        <v>230759</v>
      </c>
      <c r="G549" t="s">
        <v>10</v>
      </c>
      <c r="H549" t="s">
        <v>11</v>
      </c>
      <c r="I549" t="str">
        <f>TEXT(tblSales[[#This Row],[Date]],"mmm")</f>
        <v>May</v>
      </c>
    </row>
    <row r="550" spans="1:9" x14ac:dyDescent="0.3">
      <c r="A550" s="1">
        <v>45441</v>
      </c>
      <c r="B550" t="s">
        <v>654</v>
      </c>
      <c r="C550" t="s">
        <v>13</v>
      </c>
      <c r="D550">
        <v>21</v>
      </c>
      <c r="E550">
        <v>19204</v>
      </c>
      <c r="F550">
        <v>403284</v>
      </c>
      <c r="G550" t="s">
        <v>23</v>
      </c>
      <c r="H550" t="s">
        <v>11</v>
      </c>
      <c r="I550" t="str">
        <f>TEXT(tblSales[[#This Row],[Date]],"mmm")</f>
        <v>May</v>
      </c>
    </row>
    <row r="551" spans="1:9" x14ac:dyDescent="0.3">
      <c r="A551" s="1">
        <v>45425</v>
      </c>
      <c r="B551" t="s">
        <v>663</v>
      </c>
      <c r="C551" t="s">
        <v>13</v>
      </c>
      <c r="D551">
        <v>35</v>
      </c>
      <c r="E551">
        <v>30601</v>
      </c>
      <c r="F551">
        <v>1071035</v>
      </c>
      <c r="G551" t="s">
        <v>14</v>
      </c>
      <c r="H551" t="s">
        <v>15</v>
      </c>
      <c r="I551" t="str">
        <f>TEXT(tblSales[[#This Row],[Date]],"mmm")</f>
        <v>May</v>
      </c>
    </row>
    <row r="552" spans="1:9" x14ac:dyDescent="0.3">
      <c r="A552" s="1">
        <v>45440</v>
      </c>
      <c r="B552" t="s">
        <v>733</v>
      </c>
      <c r="C552" t="s">
        <v>9</v>
      </c>
      <c r="D552">
        <v>1</v>
      </c>
      <c r="E552">
        <v>16185</v>
      </c>
      <c r="F552">
        <v>16185</v>
      </c>
      <c r="G552" t="s">
        <v>19</v>
      </c>
      <c r="H552" t="s">
        <v>15</v>
      </c>
      <c r="I552" t="str">
        <f>TEXT(tblSales[[#This Row],[Date]],"mmm")</f>
        <v>May</v>
      </c>
    </row>
    <row r="553" spans="1:9" x14ac:dyDescent="0.3">
      <c r="A553" s="1">
        <v>45435</v>
      </c>
      <c r="B553" t="s">
        <v>735</v>
      </c>
      <c r="C553" t="s">
        <v>9</v>
      </c>
      <c r="D553">
        <v>14</v>
      </c>
      <c r="E553">
        <v>10857</v>
      </c>
      <c r="F553">
        <v>151998</v>
      </c>
      <c r="G553" t="s">
        <v>10</v>
      </c>
      <c r="H553" t="s">
        <v>30</v>
      </c>
      <c r="I553" t="str">
        <f>TEXT(tblSales[[#This Row],[Date]],"mmm")</f>
        <v>May</v>
      </c>
    </row>
    <row r="554" spans="1:9" x14ac:dyDescent="0.3">
      <c r="A554" s="1">
        <v>45427</v>
      </c>
      <c r="B554" t="s">
        <v>745</v>
      </c>
      <c r="C554" t="s">
        <v>26</v>
      </c>
      <c r="D554">
        <v>21</v>
      </c>
      <c r="E554">
        <v>10054</v>
      </c>
      <c r="F554">
        <v>211134</v>
      </c>
      <c r="G554" t="s">
        <v>10</v>
      </c>
      <c r="H554" t="s">
        <v>27</v>
      </c>
      <c r="I554" t="str">
        <f>TEXT(tblSales[[#This Row],[Date]],"mmm")</f>
        <v>May</v>
      </c>
    </row>
    <row r="555" spans="1:9" x14ac:dyDescent="0.3">
      <c r="A555" s="1">
        <v>45420</v>
      </c>
      <c r="B555" t="s">
        <v>775</v>
      </c>
      <c r="C555" t="s">
        <v>26</v>
      </c>
      <c r="D555">
        <v>3</v>
      </c>
      <c r="E555">
        <v>40583</v>
      </c>
      <c r="F555">
        <v>121749</v>
      </c>
      <c r="G555" t="s">
        <v>23</v>
      </c>
      <c r="H555" t="s">
        <v>15</v>
      </c>
      <c r="I555" t="str">
        <f>TEXT(tblSales[[#This Row],[Date]],"mmm")</f>
        <v>May</v>
      </c>
    </row>
    <row r="556" spans="1:9" x14ac:dyDescent="0.3">
      <c r="A556" s="1">
        <v>45439</v>
      </c>
      <c r="B556" t="s">
        <v>777</v>
      </c>
      <c r="C556" t="s">
        <v>22</v>
      </c>
      <c r="D556">
        <v>26</v>
      </c>
      <c r="E556">
        <v>41769</v>
      </c>
      <c r="F556">
        <v>1085994</v>
      </c>
      <c r="G556" t="s">
        <v>23</v>
      </c>
      <c r="H556" t="s">
        <v>30</v>
      </c>
      <c r="I556" t="str">
        <f>TEXT(tblSales[[#This Row],[Date]],"mmm")</f>
        <v>May</v>
      </c>
    </row>
    <row r="557" spans="1:9" x14ac:dyDescent="0.3">
      <c r="A557" s="1">
        <v>45439</v>
      </c>
      <c r="B557" t="s">
        <v>785</v>
      </c>
      <c r="C557" t="s">
        <v>9</v>
      </c>
      <c r="D557">
        <v>32</v>
      </c>
      <c r="E557">
        <v>7862</v>
      </c>
      <c r="F557">
        <v>251584</v>
      </c>
      <c r="G557" t="s">
        <v>23</v>
      </c>
      <c r="H557" t="s">
        <v>27</v>
      </c>
      <c r="I557" t="str">
        <f>TEXT(tblSales[[#This Row],[Date]],"mmm")</f>
        <v>May</v>
      </c>
    </row>
    <row r="558" spans="1:9" x14ac:dyDescent="0.3">
      <c r="A558" s="1">
        <v>45417</v>
      </c>
      <c r="B558" t="s">
        <v>813</v>
      </c>
      <c r="C558" t="s">
        <v>9</v>
      </c>
      <c r="D558">
        <v>20</v>
      </c>
      <c r="E558">
        <v>32328</v>
      </c>
      <c r="F558">
        <v>646560</v>
      </c>
      <c r="G558" t="s">
        <v>19</v>
      </c>
      <c r="H558" t="s">
        <v>15</v>
      </c>
      <c r="I558" t="str">
        <f>TEXT(tblSales[[#This Row],[Date]],"mmm")</f>
        <v>May</v>
      </c>
    </row>
    <row r="559" spans="1:9" x14ac:dyDescent="0.3">
      <c r="A559" s="1">
        <v>45431</v>
      </c>
      <c r="B559" t="s">
        <v>815</v>
      </c>
      <c r="C559" t="s">
        <v>9</v>
      </c>
      <c r="D559">
        <v>5</v>
      </c>
      <c r="E559">
        <v>21701</v>
      </c>
      <c r="F559">
        <v>108505</v>
      </c>
      <c r="G559" t="s">
        <v>19</v>
      </c>
      <c r="H559" t="s">
        <v>15</v>
      </c>
      <c r="I559" t="str">
        <f>TEXT(tblSales[[#This Row],[Date]],"mmm")</f>
        <v>May</v>
      </c>
    </row>
    <row r="560" spans="1:9" x14ac:dyDescent="0.3">
      <c r="A560" s="1">
        <v>45433</v>
      </c>
      <c r="B560" t="s">
        <v>817</v>
      </c>
      <c r="C560" t="s">
        <v>9</v>
      </c>
      <c r="D560">
        <v>22</v>
      </c>
      <c r="E560">
        <v>35962</v>
      </c>
      <c r="F560">
        <v>791164</v>
      </c>
      <c r="G560" t="s">
        <v>19</v>
      </c>
      <c r="H560" t="s">
        <v>27</v>
      </c>
      <c r="I560" t="str">
        <f>TEXT(tblSales[[#This Row],[Date]],"mmm")</f>
        <v>May</v>
      </c>
    </row>
    <row r="561" spans="1:9" x14ac:dyDescent="0.3">
      <c r="A561" s="1">
        <v>45419</v>
      </c>
      <c r="B561" t="s">
        <v>854</v>
      </c>
      <c r="C561" t="s">
        <v>22</v>
      </c>
      <c r="D561">
        <v>10</v>
      </c>
      <c r="E561">
        <v>22532</v>
      </c>
      <c r="F561">
        <v>225320</v>
      </c>
      <c r="G561" t="s">
        <v>14</v>
      </c>
      <c r="H561" t="s">
        <v>15</v>
      </c>
      <c r="I561" t="str">
        <f>TEXT(tblSales[[#This Row],[Date]],"mmm")</f>
        <v>May</v>
      </c>
    </row>
    <row r="562" spans="1:9" x14ac:dyDescent="0.3">
      <c r="A562" s="1">
        <v>45431</v>
      </c>
      <c r="B562" t="s">
        <v>868</v>
      </c>
      <c r="C562" t="s">
        <v>22</v>
      </c>
      <c r="D562">
        <v>10</v>
      </c>
      <c r="E562">
        <v>33493</v>
      </c>
      <c r="F562">
        <v>334930</v>
      </c>
      <c r="G562" t="s">
        <v>23</v>
      </c>
      <c r="H562" t="s">
        <v>17</v>
      </c>
      <c r="I562" t="str">
        <f>TEXT(tblSales[[#This Row],[Date]],"mmm")</f>
        <v>May</v>
      </c>
    </row>
    <row r="563" spans="1:9" x14ac:dyDescent="0.3">
      <c r="A563" s="1">
        <v>45420</v>
      </c>
      <c r="B563" t="s">
        <v>875</v>
      </c>
      <c r="C563" t="s">
        <v>35</v>
      </c>
      <c r="D563">
        <v>30</v>
      </c>
      <c r="E563">
        <v>31106</v>
      </c>
      <c r="F563">
        <v>933180</v>
      </c>
      <c r="G563" t="s">
        <v>14</v>
      </c>
      <c r="H563" t="s">
        <v>15</v>
      </c>
      <c r="I563" t="str">
        <f>TEXT(tblSales[[#This Row],[Date]],"mmm")</f>
        <v>May</v>
      </c>
    </row>
    <row r="564" spans="1:9" x14ac:dyDescent="0.3">
      <c r="A564" s="1">
        <v>45416</v>
      </c>
      <c r="B564" t="s">
        <v>882</v>
      </c>
      <c r="C564" t="s">
        <v>35</v>
      </c>
      <c r="D564">
        <v>6</v>
      </c>
      <c r="E564">
        <v>39309</v>
      </c>
      <c r="F564">
        <v>235854</v>
      </c>
      <c r="G564" t="s">
        <v>14</v>
      </c>
      <c r="H564" t="s">
        <v>27</v>
      </c>
      <c r="I564" t="str">
        <f>TEXT(tblSales[[#This Row],[Date]],"mmm")</f>
        <v>May</v>
      </c>
    </row>
    <row r="565" spans="1:9" x14ac:dyDescent="0.3">
      <c r="A565" s="1">
        <v>45440</v>
      </c>
      <c r="B565" t="s">
        <v>911</v>
      </c>
      <c r="C565" t="s">
        <v>35</v>
      </c>
      <c r="D565">
        <v>38</v>
      </c>
      <c r="E565">
        <v>19085</v>
      </c>
      <c r="F565">
        <v>725230</v>
      </c>
      <c r="G565" t="s">
        <v>14</v>
      </c>
      <c r="H565" t="s">
        <v>17</v>
      </c>
      <c r="I565" t="str">
        <f>TEXT(tblSales[[#This Row],[Date]],"mmm")</f>
        <v>May</v>
      </c>
    </row>
    <row r="566" spans="1:9" x14ac:dyDescent="0.3">
      <c r="A566" s="1">
        <v>45430</v>
      </c>
      <c r="B566" t="s">
        <v>916</v>
      </c>
      <c r="C566" t="s">
        <v>9</v>
      </c>
      <c r="D566">
        <v>15</v>
      </c>
      <c r="E566">
        <v>29505</v>
      </c>
      <c r="F566">
        <v>442575</v>
      </c>
      <c r="G566" t="s">
        <v>10</v>
      </c>
      <c r="H566" t="s">
        <v>15</v>
      </c>
      <c r="I566" t="str">
        <f>TEXT(tblSales[[#This Row],[Date]],"mmm")</f>
        <v>May</v>
      </c>
    </row>
    <row r="567" spans="1:9" x14ac:dyDescent="0.3">
      <c r="A567" s="1">
        <v>45418</v>
      </c>
      <c r="B567" t="s">
        <v>920</v>
      </c>
      <c r="C567" t="s">
        <v>22</v>
      </c>
      <c r="D567">
        <v>19</v>
      </c>
      <c r="E567">
        <v>15247</v>
      </c>
      <c r="F567">
        <v>289693</v>
      </c>
      <c r="G567" t="s">
        <v>10</v>
      </c>
      <c r="H567" t="s">
        <v>30</v>
      </c>
      <c r="I567" t="str">
        <f>TEXT(tblSales[[#This Row],[Date]],"mmm")</f>
        <v>May</v>
      </c>
    </row>
    <row r="568" spans="1:9" x14ac:dyDescent="0.3">
      <c r="A568" s="1">
        <v>45424</v>
      </c>
      <c r="B568" t="s">
        <v>921</v>
      </c>
      <c r="C568" t="s">
        <v>26</v>
      </c>
      <c r="D568">
        <v>9</v>
      </c>
      <c r="E568">
        <v>41254</v>
      </c>
      <c r="F568">
        <v>371286</v>
      </c>
      <c r="G568" t="s">
        <v>23</v>
      </c>
      <c r="H568" t="s">
        <v>17</v>
      </c>
      <c r="I568" t="str">
        <f>TEXT(tblSales[[#This Row],[Date]],"mmm")</f>
        <v>May</v>
      </c>
    </row>
    <row r="569" spans="1:9" x14ac:dyDescent="0.3">
      <c r="A569" s="1">
        <v>45413</v>
      </c>
      <c r="B569" t="s">
        <v>958</v>
      </c>
      <c r="C569" t="s">
        <v>35</v>
      </c>
      <c r="D569">
        <v>21</v>
      </c>
      <c r="E569">
        <v>40070</v>
      </c>
      <c r="F569">
        <v>841470</v>
      </c>
      <c r="G569" t="s">
        <v>14</v>
      </c>
      <c r="H569" t="s">
        <v>27</v>
      </c>
      <c r="I569" t="str">
        <f>TEXT(tblSales[[#This Row],[Date]],"mmm")</f>
        <v>May</v>
      </c>
    </row>
    <row r="570" spans="1:9" x14ac:dyDescent="0.3">
      <c r="A570" s="1">
        <v>45415</v>
      </c>
      <c r="B570" t="s">
        <v>962</v>
      </c>
      <c r="C570" t="s">
        <v>22</v>
      </c>
      <c r="D570">
        <v>39</v>
      </c>
      <c r="E570">
        <v>11992</v>
      </c>
      <c r="F570">
        <v>467688</v>
      </c>
      <c r="G570" t="s">
        <v>19</v>
      </c>
      <c r="H570" t="s">
        <v>11</v>
      </c>
      <c r="I570" t="str">
        <f>TEXT(tblSales[[#This Row],[Date]],"mmm")</f>
        <v>May</v>
      </c>
    </row>
    <row r="571" spans="1:9" x14ac:dyDescent="0.3">
      <c r="A571" s="1">
        <v>45415</v>
      </c>
      <c r="B571" t="s">
        <v>966</v>
      </c>
      <c r="C571" t="s">
        <v>26</v>
      </c>
      <c r="D571">
        <v>33</v>
      </c>
      <c r="E571">
        <v>23157</v>
      </c>
      <c r="F571">
        <v>764181</v>
      </c>
      <c r="G571" t="s">
        <v>10</v>
      </c>
      <c r="H571" t="s">
        <v>27</v>
      </c>
      <c r="I571" t="str">
        <f>TEXT(tblSales[[#This Row],[Date]],"mmm")</f>
        <v>May</v>
      </c>
    </row>
    <row r="572" spans="1:9" x14ac:dyDescent="0.3">
      <c r="A572" s="1">
        <v>45433</v>
      </c>
      <c r="B572" t="s">
        <v>974</v>
      </c>
      <c r="C572" t="s">
        <v>26</v>
      </c>
      <c r="D572">
        <v>8</v>
      </c>
      <c r="E572">
        <v>40529</v>
      </c>
      <c r="F572">
        <v>324232</v>
      </c>
      <c r="G572" t="s">
        <v>14</v>
      </c>
      <c r="H572" t="s">
        <v>27</v>
      </c>
      <c r="I572" t="str">
        <f>TEXT(tblSales[[#This Row],[Date]],"mmm")</f>
        <v>May</v>
      </c>
    </row>
    <row r="573" spans="1:9" x14ac:dyDescent="0.3">
      <c r="A573" s="1">
        <v>45442</v>
      </c>
      <c r="B573" t="s">
        <v>975</v>
      </c>
      <c r="C573" t="s">
        <v>22</v>
      </c>
      <c r="D573">
        <v>14</v>
      </c>
      <c r="E573">
        <v>17400</v>
      </c>
      <c r="F573">
        <v>243600</v>
      </c>
      <c r="G573" t="s">
        <v>23</v>
      </c>
      <c r="H573" t="s">
        <v>11</v>
      </c>
      <c r="I573" t="str">
        <f>TEXT(tblSales[[#This Row],[Date]],"mmm")</f>
        <v>May</v>
      </c>
    </row>
    <row r="574" spans="1:9" x14ac:dyDescent="0.3">
      <c r="A574" s="1">
        <v>45442</v>
      </c>
      <c r="B574" t="s">
        <v>977</v>
      </c>
      <c r="C574" t="s">
        <v>22</v>
      </c>
      <c r="D574">
        <v>30</v>
      </c>
      <c r="E574">
        <v>16303</v>
      </c>
      <c r="F574">
        <v>489090</v>
      </c>
      <c r="G574" t="s">
        <v>10</v>
      </c>
      <c r="H574" t="s">
        <v>27</v>
      </c>
      <c r="I574" t="str">
        <f>TEXT(tblSales[[#This Row],[Date]],"mmm")</f>
        <v>May</v>
      </c>
    </row>
    <row r="575" spans="1:9" x14ac:dyDescent="0.3">
      <c r="A575" s="1">
        <v>45421</v>
      </c>
      <c r="B575" t="s">
        <v>982</v>
      </c>
      <c r="C575" t="s">
        <v>26</v>
      </c>
      <c r="D575">
        <v>8</v>
      </c>
      <c r="E575">
        <v>39519</v>
      </c>
      <c r="F575">
        <v>316152</v>
      </c>
      <c r="G575" t="s">
        <v>19</v>
      </c>
      <c r="H575" t="s">
        <v>15</v>
      </c>
      <c r="I575" t="str">
        <f>TEXT(tblSales[[#This Row],[Date]],"mmm")</f>
        <v>May</v>
      </c>
    </row>
    <row r="576" spans="1:9" x14ac:dyDescent="0.3">
      <c r="A576" s="1">
        <v>45428</v>
      </c>
      <c r="B576" t="s">
        <v>983</v>
      </c>
      <c r="C576" t="s">
        <v>9</v>
      </c>
      <c r="D576">
        <v>3</v>
      </c>
      <c r="E576">
        <v>42457</v>
      </c>
      <c r="F576">
        <v>127371</v>
      </c>
      <c r="G576" t="s">
        <v>10</v>
      </c>
      <c r="H576" t="s">
        <v>27</v>
      </c>
      <c r="I576" t="str">
        <f>TEXT(tblSales[[#This Row],[Date]],"mmm")</f>
        <v>May</v>
      </c>
    </row>
    <row r="577" spans="1:9" x14ac:dyDescent="0.3">
      <c r="A577" s="1">
        <v>45434</v>
      </c>
      <c r="B577" t="s">
        <v>1005</v>
      </c>
      <c r="C577" t="s">
        <v>35</v>
      </c>
      <c r="D577">
        <v>20</v>
      </c>
      <c r="E577">
        <v>27709</v>
      </c>
      <c r="F577">
        <v>554180</v>
      </c>
      <c r="G577" t="s">
        <v>19</v>
      </c>
      <c r="H577" t="s">
        <v>27</v>
      </c>
      <c r="I577" t="str">
        <f>TEXT(tblSales[[#This Row],[Date]],"mmm")</f>
        <v>May</v>
      </c>
    </row>
    <row r="578" spans="1:9" x14ac:dyDescent="0.3">
      <c r="A578" s="1">
        <v>45421</v>
      </c>
      <c r="B578" t="s">
        <v>1006</v>
      </c>
      <c r="C578" t="s">
        <v>35</v>
      </c>
      <c r="D578">
        <v>23</v>
      </c>
      <c r="E578">
        <v>34553</v>
      </c>
      <c r="F578">
        <v>794719</v>
      </c>
      <c r="G578" t="s">
        <v>19</v>
      </c>
      <c r="H578" t="s">
        <v>27</v>
      </c>
      <c r="I578" t="str">
        <f>TEXT(tblSales[[#This Row],[Date]],"mmm")</f>
        <v>May</v>
      </c>
    </row>
    <row r="579" spans="1:9" x14ac:dyDescent="0.3">
      <c r="A579" s="1">
        <v>45440</v>
      </c>
      <c r="B579" t="s">
        <v>1012</v>
      </c>
      <c r="C579" t="s">
        <v>22</v>
      </c>
      <c r="D579">
        <v>40</v>
      </c>
      <c r="E579">
        <v>28566</v>
      </c>
      <c r="F579">
        <v>1142640</v>
      </c>
      <c r="G579" t="s">
        <v>23</v>
      </c>
      <c r="H579" t="s">
        <v>30</v>
      </c>
      <c r="I579" t="str">
        <f>TEXT(tblSales[[#This Row],[Date]],"mmm")</f>
        <v>May</v>
      </c>
    </row>
    <row r="580" spans="1:9" x14ac:dyDescent="0.3">
      <c r="A580" s="1">
        <v>45420</v>
      </c>
      <c r="B580" t="s">
        <v>1025</v>
      </c>
      <c r="C580" t="s">
        <v>35</v>
      </c>
      <c r="D580">
        <v>38</v>
      </c>
      <c r="E580">
        <v>9319</v>
      </c>
      <c r="F580">
        <v>354122</v>
      </c>
      <c r="G580" t="s">
        <v>23</v>
      </c>
      <c r="H580" t="s">
        <v>30</v>
      </c>
      <c r="I580" t="str">
        <f>TEXT(tblSales[[#This Row],[Date]],"mmm")</f>
        <v>May</v>
      </c>
    </row>
    <row r="581" spans="1:9" x14ac:dyDescent="0.3">
      <c r="A581" s="1">
        <v>45421</v>
      </c>
      <c r="B581" t="s">
        <v>1030</v>
      </c>
      <c r="C581" t="s">
        <v>35</v>
      </c>
      <c r="D581">
        <v>30</v>
      </c>
      <c r="E581">
        <v>34185</v>
      </c>
      <c r="F581">
        <v>1025550</v>
      </c>
      <c r="G581" t="s">
        <v>23</v>
      </c>
      <c r="H581" t="s">
        <v>30</v>
      </c>
      <c r="I581" t="str">
        <f>TEXT(tblSales[[#This Row],[Date]],"mmm")</f>
        <v>May</v>
      </c>
    </row>
    <row r="582" spans="1:9" x14ac:dyDescent="0.3">
      <c r="A582" s="1">
        <v>45429</v>
      </c>
      <c r="B582" t="s">
        <v>1032</v>
      </c>
      <c r="C582" t="s">
        <v>26</v>
      </c>
      <c r="D582">
        <v>7</v>
      </c>
      <c r="E582">
        <v>25648</v>
      </c>
      <c r="F582">
        <v>179536</v>
      </c>
      <c r="G582" t="s">
        <v>14</v>
      </c>
      <c r="H582" t="s">
        <v>27</v>
      </c>
      <c r="I582" t="str">
        <f>TEXT(tblSales[[#This Row],[Date]],"mmm")</f>
        <v>May</v>
      </c>
    </row>
    <row r="583" spans="1:9" x14ac:dyDescent="0.3">
      <c r="A583" s="1">
        <v>45439</v>
      </c>
      <c r="B583" t="s">
        <v>1047</v>
      </c>
      <c r="C583" t="s">
        <v>22</v>
      </c>
      <c r="D583">
        <v>13</v>
      </c>
      <c r="E583">
        <v>21273</v>
      </c>
      <c r="F583">
        <v>276549</v>
      </c>
      <c r="G583" t="s">
        <v>23</v>
      </c>
      <c r="H583" t="s">
        <v>30</v>
      </c>
      <c r="I583" t="str">
        <f>TEXT(tblSales[[#This Row],[Date]],"mmm")</f>
        <v>May</v>
      </c>
    </row>
    <row r="584" spans="1:9" x14ac:dyDescent="0.3">
      <c r="A584" s="1">
        <v>45439</v>
      </c>
      <c r="B584" t="s">
        <v>1056</v>
      </c>
      <c r="C584" t="s">
        <v>9</v>
      </c>
      <c r="D584">
        <v>13</v>
      </c>
      <c r="E584">
        <v>22938</v>
      </c>
      <c r="F584">
        <v>298194</v>
      </c>
      <c r="G584" t="s">
        <v>14</v>
      </c>
      <c r="H584" t="s">
        <v>30</v>
      </c>
      <c r="I584" t="str">
        <f>TEXT(tblSales[[#This Row],[Date]],"mmm")</f>
        <v>May</v>
      </c>
    </row>
    <row r="585" spans="1:9" x14ac:dyDescent="0.3">
      <c r="A585" s="1">
        <v>45442</v>
      </c>
      <c r="B585" t="s">
        <v>1063</v>
      </c>
      <c r="C585" t="s">
        <v>9</v>
      </c>
      <c r="D585">
        <v>24</v>
      </c>
      <c r="E585">
        <v>25208</v>
      </c>
      <c r="F585">
        <v>604992</v>
      </c>
      <c r="G585" t="s">
        <v>19</v>
      </c>
      <c r="H585" t="s">
        <v>27</v>
      </c>
      <c r="I585" t="str">
        <f>TEXT(tblSales[[#This Row],[Date]],"mmm")</f>
        <v>May</v>
      </c>
    </row>
    <row r="586" spans="1:9" x14ac:dyDescent="0.3">
      <c r="A586" s="1">
        <v>45432</v>
      </c>
      <c r="B586" t="s">
        <v>1065</v>
      </c>
      <c r="C586" t="s">
        <v>9</v>
      </c>
      <c r="D586">
        <v>9</v>
      </c>
      <c r="E586">
        <v>41167</v>
      </c>
      <c r="F586">
        <v>370503</v>
      </c>
      <c r="G586" t="s">
        <v>14</v>
      </c>
      <c r="H586" t="s">
        <v>30</v>
      </c>
      <c r="I586" t="str">
        <f>TEXT(tblSales[[#This Row],[Date]],"mmm")</f>
        <v>May</v>
      </c>
    </row>
    <row r="587" spans="1:9" x14ac:dyDescent="0.3">
      <c r="A587" s="1">
        <v>45429</v>
      </c>
      <c r="B587" t="s">
        <v>1074</v>
      </c>
      <c r="C587" t="s">
        <v>13</v>
      </c>
      <c r="D587">
        <v>13</v>
      </c>
      <c r="E587">
        <v>35243</v>
      </c>
      <c r="F587">
        <v>458159</v>
      </c>
      <c r="G587" t="s">
        <v>23</v>
      </c>
      <c r="H587" t="s">
        <v>11</v>
      </c>
      <c r="I587" t="str">
        <f>TEXT(tblSales[[#This Row],[Date]],"mmm")</f>
        <v>May</v>
      </c>
    </row>
    <row r="588" spans="1:9" x14ac:dyDescent="0.3">
      <c r="A588" s="1">
        <v>45423</v>
      </c>
      <c r="B588" t="s">
        <v>1079</v>
      </c>
      <c r="C588" t="s">
        <v>9</v>
      </c>
      <c r="D588">
        <v>13</v>
      </c>
      <c r="E588">
        <v>19197</v>
      </c>
      <c r="F588">
        <v>249561</v>
      </c>
      <c r="G588" t="s">
        <v>23</v>
      </c>
      <c r="H588" t="s">
        <v>30</v>
      </c>
      <c r="I588" t="str">
        <f>TEXT(tblSales[[#This Row],[Date]],"mmm")</f>
        <v>May</v>
      </c>
    </row>
    <row r="589" spans="1:9" x14ac:dyDescent="0.3">
      <c r="A589" s="1">
        <v>45423</v>
      </c>
      <c r="B589" t="s">
        <v>1082</v>
      </c>
      <c r="C589" t="s">
        <v>9</v>
      </c>
      <c r="D589">
        <v>16</v>
      </c>
      <c r="E589">
        <v>41997</v>
      </c>
      <c r="F589">
        <v>671952</v>
      </c>
      <c r="G589" t="s">
        <v>10</v>
      </c>
      <c r="H589" t="s">
        <v>17</v>
      </c>
      <c r="I589" t="str">
        <f>TEXT(tblSales[[#This Row],[Date]],"mmm")</f>
        <v>May</v>
      </c>
    </row>
    <row r="590" spans="1:9" x14ac:dyDescent="0.3">
      <c r="A590" s="1">
        <v>45442</v>
      </c>
      <c r="B590" t="s">
        <v>1090</v>
      </c>
      <c r="C590" t="s">
        <v>22</v>
      </c>
      <c r="D590">
        <v>25</v>
      </c>
      <c r="E590">
        <v>24437</v>
      </c>
      <c r="F590">
        <v>610925</v>
      </c>
      <c r="G590" t="s">
        <v>10</v>
      </c>
      <c r="H590" t="s">
        <v>11</v>
      </c>
      <c r="I590" t="str">
        <f>TEXT(tblSales[[#This Row],[Date]],"mmm")</f>
        <v>May</v>
      </c>
    </row>
    <row r="591" spans="1:9" x14ac:dyDescent="0.3">
      <c r="A591" s="1">
        <v>45425</v>
      </c>
      <c r="B591" t="s">
        <v>1102</v>
      </c>
      <c r="C591" t="s">
        <v>26</v>
      </c>
      <c r="D591">
        <v>4</v>
      </c>
      <c r="E591">
        <v>42697</v>
      </c>
      <c r="F591">
        <v>170788</v>
      </c>
      <c r="G591" t="s">
        <v>10</v>
      </c>
      <c r="H591" t="s">
        <v>27</v>
      </c>
      <c r="I591" t="str">
        <f>TEXT(tblSales[[#This Row],[Date]],"mmm")</f>
        <v>May</v>
      </c>
    </row>
    <row r="592" spans="1:9" x14ac:dyDescent="0.3">
      <c r="A592" s="1">
        <v>45438</v>
      </c>
      <c r="B592" t="s">
        <v>1119</v>
      </c>
      <c r="C592" t="s">
        <v>35</v>
      </c>
      <c r="D592">
        <v>17</v>
      </c>
      <c r="E592">
        <v>17160</v>
      </c>
      <c r="F592">
        <v>291720</v>
      </c>
      <c r="G592" t="s">
        <v>10</v>
      </c>
      <c r="H592" t="s">
        <v>15</v>
      </c>
      <c r="I592" t="str">
        <f>TEXT(tblSales[[#This Row],[Date]],"mmm")</f>
        <v>May</v>
      </c>
    </row>
    <row r="593" spans="1:9" x14ac:dyDescent="0.3">
      <c r="A593" s="1">
        <v>45416</v>
      </c>
      <c r="B593" t="s">
        <v>1166</v>
      </c>
      <c r="C593" t="s">
        <v>22</v>
      </c>
      <c r="D593">
        <v>22</v>
      </c>
      <c r="E593">
        <v>44779</v>
      </c>
      <c r="F593">
        <v>985138</v>
      </c>
      <c r="G593" t="s">
        <v>23</v>
      </c>
      <c r="H593" t="s">
        <v>30</v>
      </c>
      <c r="I593" t="str">
        <f>TEXT(tblSales[[#This Row],[Date]],"mmm")</f>
        <v>May</v>
      </c>
    </row>
    <row r="594" spans="1:9" x14ac:dyDescent="0.3">
      <c r="A594" s="1">
        <v>45422</v>
      </c>
      <c r="B594" t="s">
        <v>1168</v>
      </c>
      <c r="C594" t="s">
        <v>35</v>
      </c>
      <c r="D594">
        <v>32</v>
      </c>
      <c r="E594">
        <v>41779</v>
      </c>
      <c r="F594">
        <v>1336928</v>
      </c>
      <c r="G594" t="s">
        <v>14</v>
      </c>
      <c r="H594" t="s">
        <v>11</v>
      </c>
      <c r="I594" t="str">
        <f>TEXT(tblSales[[#This Row],[Date]],"mmm")</f>
        <v>May</v>
      </c>
    </row>
    <row r="595" spans="1:9" x14ac:dyDescent="0.3">
      <c r="A595" s="1">
        <v>45438</v>
      </c>
      <c r="B595" t="s">
        <v>1173</v>
      </c>
      <c r="C595" t="s">
        <v>35</v>
      </c>
      <c r="D595">
        <v>28</v>
      </c>
      <c r="E595">
        <v>28987</v>
      </c>
      <c r="F595">
        <v>811636</v>
      </c>
      <c r="G595" t="s">
        <v>19</v>
      </c>
      <c r="H595" t="s">
        <v>11</v>
      </c>
      <c r="I595" t="str">
        <f>TEXT(tblSales[[#This Row],[Date]],"mmm")</f>
        <v>May</v>
      </c>
    </row>
    <row r="596" spans="1:9" x14ac:dyDescent="0.3">
      <c r="A596" s="1">
        <v>45427</v>
      </c>
      <c r="B596" t="s">
        <v>1175</v>
      </c>
      <c r="C596" t="s">
        <v>13</v>
      </c>
      <c r="D596">
        <v>9</v>
      </c>
      <c r="E596">
        <v>40567</v>
      </c>
      <c r="F596">
        <v>365103</v>
      </c>
      <c r="G596" t="s">
        <v>19</v>
      </c>
      <c r="H596" t="s">
        <v>27</v>
      </c>
      <c r="I596" t="str">
        <f>TEXT(tblSales[[#This Row],[Date]],"mmm")</f>
        <v>May</v>
      </c>
    </row>
    <row r="597" spans="1:9" x14ac:dyDescent="0.3">
      <c r="A597" s="1">
        <v>45438</v>
      </c>
      <c r="B597" t="s">
        <v>1191</v>
      </c>
      <c r="C597" t="s">
        <v>13</v>
      </c>
      <c r="D597">
        <v>24</v>
      </c>
      <c r="E597">
        <v>19316</v>
      </c>
      <c r="F597">
        <v>463584</v>
      </c>
      <c r="G597" t="s">
        <v>19</v>
      </c>
      <c r="H597" t="s">
        <v>15</v>
      </c>
      <c r="I597" t="str">
        <f>TEXT(tblSales[[#This Row],[Date]],"mmm")</f>
        <v>May</v>
      </c>
    </row>
    <row r="598" spans="1:9" x14ac:dyDescent="0.3">
      <c r="A598" s="1">
        <v>45432</v>
      </c>
      <c r="B598" t="s">
        <v>1197</v>
      </c>
      <c r="C598" t="s">
        <v>22</v>
      </c>
      <c r="D598">
        <v>28</v>
      </c>
      <c r="E598">
        <v>32868</v>
      </c>
      <c r="F598">
        <v>920304</v>
      </c>
      <c r="G598" t="s">
        <v>10</v>
      </c>
      <c r="H598" t="s">
        <v>30</v>
      </c>
      <c r="I598" t="str">
        <f>TEXT(tblSales[[#This Row],[Date]],"mmm")</f>
        <v>May</v>
      </c>
    </row>
    <row r="599" spans="1:9" x14ac:dyDescent="0.3">
      <c r="A599" s="1">
        <v>45413</v>
      </c>
      <c r="B599" t="s">
        <v>1219</v>
      </c>
      <c r="C599" t="s">
        <v>35</v>
      </c>
      <c r="D599">
        <v>21</v>
      </c>
      <c r="E599">
        <v>17059</v>
      </c>
      <c r="F599">
        <v>358239</v>
      </c>
      <c r="G599" t="s">
        <v>19</v>
      </c>
      <c r="H599" t="s">
        <v>17</v>
      </c>
      <c r="I599" t="str">
        <f>TEXT(tblSales[[#This Row],[Date]],"mmm")</f>
        <v>May</v>
      </c>
    </row>
    <row r="600" spans="1:9" x14ac:dyDescent="0.3">
      <c r="A600" s="1">
        <v>45424</v>
      </c>
      <c r="B600" t="s">
        <v>1222</v>
      </c>
      <c r="C600" t="s">
        <v>9</v>
      </c>
      <c r="D600">
        <v>26</v>
      </c>
      <c r="E600">
        <v>32410</v>
      </c>
      <c r="F600">
        <v>842660</v>
      </c>
      <c r="G600" t="s">
        <v>14</v>
      </c>
      <c r="H600" t="s">
        <v>15</v>
      </c>
      <c r="I600" t="str">
        <f>TEXT(tblSales[[#This Row],[Date]],"mmm")</f>
        <v>May</v>
      </c>
    </row>
    <row r="601" spans="1:9" x14ac:dyDescent="0.3">
      <c r="A601" s="1">
        <v>45435</v>
      </c>
      <c r="B601" t="s">
        <v>1225</v>
      </c>
      <c r="C601" t="s">
        <v>22</v>
      </c>
      <c r="D601">
        <v>27</v>
      </c>
      <c r="E601">
        <v>33860</v>
      </c>
      <c r="F601">
        <v>914220</v>
      </c>
      <c r="G601" t="s">
        <v>19</v>
      </c>
      <c r="H601" t="s">
        <v>17</v>
      </c>
      <c r="I601" t="str">
        <f>TEXT(tblSales[[#This Row],[Date]],"mmm")</f>
        <v>May</v>
      </c>
    </row>
    <row r="602" spans="1:9" x14ac:dyDescent="0.3">
      <c r="A602" s="1">
        <v>45420</v>
      </c>
      <c r="B602" t="s">
        <v>1240</v>
      </c>
      <c r="C602" t="s">
        <v>13</v>
      </c>
      <c r="D602">
        <v>15</v>
      </c>
      <c r="E602">
        <v>43299</v>
      </c>
      <c r="F602">
        <v>649485</v>
      </c>
      <c r="G602" t="s">
        <v>14</v>
      </c>
      <c r="H602" t="s">
        <v>11</v>
      </c>
      <c r="I602" t="str">
        <f>TEXT(tblSales[[#This Row],[Date]],"mmm")</f>
        <v>May</v>
      </c>
    </row>
    <row r="603" spans="1:9" x14ac:dyDescent="0.3">
      <c r="A603" s="1">
        <v>45414</v>
      </c>
      <c r="B603" t="s">
        <v>1253</v>
      </c>
      <c r="C603" t="s">
        <v>22</v>
      </c>
      <c r="D603">
        <v>35</v>
      </c>
      <c r="E603">
        <v>13850</v>
      </c>
      <c r="F603">
        <v>484750</v>
      </c>
      <c r="G603" t="s">
        <v>14</v>
      </c>
      <c r="H603" t="s">
        <v>17</v>
      </c>
      <c r="I603" t="str">
        <f>TEXT(tblSales[[#This Row],[Date]],"mmm")</f>
        <v>May</v>
      </c>
    </row>
    <row r="604" spans="1:9" x14ac:dyDescent="0.3">
      <c r="A604" s="1">
        <v>45420</v>
      </c>
      <c r="B604" t="s">
        <v>1254</v>
      </c>
      <c r="C604" t="s">
        <v>26</v>
      </c>
      <c r="D604">
        <v>24</v>
      </c>
      <c r="E604">
        <v>20120</v>
      </c>
      <c r="F604">
        <v>482880</v>
      </c>
      <c r="G604" t="s">
        <v>19</v>
      </c>
      <c r="H604" t="s">
        <v>15</v>
      </c>
      <c r="I604" t="str">
        <f>TEXT(tblSales[[#This Row],[Date]],"mmm")</f>
        <v>May</v>
      </c>
    </row>
    <row r="605" spans="1:9" x14ac:dyDescent="0.3">
      <c r="A605" s="1">
        <v>45427</v>
      </c>
      <c r="B605" t="s">
        <v>1259</v>
      </c>
      <c r="C605" t="s">
        <v>9</v>
      </c>
      <c r="D605">
        <v>2</v>
      </c>
      <c r="E605">
        <v>24694</v>
      </c>
      <c r="F605">
        <v>49388</v>
      </c>
      <c r="G605" t="s">
        <v>19</v>
      </c>
      <c r="H605" t="s">
        <v>15</v>
      </c>
      <c r="I605" t="str">
        <f>TEXT(tblSales[[#This Row],[Date]],"mmm")</f>
        <v>May</v>
      </c>
    </row>
    <row r="606" spans="1:9" x14ac:dyDescent="0.3">
      <c r="A606" s="1">
        <v>45427</v>
      </c>
      <c r="B606" t="s">
        <v>1262</v>
      </c>
      <c r="C606" t="s">
        <v>35</v>
      </c>
      <c r="D606">
        <v>29</v>
      </c>
      <c r="E606">
        <v>43625</v>
      </c>
      <c r="F606">
        <v>1265125</v>
      </c>
      <c r="G606" t="s">
        <v>10</v>
      </c>
      <c r="H606" t="s">
        <v>11</v>
      </c>
      <c r="I606" t="str">
        <f>TEXT(tblSales[[#This Row],[Date]],"mmm")</f>
        <v>May</v>
      </c>
    </row>
    <row r="607" spans="1:9" x14ac:dyDescent="0.3">
      <c r="A607" s="1">
        <v>45441</v>
      </c>
      <c r="B607" t="s">
        <v>1274</v>
      </c>
      <c r="C607" t="s">
        <v>26</v>
      </c>
      <c r="D607">
        <v>29</v>
      </c>
      <c r="E607">
        <v>22506</v>
      </c>
      <c r="F607">
        <v>652674</v>
      </c>
      <c r="G607" t="s">
        <v>10</v>
      </c>
      <c r="H607" t="s">
        <v>15</v>
      </c>
      <c r="I607" t="str">
        <f>TEXT(tblSales[[#This Row],[Date]],"mmm")</f>
        <v>May</v>
      </c>
    </row>
    <row r="608" spans="1:9" x14ac:dyDescent="0.3">
      <c r="A608" s="1">
        <v>45425</v>
      </c>
      <c r="B608" t="s">
        <v>1319</v>
      </c>
      <c r="C608" t="s">
        <v>26</v>
      </c>
      <c r="D608">
        <v>1</v>
      </c>
      <c r="E608">
        <v>11142</v>
      </c>
      <c r="F608">
        <v>11142</v>
      </c>
      <c r="G608" t="s">
        <v>23</v>
      </c>
      <c r="H608" t="s">
        <v>30</v>
      </c>
      <c r="I608" t="str">
        <f>TEXT(tblSales[[#This Row],[Date]],"mmm")</f>
        <v>May</v>
      </c>
    </row>
    <row r="609" spans="1:9" x14ac:dyDescent="0.3">
      <c r="A609" s="1">
        <v>45417</v>
      </c>
      <c r="B609" t="s">
        <v>1336</v>
      </c>
      <c r="C609" t="s">
        <v>26</v>
      </c>
      <c r="D609">
        <v>24</v>
      </c>
      <c r="E609">
        <v>29920</v>
      </c>
      <c r="F609">
        <v>718080</v>
      </c>
      <c r="G609" t="s">
        <v>19</v>
      </c>
      <c r="H609" t="s">
        <v>27</v>
      </c>
      <c r="I609" t="str">
        <f>TEXT(tblSales[[#This Row],[Date]],"mmm")</f>
        <v>May</v>
      </c>
    </row>
    <row r="610" spans="1:9" x14ac:dyDescent="0.3">
      <c r="A610" s="1">
        <v>45420</v>
      </c>
      <c r="B610" t="s">
        <v>1338</v>
      </c>
      <c r="C610" t="s">
        <v>26</v>
      </c>
      <c r="D610">
        <v>40</v>
      </c>
      <c r="E610">
        <v>32167</v>
      </c>
      <c r="F610">
        <v>1286680</v>
      </c>
      <c r="G610" t="s">
        <v>19</v>
      </c>
      <c r="H610" t="s">
        <v>17</v>
      </c>
      <c r="I610" t="str">
        <f>TEXT(tblSales[[#This Row],[Date]],"mmm")</f>
        <v>May</v>
      </c>
    </row>
    <row r="611" spans="1:9" x14ac:dyDescent="0.3">
      <c r="A611" s="1">
        <v>45413</v>
      </c>
      <c r="B611" t="s">
        <v>1345</v>
      </c>
      <c r="C611" t="s">
        <v>22</v>
      </c>
      <c r="D611">
        <v>13</v>
      </c>
      <c r="E611">
        <v>14244</v>
      </c>
      <c r="F611">
        <v>185172</v>
      </c>
      <c r="G611" t="s">
        <v>23</v>
      </c>
      <c r="H611" t="s">
        <v>27</v>
      </c>
      <c r="I611" t="str">
        <f>TEXT(tblSales[[#This Row],[Date]],"mmm")</f>
        <v>May</v>
      </c>
    </row>
    <row r="612" spans="1:9" x14ac:dyDescent="0.3">
      <c r="A612" s="1">
        <v>45442</v>
      </c>
      <c r="B612" t="s">
        <v>1350</v>
      </c>
      <c r="C612" t="s">
        <v>35</v>
      </c>
      <c r="D612">
        <v>38</v>
      </c>
      <c r="E612">
        <v>19483</v>
      </c>
      <c r="F612">
        <v>740354</v>
      </c>
      <c r="G612" t="s">
        <v>14</v>
      </c>
      <c r="H612" t="s">
        <v>27</v>
      </c>
      <c r="I612" t="str">
        <f>TEXT(tblSales[[#This Row],[Date]],"mmm")</f>
        <v>May</v>
      </c>
    </row>
    <row r="613" spans="1:9" x14ac:dyDescent="0.3">
      <c r="A613" s="1">
        <v>45441</v>
      </c>
      <c r="B613" t="s">
        <v>1374</v>
      </c>
      <c r="C613" t="s">
        <v>35</v>
      </c>
      <c r="D613">
        <v>1</v>
      </c>
      <c r="E613">
        <v>14490</v>
      </c>
      <c r="F613">
        <v>14490</v>
      </c>
      <c r="G613" t="s">
        <v>23</v>
      </c>
      <c r="H613" t="s">
        <v>27</v>
      </c>
      <c r="I613" t="str">
        <f>TEXT(tblSales[[#This Row],[Date]],"mmm")</f>
        <v>May</v>
      </c>
    </row>
    <row r="614" spans="1:9" x14ac:dyDescent="0.3">
      <c r="A614" s="1">
        <v>45438</v>
      </c>
      <c r="B614" t="s">
        <v>1387</v>
      </c>
      <c r="C614" t="s">
        <v>26</v>
      </c>
      <c r="D614">
        <v>35</v>
      </c>
      <c r="E614">
        <v>16450</v>
      </c>
      <c r="F614">
        <v>575750</v>
      </c>
      <c r="G614" t="s">
        <v>14</v>
      </c>
      <c r="H614" t="s">
        <v>30</v>
      </c>
      <c r="I614" t="str">
        <f>TEXT(tblSales[[#This Row],[Date]],"mmm")</f>
        <v>May</v>
      </c>
    </row>
    <row r="615" spans="1:9" x14ac:dyDescent="0.3">
      <c r="A615" s="1">
        <v>45430</v>
      </c>
      <c r="B615" t="s">
        <v>1388</v>
      </c>
      <c r="C615" t="s">
        <v>26</v>
      </c>
      <c r="D615">
        <v>30</v>
      </c>
      <c r="E615">
        <v>11683</v>
      </c>
      <c r="F615">
        <v>350490</v>
      </c>
      <c r="G615" t="s">
        <v>23</v>
      </c>
      <c r="H615" t="s">
        <v>11</v>
      </c>
      <c r="I615" t="str">
        <f>TEXT(tblSales[[#This Row],[Date]],"mmm")</f>
        <v>May</v>
      </c>
    </row>
    <row r="616" spans="1:9" x14ac:dyDescent="0.3">
      <c r="A616" s="1">
        <v>45425</v>
      </c>
      <c r="B616" t="s">
        <v>1397</v>
      </c>
      <c r="C616" t="s">
        <v>13</v>
      </c>
      <c r="D616">
        <v>19</v>
      </c>
      <c r="E616">
        <v>21487</v>
      </c>
      <c r="F616">
        <v>408253</v>
      </c>
      <c r="G616" t="s">
        <v>10</v>
      </c>
      <c r="H616" t="s">
        <v>15</v>
      </c>
      <c r="I616" t="str">
        <f>TEXT(tblSales[[#This Row],[Date]],"mmm")</f>
        <v>May</v>
      </c>
    </row>
    <row r="617" spans="1:9" x14ac:dyDescent="0.3">
      <c r="A617" s="1">
        <v>45422</v>
      </c>
      <c r="B617" t="s">
        <v>1402</v>
      </c>
      <c r="C617" t="s">
        <v>26</v>
      </c>
      <c r="D617">
        <v>38</v>
      </c>
      <c r="E617">
        <v>31488</v>
      </c>
      <c r="F617">
        <v>1196544</v>
      </c>
      <c r="G617" t="s">
        <v>19</v>
      </c>
      <c r="H617" t="s">
        <v>15</v>
      </c>
      <c r="I617" t="str">
        <f>TEXT(tblSales[[#This Row],[Date]],"mmm")</f>
        <v>May</v>
      </c>
    </row>
    <row r="618" spans="1:9" x14ac:dyDescent="0.3">
      <c r="A618" s="1">
        <v>45422</v>
      </c>
      <c r="B618" t="s">
        <v>1403</v>
      </c>
      <c r="C618" t="s">
        <v>9</v>
      </c>
      <c r="D618">
        <v>39</v>
      </c>
      <c r="E618">
        <v>10452</v>
      </c>
      <c r="F618">
        <v>407628</v>
      </c>
      <c r="G618" t="s">
        <v>19</v>
      </c>
      <c r="H618" t="s">
        <v>30</v>
      </c>
      <c r="I618" t="str">
        <f>TEXT(tblSales[[#This Row],[Date]],"mmm")</f>
        <v>May</v>
      </c>
    </row>
    <row r="619" spans="1:9" x14ac:dyDescent="0.3">
      <c r="A619" s="1">
        <v>45441</v>
      </c>
      <c r="B619" t="s">
        <v>1424</v>
      </c>
      <c r="C619" t="s">
        <v>13</v>
      </c>
      <c r="D619">
        <v>10</v>
      </c>
      <c r="E619">
        <v>12665</v>
      </c>
      <c r="F619">
        <v>126650</v>
      </c>
      <c r="G619" t="s">
        <v>10</v>
      </c>
      <c r="H619" t="s">
        <v>30</v>
      </c>
      <c r="I619" t="str">
        <f>TEXT(tblSales[[#This Row],[Date]],"mmm")</f>
        <v>May</v>
      </c>
    </row>
    <row r="620" spans="1:9" x14ac:dyDescent="0.3">
      <c r="A620" s="1">
        <v>45423</v>
      </c>
      <c r="B620" t="s">
        <v>1452</v>
      </c>
      <c r="C620" t="s">
        <v>22</v>
      </c>
      <c r="D620">
        <v>39</v>
      </c>
      <c r="E620">
        <v>11771</v>
      </c>
      <c r="F620">
        <v>459069</v>
      </c>
      <c r="G620" t="s">
        <v>10</v>
      </c>
      <c r="H620" t="s">
        <v>27</v>
      </c>
      <c r="I620" t="str">
        <f>TEXT(tblSales[[#This Row],[Date]],"mmm")</f>
        <v>May</v>
      </c>
    </row>
    <row r="621" spans="1:9" x14ac:dyDescent="0.3">
      <c r="A621" s="1">
        <v>45429</v>
      </c>
      <c r="B621" t="s">
        <v>1479</v>
      </c>
      <c r="C621" t="s">
        <v>13</v>
      </c>
      <c r="D621">
        <v>36</v>
      </c>
      <c r="E621">
        <v>44610</v>
      </c>
      <c r="F621">
        <v>1605960</v>
      </c>
      <c r="G621" t="s">
        <v>23</v>
      </c>
      <c r="H621" t="s">
        <v>30</v>
      </c>
      <c r="I621" t="str">
        <f>TEXT(tblSales[[#This Row],[Date]],"mmm")</f>
        <v>May</v>
      </c>
    </row>
    <row r="622" spans="1:9" x14ac:dyDescent="0.3">
      <c r="A622" s="1">
        <v>45455</v>
      </c>
      <c r="B622" t="s">
        <v>12</v>
      </c>
      <c r="C622" t="s">
        <v>13</v>
      </c>
      <c r="D622">
        <v>38</v>
      </c>
      <c r="E622">
        <v>19393</v>
      </c>
      <c r="F622">
        <v>736934</v>
      </c>
      <c r="G622" t="s">
        <v>14</v>
      </c>
      <c r="H622" t="s">
        <v>15</v>
      </c>
      <c r="I622" t="str">
        <f>TEXT(tblSales[[#This Row],[Date]],"mmm")</f>
        <v>Jun</v>
      </c>
    </row>
    <row r="623" spans="1:9" x14ac:dyDescent="0.3">
      <c r="A623" s="1">
        <v>45462</v>
      </c>
      <c r="B623" t="s">
        <v>24</v>
      </c>
      <c r="C623" t="s">
        <v>22</v>
      </c>
      <c r="D623">
        <v>4</v>
      </c>
      <c r="E623">
        <v>10918</v>
      </c>
      <c r="F623">
        <v>43672</v>
      </c>
      <c r="G623" t="s">
        <v>19</v>
      </c>
      <c r="H623" t="s">
        <v>17</v>
      </c>
      <c r="I623" t="str">
        <f>TEXT(tblSales[[#This Row],[Date]],"mmm")</f>
        <v>Jun</v>
      </c>
    </row>
    <row r="624" spans="1:9" x14ac:dyDescent="0.3">
      <c r="A624" s="1">
        <v>45455</v>
      </c>
      <c r="B624" t="s">
        <v>100</v>
      </c>
      <c r="C624" t="s">
        <v>35</v>
      </c>
      <c r="D624">
        <v>22</v>
      </c>
      <c r="E624">
        <v>24626</v>
      </c>
      <c r="F624">
        <v>541772</v>
      </c>
      <c r="G624" t="s">
        <v>19</v>
      </c>
      <c r="H624" t="s">
        <v>11</v>
      </c>
      <c r="I624" t="str">
        <f>TEXT(tblSales[[#This Row],[Date]],"mmm")</f>
        <v>Jun</v>
      </c>
    </row>
    <row r="625" spans="1:9" x14ac:dyDescent="0.3">
      <c r="A625" s="1">
        <v>45449</v>
      </c>
      <c r="B625" t="s">
        <v>111</v>
      </c>
      <c r="C625" t="s">
        <v>26</v>
      </c>
      <c r="D625">
        <v>27</v>
      </c>
      <c r="E625">
        <v>42007</v>
      </c>
      <c r="F625">
        <v>1134189</v>
      </c>
      <c r="G625" t="s">
        <v>14</v>
      </c>
      <c r="H625" t="s">
        <v>17</v>
      </c>
      <c r="I625" t="str">
        <f>TEXT(tblSales[[#This Row],[Date]],"mmm")</f>
        <v>Jun</v>
      </c>
    </row>
    <row r="626" spans="1:9" x14ac:dyDescent="0.3">
      <c r="A626" s="1">
        <v>45450</v>
      </c>
      <c r="B626" t="s">
        <v>114</v>
      </c>
      <c r="C626" t="s">
        <v>22</v>
      </c>
      <c r="D626">
        <v>11</v>
      </c>
      <c r="E626">
        <v>40426</v>
      </c>
      <c r="F626">
        <v>444686</v>
      </c>
      <c r="G626" t="s">
        <v>23</v>
      </c>
      <c r="H626" t="s">
        <v>15</v>
      </c>
      <c r="I626" t="str">
        <f>TEXT(tblSales[[#This Row],[Date]],"mmm")</f>
        <v>Jun</v>
      </c>
    </row>
    <row r="627" spans="1:9" x14ac:dyDescent="0.3">
      <c r="A627" s="1">
        <v>45459</v>
      </c>
      <c r="B627" t="s">
        <v>132</v>
      </c>
      <c r="C627" t="s">
        <v>35</v>
      </c>
      <c r="D627">
        <v>26</v>
      </c>
      <c r="E627">
        <v>29416</v>
      </c>
      <c r="F627">
        <v>764816</v>
      </c>
      <c r="G627" t="s">
        <v>19</v>
      </c>
      <c r="H627" t="s">
        <v>11</v>
      </c>
      <c r="I627" t="str">
        <f>TEXT(tblSales[[#This Row],[Date]],"mmm")</f>
        <v>Jun</v>
      </c>
    </row>
    <row r="628" spans="1:9" x14ac:dyDescent="0.3">
      <c r="A628" s="1">
        <v>45461</v>
      </c>
      <c r="B628" t="s">
        <v>143</v>
      </c>
      <c r="C628" t="s">
        <v>13</v>
      </c>
      <c r="D628">
        <v>18</v>
      </c>
      <c r="E628">
        <v>10872</v>
      </c>
      <c r="F628">
        <v>195696</v>
      </c>
      <c r="G628" t="s">
        <v>23</v>
      </c>
      <c r="H628" t="s">
        <v>17</v>
      </c>
      <c r="I628" t="str">
        <f>TEXT(tblSales[[#This Row],[Date]],"mmm")</f>
        <v>Jun</v>
      </c>
    </row>
    <row r="629" spans="1:9" x14ac:dyDescent="0.3">
      <c r="A629" s="1">
        <v>45460</v>
      </c>
      <c r="B629" t="s">
        <v>150</v>
      </c>
      <c r="C629" t="s">
        <v>9</v>
      </c>
      <c r="D629">
        <v>37</v>
      </c>
      <c r="E629">
        <v>43204</v>
      </c>
      <c r="F629">
        <v>1598548</v>
      </c>
      <c r="G629" t="s">
        <v>19</v>
      </c>
      <c r="H629" t="s">
        <v>27</v>
      </c>
      <c r="I629" t="str">
        <f>TEXT(tblSales[[#This Row],[Date]],"mmm")</f>
        <v>Jun</v>
      </c>
    </row>
    <row r="630" spans="1:9" x14ac:dyDescent="0.3">
      <c r="A630" s="1">
        <v>45461</v>
      </c>
      <c r="B630" t="s">
        <v>165</v>
      </c>
      <c r="C630" t="s">
        <v>13</v>
      </c>
      <c r="D630">
        <v>28</v>
      </c>
      <c r="E630">
        <v>5884</v>
      </c>
      <c r="F630">
        <v>164752</v>
      </c>
      <c r="G630" t="s">
        <v>10</v>
      </c>
      <c r="H630" t="s">
        <v>30</v>
      </c>
      <c r="I630" t="str">
        <f>TEXT(tblSales[[#This Row],[Date]],"mmm")</f>
        <v>Jun</v>
      </c>
    </row>
    <row r="631" spans="1:9" x14ac:dyDescent="0.3">
      <c r="A631" s="1">
        <v>45467</v>
      </c>
      <c r="B631" t="s">
        <v>180</v>
      </c>
      <c r="C631" t="s">
        <v>26</v>
      </c>
      <c r="D631">
        <v>8</v>
      </c>
      <c r="E631">
        <v>22022</v>
      </c>
      <c r="F631">
        <v>176176</v>
      </c>
      <c r="G631" t="s">
        <v>19</v>
      </c>
      <c r="H631" t="s">
        <v>15</v>
      </c>
      <c r="I631" t="str">
        <f>TEXT(tblSales[[#This Row],[Date]],"mmm")</f>
        <v>Jun</v>
      </c>
    </row>
    <row r="632" spans="1:9" x14ac:dyDescent="0.3">
      <c r="A632" s="1">
        <v>45463</v>
      </c>
      <c r="B632" t="s">
        <v>190</v>
      </c>
      <c r="C632" t="s">
        <v>9</v>
      </c>
      <c r="D632">
        <v>5</v>
      </c>
      <c r="E632">
        <v>28702</v>
      </c>
      <c r="F632">
        <v>143510</v>
      </c>
      <c r="G632" t="s">
        <v>10</v>
      </c>
      <c r="H632" t="s">
        <v>17</v>
      </c>
      <c r="I632" t="str">
        <f>TEXT(tblSales[[#This Row],[Date]],"mmm")</f>
        <v>Jun</v>
      </c>
    </row>
    <row r="633" spans="1:9" x14ac:dyDescent="0.3">
      <c r="A633" s="1">
        <v>45448</v>
      </c>
      <c r="B633" t="s">
        <v>192</v>
      </c>
      <c r="C633" t="s">
        <v>13</v>
      </c>
      <c r="D633">
        <v>14</v>
      </c>
      <c r="E633">
        <v>15324</v>
      </c>
      <c r="F633">
        <v>214536</v>
      </c>
      <c r="G633" t="s">
        <v>10</v>
      </c>
      <c r="H633" t="s">
        <v>11</v>
      </c>
      <c r="I633" t="str">
        <f>TEXT(tblSales[[#This Row],[Date]],"mmm")</f>
        <v>Jun</v>
      </c>
    </row>
    <row r="634" spans="1:9" x14ac:dyDescent="0.3">
      <c r="A634" s="1">
        <v>45455</v>
      </c>
      <c r="B634" t="s">
        <v>198</v>
      </c>
      <c r="C634" t="s">
        <v>9</v>
      </c>
      <c r="D634">
        <v>10</v>
      </c>
      <c r="E634">
        <v>36753</v>
      </c>
      <c r="F634">
        <v>367530</v>
      </c>
      <c r="G634" t="s">
        <v>19</v>
      </c>
      <c r="H634" t="s">
        <v>17</v>
      </c>
      <c r="I634" t="str">
        <f>TEXT(tblSales[[#This Row],[Date]],"mmm")</f>
        <v>Jun</v>
      </c>
    </row>
    <row r="635" spans="1:9" x14ac:dyDescent="0.3">
      <c r="A635" s="1">
        <v>45472</v>
      </c>
      <c r="B635" t="s">
        <v>206</v>
      </c>
      <c r="C635" t="s">
        <v>26</v>
      </c>
      <c r="D635">
        <v>22</v>
      </c>
      <c r="E635">
        <v>15232</v>
      </c>
      <c r="F635">
        <v>335104</v>
      </c>
      <c r="G635" t="s">
        <v>19</v>
      </c>
      <c r="H635" t="s">
        <v>30</v>
      </c>
      <c r="I635" t="str">
        <f>TEXT(tblSales[[#This Row],[Date]],"mmm")</f>
        <v>Jun</v>
      </c>
    </row>
    <row r="636" spans="1:9" x14ac:dyDescent="0.3">
      <c r="A636" s="1">
        <v>45472</v>
      </c>
      <c r="B636" t="s">
        <v>212</v>
      </c>
      <c r="C636" t="s">
        <v>13</v>
      </c>
      <c r="D636">
        <v>16</v>
      </c>
      <c r="E636">
        <v>16360</v>
      </c>
      <c r="F636">
        <v>261760</v>
      </c>
      <c r="G636" t="s">
        <v>23</v>
      </c>
      <c r="H636" t="s">
        <v>17</v>
      </c>
      <c r="I636" t="str">
        <f>TEXT(tblSales[[#This Row],[Date]],"mmm")</f>
        <v>Jun</v>
      </c>
    </row>
    <row r="637" spans="1:9" x14ac:dyDescent="0.3">
      <c r="A637" s="1">
        <v>45452</v>
      </c>
      <c r="B637" t="s">
        <v>252</v>
      </c>
      <c r="C637" t="s">
        <v>26</v>
      </c>
      <c r="D637">
        <v>1</v>
      </c>
      <c r="E637">
        <v>10212</v>
      </c>
      <c r="F637">
        <v>10212</v>
      </c>
      <c r="G637" t="s">
        <v>23</v>
      </c>
      <c r="H637" t="s">
        <v>11</v>
      </c>
      <c r="I637" t="str">
        <f>TEXT(tblSales[[#This Row],[Date]],"mmm")</f>
        <v>Jun</v>
      </c>
    </row>
    <row r="638" spans="1:9" x14ac:dyDescent="0.3">
      <c r="A638" s="1">
        <v>45453</v>
      </c>
      <c r="B638" t="s">
        <v>287</v>
      </c>
      <c r="C638" t="s">
        <v>26</v>
      </c>
      <c r="D638">
        <v>27</v>
      </c>
      <c r="E638">
        <v>44710</v>
      </c>
      <c r="F638">
        <v>1207170</v>
      </c>
      <c r="G638" t="s">
        <v>19</v>
      </c>
      <c r="H638" t="s">
        <v>17</v>
      </c>
      <c r="I638" t="str">
        <f>TEXT(tblSales[[#This Row],[Date]],"mmm")</f>
        <v>Jun</v>
      </c>
    </row>
    <row r="639" spans="1:9" x14ac:dyDescent="0.3">
      <c r="A639" s="1">
        <v>45459</v>
      </c>
      <c r="B639" t="s">
        <v>292</v>
      </c>
      <c r="C639" t="s">
        <v>22</v>
      </c>
      <c r="D639">
        <v>34</v>
      </c>
      <c r="E639">
        <v>13944</v>
      </c>
      <c r="F639">
        <v>474096</v>
      </c>
      <c r="G639" t="s">
        <v>19</v>
      </c>
      <c r="H639" t="s">
        <v>15</v>
      </c>
      <c r="I639" t="str">
        <f>TEXT(tblSales[[#This Row],[Date]],"mmm")</f>
        <v>Jun</v>
      </c>
    </row>
    <row r="640" spans="1:9" x14ac:dyDescent="0.3">
      <c r="A640" s="1">
        <v>45459</v>
      </c>
      <c r="B640" t="s">
        <v>296</v>
      </c>
      <c r="C640" t="s">
        <v>13</v>
      </c>
      <c r="D640">
        <v>8</v>
      </c>
      <c r="E640">
        <v>27988</v>
      </c>
      <c r="F640">
        <v>223904</v>
      </c>
      <c r="G640" t="s">
        <v>14</v>
      </c>
      <c r="H640" t="s">
        <v>27</v>
      </c>
      <c r="I640" t="str">
        <f>TEXT(tblSales[[#This Row],[Date]],"mmm")</f>
        <v>Jun</v>
      </c>
    </row>
    <row r="641" spans="1:9" x14ac:dyDescent="0.3">
      <c r="A641" s="1">
        <v>45462</v>
      </c>
      <c r="B641" t="s">
        <v>307</v>
      </c>
      <c r="C641" t="s">
        <v>26</v>
      </c>
      <c r="D641">
        <v>12</v>
      </c>
      <c r="E641">
        <v>25621</v>
      </c>
      <c r="F641">
        <v>307452</v>
      </c>
      <c r="G641" t="s">
        <v>19</v>
      </c>
      <c r="H641" t="s">
        <v>27</v>
      </c>
      <c r="I641" t="str">
        <f>TEXT(tblSales[[#This Row],[Date]],"mmm")</f>
        <v>Jun</v>
      </c>
    </row>
    <row r="642" spans="1:9" x14ac:dyDescent="0.3">
      <c r="A642" s="1">
        <v>45463</v>
      </c>
      <c r="B642" t="s">
        <v>338</v>
      </c>
      <c r="C642" t="s">
        <v>35</v>
      </c>
      <c r="D642">
        <v>11</v>
      </c>
      <c r="E642">
        <v>38403</v>
      </c>
      <c r="F642">
        <v>422433</v>
      </c>
      <c r="G642" t="s">
        <v>23</v>
      </c>
      <c r="H642" t="s">
        <v>27</v>
      </c>
      <c r="I642" t="str">
        <f>TEXT(tblSales[[#This Row],[Date]],"mmm")</f>
        <v>Jun</v>
      </c>
    </row>
    <row r="643" spans="1:9" x14ac:dyDescent="0.3">
      <c r="A643" s="1">
        <v>45465</v>
      </c>
      <c r="B643" t="s">
        <v>350</v>
      </c>
      <c r="C643" t="s">
        <v>35</v>
      </c>
      <c r="D643">
        <v>19</v>
      </c>
      <c r="E643">
        <v>38844</v>
      </c>
      <c r="F643">
        <v>738036</v>
      </c>
      <c r="G643" t="s">
        <v>23</v>
      </c>
      <c r="H643" t="s">
        <v>27</v>
      </c>
      <c r="I643" t="str">
        <f>TEXT(tblSales[[#This Row],[Date]],"mmm")</f>
        <v>Jun</v>
      </c>
    </row>
    <row r="644" spans="1:9" x14ac:dyDescent="0.3">
      <c r="A644" s="1">
        <v>45450</v>
      </c>
      <c r="B644" t="s">
        <v>371</v>
      </c>
      <c r="C644" t="s">
        <v>9</v>
      </c>
      <c r="D644">
        <v>37</v>
      </c>
      <c r="E644">
        <v>34181</v>
      </c>
      <c r="F644">
        <v>1264697</v>
      </c>
      <c r="G644" t="s">
        <v>14</v>
      </c>
      <c r="H644" t="s">
        <v>11</v>
      </c>
      <c r="I644" t="str">
        <f>TEXT(tblSales[[#This Row],[Date]],"mmm")</f>
        <v>Jun</v>
      </c>
    </row>
    <row r="645" spans="1:9" x14ac:dyDescent="0.3">
      <c r="A645" s="1">
        <v>45446</v>
      </c>
      <c r="B645" t="s">
        <v>373</v>
      </c>
      <c r="C645" t="s">
        <v>22</v>
      </c>
      <c r="D645">
        <v>28</v>
      </c>
      <c r="E645">
        <v>20037</v>
      </c>
      <c r="F645">
        <v>561036</v>
      </c>
      <c r="G645" t="s">
        <v>23</v>
      </c>
      <c r="H645" t="s">
        <v>17</v>
      </c>
      <c r="I645" t="str">
        <f>TEXT(tblSales[[#This Row],[Date]],"mmm")</f>
        <v>Jun</v>
      </c>
    </row>
    <row r="646" spans="1:9" x14ac:dyDescent="0.3">
      <c r="A646" s="1">
        <v>45451</v>
      </c>
      <c r="B646" t="s">
        <v>382</v>
      </c>
      <c r="C646" t="s">
        <v>26</v>
      </c>
      <c r="D646">
        <v>24</v>
      </c>
      <c r="E646">
        <v>23181</v>
      </c>
      <c r="F646">
        <v>556344</v>
      </c>
      <c r="G646" t="s">
        <v>23</v>
      </c>
      <c r="H646" t="s">
        <v>11</v>
      </c>
      <c r="I646" t="str">
        <f>TEXT(tblSales[[#This Row],[Date]],"mmm")</f>
        <v>Jun</v>
      </c>
    </row>
    <row r="647" spans="1:9" x14ac:dyDescent="0.3">
      <c r="A647" s="1">
        <v>45469</v>
      </c>
      <c r="B647" t="s">
        <v>385</v>
      </c>
      <c r="C647" t="s">
        <v>13</v>
      </c>
      <c r="D647">
        <v>26</v>
      </c>
      <c r="E647">
        <v>35666</v>
      </c>
      <c r="F647">
        <v>927316</v>
      </c>
      <c r="G647" t="s">
        <v>23</v>
      </c>
      <c r="H647" t="s">
        <v>17</v>
      </c>
      <c r="I647" t="str">
        <f>TEXT(tblSales[[#This Row],[Date]],"mmm")</f>
        <v>Jun</v>
      </c>
    </row>
    <row r="648" spans="1:9" x14ac:dyDescent="0.3">
      <c r="A648" s="1">
        <v>45444</v>
      </c>
      <c r="B648" t="s">
        <v>392</v>
      </c>
      <c r="C648" t="s">
        <v>9</v>
      </c>
      <c r="D648">
        <v>13</v>
      </c>
      <c r="E648">
        <v>39158</v>
      </c>
      <c r="F648">
        <v>509054</v>
      </c>
      <c r="G648" t="s">
        <v>14</v>
      </c>
      <c r="H648" t="s">
        <v>17</v>
      </c>
      <c r="I648" t="str">
        <f>TEXT(tblSales[[#This Row],[Date]],"mmm")</f>
        <v>Jun</v>
      </c>
    </row>
    <row r="649" spans="1:9" x14ac:dyDescent="0.3">
      <c r="A649" s="1">
        <v>45451</v>
      </c>
      <c r="B649" t="s">
        <v>403</v>
      </c>
      <c r="C649" t="s">
        <v>35</v>
      </c>
      <c r="D649">
        <v>22</v>
      </c>
      <c r="E649">
        <v>21510</v>
      </c>
      <c r="F649">
        <v>473220</v>
      </c>
      <c r="G649" t="s">
        <v>14</v>
      </c>
      <c r="H649" t="s">
        <v>11</v>
      </c>
      <c r="I649" t="str">
        <f>TEXT(tblSales[[#This Row],[Date]],"mmm")</f>
        <v>Jun</v>
      </c>
    </row>
    <row r="650" spans="1:9" x14ac:dyDescent="0.3">
      <c r="A650" s="1">
        <v>45460</v>
      </c>
      <c r="B650" t="s">
        <v>420</v>
      </c>
      <c r="C650" t="s">
        <v>22</v>
      </c>
      <c r="D650">
        <v>3</v>
      </c>
      <c r="E650">
        <v>15741</v>
      </c>
      <c r="F650">
        <v>47223</v>
      </c>
      <c r="G650" t="s">
        <v>19</v>
      </c>
      <c r="H650" t="s">
        <v>15</v>
      </c>
      <c r="I650" t="str">
        <f>TEXT(tblSales[[#This Row],[Date]],"mmm")</f>
        <v>Jun</v>
      </c>
    </row>
    <row r="651" spans="1:9" x14ac:dyDescent="0.3">
      <c r="A651" s="1">
        <v>45452</v>
      </c>
      <c r="B651" t="s">
        <v>424</v>
      </c>
      <c r="C651" t="s">
        <v>22</v>
      </c>
      <c r="D651">
        <v>34</v>
      </c>
      <c r="E651">
        <v>25405</v>
      </c>
      <c r="F651">
        <v>863770</v>
      </c>
      <c r="G651" t="s">
        <v>19</v>
      </c>
      <c r="H651" t="s">
        <v>30</v>
      </c>
      <c r="I651" t="str">
        <f>TEXT(tblSales[[#This Row],[Date]],"mmm")</f>
        <v>Jun</v>
      </c>
    </row>
    <row r="652" spans="1:9" x14ac:dyDescent="0.3">
      <c r="A652" s="1">
        <v>45471</v>
      </c>
      <c r="B652" t="s">
        <v>428</v>
      </c>
      <c r="C652" t="s">
        <v>35</v>
      </c>
      <c r="D652">
        <v>3</v>
      </c>
      <c r="E652">
        <v>42406</v>
      </c>
      <c r="F652">
        <v>127218</v>
      </c>
      <c r="G652" t="s">
        <v>14</v>
      </c>
      <c r="H652" t="s">
        <v>17</v>
      </c>
      <c r="I652" t="str">
        <f>TEXT(tblSales[[#This Row],[Date]],"mmm")</f>
        <v>Jun</v>
      </c>
    </row>
    <row r="653" spans="1:9" x14ac:dyDescent="0.3">
      <c r="A653" s="1">
        <v>45459</v>
      </c>
      <c r="B653" t="s">
        <v>478</v>
      </c>
      <c r="C653" t="s">
        <v>13</v>
      </c>
      <c r="D653">
        <v>16</v>
      </c>
      <c r="E653">
        <v>21125</v>
      </c>
      <c r="F653">
        <v>338000</v>
      </c>
      <c r="G653" t="s">
        <v>14</v>
      </c>
      <c r="H653" t="s">
        <v>15</v>
      </c>
      <c r="I653" t="str">
        <f>TEXT(tblSales[[#This Row],[Date]],"mmm")</f>
        <v>Jun</v>
      </c>
    </row>
    <row r="654" spans="1:9" x14ac:dyDescent="0.3">
      <c r="A654" s="1">
        <v>45463</v>
      </c>
      <c r="B654" t="s">
        <v>509</v>
      </c>
      <c r="C654" t="s">
        <v>13</v>
      </c>
      <c r="D654">
        <v>3</v>
      </c>
      <c r="E654">
        <v>35370</v>
      </c>
      <c r="F654">
        <v>106110</v>
      </c>
      <c r="G654" t="s">
        <v>10</v>
      </c>
      <c r="H654" t="s">
        <v>27</v>
      </c>
      <c r="I654" t="str">
        <f>TEXT(tblSales[[#This Row],[Date]],"mmm")</f>
        <v>Jun</v>
      </c>
    </row>
    <row r="655" spans="1:9" x14ac:dyDescent="0.3">
      <c r="A655" s="1">
        <v>45460</v>
      </c>
      <c r="B655" t="s">
        <v>516</v>
      </c>
      <c r="C655" t="s">
        <v>22</v>
      </c>
      <c r="D655">
        <v>20</v>
      </c>
      <c r="E655">
        <v>8489</v>
      </c>
      <c r="F655">
        <v>169780</v>
      </c>
      <c r="G655" t="s">
        <v>23</v>
      </c>
      <c r="H655" t="s">
        <v>30</v>
      </c>
      <c r="I655" t="str">
        <f>TEXT(tblSales[[#This Row],[Date]],"mmm")</f>
        <v>Jun</v>
      </c>
    </row>
    <row r="656" spans="1:9" x14ac:dyDescent="0.3">
      <c r="A656" s="1">
        <v>45466</v>
      </c>
      <c r="B656" t="s">
        <v>521</v>
      </c>
      <c r="C656" t="s">
        <v>22</v>
      </c>
      <c r="D656">
        <v>24</v>
      </c>
      <c r="E656">
        <v>5875</v>
      </c>
      <c r="F656">
        <v>141000</v>
      </c>
      <c r="G656" t="s">
        <v>14</v>
      </c>
      <c r="H656" t="s">
        <v>15</v>
      </c>
      <c r="I656" t="str">
        <f>TEXT(tblSales[[#This Row],[Date]],"mmm")</f>
        <v>Jun</v>
      </c>
    </row>
    <row r="657" spans="1:9" x14ac:dyDescent="0.3">
      <c r="A657" s="1">
        <v>45462</v>
      </c>
      <c r="B657" t="s">
        <v>527</v>
      </c>
      <c r="C657" t="s">
        <v>22</v>
      </c>
      <c r="D657">
        <v>18</v>
      </c>
      <c r="E657">
        <v>9920</v>
      </c>
      <c r="F657">
        <v>178560</v>
      </c>
      <c r="G657" t="s">
        <v>10</v>
      </c>
      <c r="H657" t="s">
        <v>30</v>
      </c>
      <c r="I657" t="str">
        <f>TEXT(tblSales[[#This Row],[Date]],"mmm")</f>
        <v>Jun</v>
      </c>
    </row>
    <row r="658" spans="1:9" x14ac:dyDescent="0.3">
      <c r="A658" s="1">
        <v>45453</v>
      </c>
      <c r="B658" t="s">
        <v>542</v>
      </c>
      <c r="C658" t="s">
        <v>22</v>
      </c>
      <c r="D658">
        <v>26</v>
      </c>
      <c r="E658">
        <v>8917</v>
      </c>
      <c r="F658">
        <v>231842</v>
      </c>
      <c r="G658" t="s">
        <v>19</v>
      </c>
      <c r="H658" t="s">
        <v>11</v>
      </c>
      <c r="I658" t="str">
        <f>TEXT(tblSales[[#This Row],[Date]],"mmm")</f>
        <v>Jun</v>
      </c>
    </row>
    <row r="659" spans="1:9" x14ac:dyDescent="0.3">
      <c r="A659" s="1">
        <v>45451</v>
      </c>
      <c r="B659" t="s">
        <v>551</v>
      </c>
      <c r="C659" t="s">
        <v>22</v>
      </c>
      <c r="D659">
        <v>39</v>
      </c>
      <c r="E659">
        <v>42227</v>
      </c>
      <c r="F659">
        <v>1646853</v>
      </c>
      <c r="G659" t="s">
        <v>10</v>
      </c>
      <c r="H659" t="s">
        <v>27</v>
      </c>
      <c r="I659" t="str">
        <f>TEXT(tblSales[[#This Row],[Date]],"mmm")</f>
        <v>Jun</v>
      </c>
    </row>
    <row r="660" spans="1:9" x14ac:dyDescent="0.3">
      <c r="A660" s="1">
        <v>45445</v>
      </c>
      <c r="B660" t="s">
        <v>562</v>
      </c>
      <c r="C660" t="s">
        <v>9</v>
      </c>
      <c r="D660">
        <v>8</v>
      </c>
      <c r="E660">
        <v>6884</v>
      </c>
      <c r="F660">
        <v>55072</v>
      </c>
      <c r="G660" t="s">
        <v>23</v>
      </c>
      <c r="H660" t="s">
        <v>17</v>
      </c>
      <c r="I660" t="str">
        <f>TEXT(tblSales[[#This Row],[Date]],"mmm")</f>
        <v>Jun</v>
      </c>
    </row>
    <row r="661" spans="1:9" x14ac:dyDescent="0.3">
      <c r="A661" s="1">
        <v>45473</v>
      </c>
      <c r="B661" t="s">
        <v>565</v>
      </c>
      <c r="C661" t="s">
        <v>22</v>
      </c>
      <c r="D661">
        <v>27</v>
      </c>
      <c r="E661">
        <v>9849</v>
      </c>
      <c r="F661">
        <v>265923</v>
      </c>
      <c r="G661" t="s">
        <v>23</v>
      </c>
      <c r="H661" t="s">
        <v>15</v>
      </c>
      <c r="I661" t="str">
        <f>TEXT(tblSales[[#This Row],[Date]],"mmm")</f>
        <v>Jun</v>
      </c>
    </row>
    <row r="662" spans="1:9" x14ac:dyDescent="0.3">
      <c r="A662" s="1">
        <v>45470</v>
      </c>
      <c r="B662" t="s">
        <v>567</v>
      </c>
      <c r="C662" t="s">
        <v>13</v>
      </c>
      <c r="D662">
        <v>8</v>
      </c>
      <c r="E662">
        <v>42194</v>
      </c>
      <c r="F662">
        <v>337552</v>
      </c>
      <c r="G662" t="s">
        <v>19</v>
      </c>
      <c r="H662" t="s">
        <v>30</v>
      </c>
      <c r="I662" t="str">
        <f>TEXT(tblSales[[#This Row],[Date]],"mmm")</f>
        <v>Jun</v>
      </c>
    </row>
    <row r="663" spans="1:9" x14ac:dyDescent="0.3">
      <c r="A663" s="1">
        <v>45471</v>
      </c>
      <c r="B663" t="s">
        <v>580</v>
      </c>
      <c r="C663" t="s">
        <v>9</v>
      </c>
      <c r="D663">
        <v>28</v>
      </c>
      <c r="E663">
        <v>30270</v>
      </c>
      <c r="F663">
        <v>847560</v>
      </c>
      <c r="G663" t="s">
        <v>23</v>
      </c>
      <c r="H663" t="s">
        <v>17</v>
      </c>
      <c r="I663" t="str">
        <f>TEXT(tblSales[[#This Row],[Date]],"mmm")</f>
        <v>Jun</v>
      </c>
    </row>
    <row r="664" spans="1:9" x14ac:dyDescent="0.3">
      <c r="A664" s="1">
        <v>45464</v>
      </c>
      <c r="B664" t="s">
        <v>601</v>
      </c>
      <c r="C664" t="s">
        <v>22</v>
      </c>
      <c r="D664">
        <v>37</v>
      </c>
      <c r="E664">
        <v>11705</v>
      </c>
      <c r="F664">
        <v>433085</v>
      </c>
      <c r="G664" t="s">
        <v>14</v>
      </c>
      <c r="H664" t="s">
        <v>30</v>
      </c>
      <c r="I664" t="str">
        <f>TEXT(tblSales[[#This Row],[Date]],"mmm")</f>
        <v>Jun</v>
      </c>
    </row>
    <row r="665" spans="1:9" x14ac:dyDescent="0.3">
      <c r="A665" s="1">
        <v>45461</v>
      </c>
      <c r="B665" t="s">
        <v>613</v>
      </c>
      <c r="C665" t="s">
        <v>35</v>
      </c>
      <c r="D665">
        <v>6</v>
      </c>
      <c r="E665">
        <v>38549</v>
      </c>
      <c r="F665">
        <v>231294</v>
      </c>
      <c r="G665" t="s">
        <v>10</v>
      </c>
      <c r="H665" t="s">
        <v>30</v>
      </c>
      <c r="I665" t="str">
        <f>TEXT(tblSales[[#This Row],[Date]],"mmm")</f>
        <v>Jun</v>
      </c>
    </row>
    <row r="666" spans="1:9" x14ac:dyDescent="0.3">
      <c r="A666" s="1">
        <v>45445</v>
      </c>
      <c r="B666" t="s">
        <v>626</v>
      </c>
      <c r="C666" t="s">
        <v>13</v>
      </c>
      <c r="D666">
        <v>22</v>
      </c>
      <c r="E666">
        <v>34226</v>
      </c>
      <c r="F666">
        <v>752972</v>
      </c>
      <c r="G666" t="s">
        <v>10</v>
      </c>
      <c r="H666" t="s">
        <v>17</v>
      </c>
      <c r="I666" t="str">
        <f>TEXT(tblSales[[#This Row],[Date]],"mmm")</f>
        <v>Jun</v>
      </c>
    </row>
    <row r="667" spans="1:9" x14ac:dyDescent="0.3">
      <c r="A667" s="1">
        <v>45467</v>
      </c>
      <c r="B667" t="s">
        <v>628</v>
      </c>
      <c r="C667" t="s">
        <v>26</v>
      </c>
      <c r="D667">
        <v>9</v>
      </c>
      <c r="E667">
        <v>27840</v>
      </c>
      <c r="F667">
        <v>250560</v>
      </c>
      <c r="G667" t="s">
        <v>19</v>
      </c>
      <c r="H667" t="s">
        <v>30</v>
      </c>
      <c r="I667" t="str">
        <f>TEXT(tblSales[[#This Row],[Date]],"mmm")</f>
        <v>Jun</v>
      </c>
    </row>
    <row r="668" spans="1:9" x14ac:dyDescent="0.3">
      <c r="A668" s="1">
        <v>45460</v>
      </c>
      <c r="B668" t="s">
        <v>641</v>
      </c>
      <c r="C668" t="s">
        <v>35</v>
      </c>
      <c r="D668">
        <v>28</v>
      </c>
      <c r="E668">
        <v>39895</v>
      </c>
      <c r="F668">
        <v>1117060</v>
      </c>
      <c r="G668" t="s">
        <v>19</v>
      </c>
      <c r="H668" t="s">
        <v>15</v>
      </c>
      <c r="I668" t="str">
        <f>TEXT(tblSales[[#This Row],[Date]],"mmm")</f>
        <v>Jun</v>
      </c>
    </row>
    <row r="669" spans="1:9" x14ac:dyDescent="0.3">
      <c r="A669" s="1">
        <v>45468</v>
      </c>
      <c r="B669" t="s">
        <v>652</v>
      </c>
      <c r="C669" t="s">
        <v>9</v>
      </c>
      <c r="D669">
        <v>14</v>
      </c>
      <c r="E669">
        <v>11747</v>
      </c>
      <c r="F669">
        <v>164458</v>
      </c>
      <c r="G669" t="s">
        <v>19</v>
      </c>
      <c r="H669" t="s">
        <v>17</v>
      </c>
      <c r="I669" t="str">
        <f>TEXT(tblSales[[#This Row],[Date]],"mmm")</f>
        <v>Jun</v>
      </c>
    </row>
    <row r="670" spans="1:9" x14ac:dyDescent="0.3">
      <c r="A670" s="1">
        <v>45444</v>
      </c>
      <c r="B670" t="s">
        <v>653</v>
      </c>
      <c r="C670" t="s">
        <v>9</v>
      </c>
      <c r="D670">
        <v>2</v>
      </c>
      <c r="E670">
        <v>32635</v>
      </c>
      <c r="F670">
        <v>65270</v>
      </c>
      <c r="G670" t="s">
        <v>10</v>
      </c>
      <c r="H670" t="s">
        <v>30</v>
      </c>
      <c r="I670" t="str">
        <f>TEXT(tblSales[[#This Row],[Date]],"mmm")</f>
        <v>Jun</v>
      </c>
    </row>
    <row r="671" spans="1:9" x14ac:dyDescent="0.3">
      <c r="A671" s="1">
        <v>45460</v>
      </c>
      <c r="B671" t="s">
        <v>664</v>
      </c>
      <c r="C671" t="s">
        <v>35</v>
      </c>
      <c r="D671">
        <v>37</v>
      </c>
      <c r="E671">
        <v>34532</v>
      </c>
      <c r="F671">
        <v>1277684</v>
      </c>
      <c r="G671" t="s">
        <v>23</v>
      </c>
      <c r="H671" t="s">
        <v>11</v>
      </c>
      <c r="I671" t="str">
        <f>TEXT(tblSales[[#This Row],[Date]],"mmm")</f>
        <v>Jun</v>
      </c>
    </row>
    <row r="672" spans="1:9" x14ac:dyDescent="0.3">
      <c r="A672" s="1">
        <v>45459</v>
      </c>
      <c r="B672" t="s">
        <v>681</v>
      </c>
      <c r="C672" t="s">
        <v>13</v>
      </c>
      <c r="D672">
        <v>36</v>
      </c>
      <c r="E672">
        <v>14042</v>
      </c>
      <c r="F672">
        <v>505512</v>
      </c>
      <c r="G672" t="s">
        <v>10</v>
      </c>
      <c r="H672" t="s">
        <v>11</v>
      </c>
      <c r="I672" t="str">
        <f>TEXT(tblSales[[#This Row],[Date]],"mmm")</f>
        <v>Jun</v>
      </c>
    </row>
    <row r="673" spans="1:9" x14ac:dyDescent="0.3">
      <c r="A673" s="1">
        <v>45463</v>
      </c>
      <c r="B673" t="s">
        <v>694</v>
      </c>
      <c r="C673" t="s">
        <v>26</v>
      </c>
      <c r="D673">
        <v>18</v>
      </c>
      <c r="E673">
        <v>20059</v>
      </c>
      <c r="F673">
        <v>361062</v>
      </c>
      <c r="G673" t="s">
        <v>14</v>
      </c>
      <c r="H673" t="s">
        <v>30</v>
      </c>
      <c r="I673" t="str">
        <f>TEXT(tblSales[[#This Row],[Date]],"mmm")</f>
        <v>Jun</v>
      </c>
    </row>
    <row r="674" spans="1:9" x14ac:dyDescent="0.3">
      <c r="A674" s="1">
        <v>45460</v>
      </c>
      <c r="B674" t="s">
        <v>699</v>
      </c>
      <c r="C674" t="s">
        <v>13</v>
      </c>
      <c r="D674">
        <v>6</v>
      </c>
      <c r="E674">
        <v>40979</v>
      </c>
      <c r="F674">
        <v>245874</v>
      </c>
      <c r="G674" t="s">
        <v>19</v>
      </c>
      <c r="H674" t="s">
        <v>11</v>
      </c>
      <c r="I674" t="str">
        <f>TEXT(tblSales[[#This Row],[Date]],"mmm")</f>
        <v>Jun</v>
      </c>
    </row>
    <row r="675" spans="1:9" x14ac:dyDescent="0.3">
      <c r="A675" s="1">
        <v>45465</v>
      </c>
      <c r="B675" t="s">
        <v>702</v>
      </c>
      <c r="C675" t="s">
        <v>9</v>
      </c>
      <c r="D675">
        <v>9</v>
      </c>
      <c r="E675">
        <v>30490</v>
      </c>
      <c r="F675">
        <v>274410</v>
      </c>
      <c r="G675" t="s">
        <v>10</v>
      </c>
      <c r="H675" t="s">
        <v>11</v>
      </c>
      <c r="I675" t="str">
        <f>TEXT(tblSales[[#This Row],[Date]],"mmm")</f>
        <v>Jun</v>
      </c>
    </row>
    <row r="676" spans="1:9" x14ac:dyDescent="0.3">
      <c r="A676" s="1">
        <v>45456</v>
      </c>
      <c r="B676" t="s">
        <v>705</v>
      </c>
      <c r="C676" t="s">
        <v>35</v>
      </c>
      <c r="D676">
        <v>35</v>
      </c>
      <c r="E676">
        <v>24859</v>
      </c>
      <c r="F676">
        <v>870065</v>
      </c>
      <c r="G676" t="s">
        <v>23</v>
      </c>
      <c r="H676" t="s">
        <v>27</v>
      </c>
      <c r="I676" t="str">
        <f>TEXT(tblSales[[#This Row],[Date]],"mmm")</f>
        <v>Jun</v>
      </c>
    </row>
    <row r="677" spans="1:9" x14ac:dyDescent="0.3">
      <c r="A677" s="1">
        <v>45468</v>
      </c>
      <c r="B677" t="s">
        <v>717</v>
      </c>
      <c r="C677" t="s">
        <v>22</v>
      </c>
      <c r="D677">
        <v>24</v>
      </c>
      <c r="E677">
        <v>16454</v>
      </c>
      <c r="F677">
        <v>394896</v>
      </c>
      <c r="G677" t="s">
        <v>14</v>
      </c>
      <c r="H677" t="s">
        <v>11</v>
      </c>
      <c r="I677" t="str">
        <f>TEXT(tblSales[[#This Row],[Date]],"mmm")</f>
        <v>Jun</v>
      </c>
    </row>
    <row r="678" spans="1:9" x14ac:dyDescent="0.3">
      <c r="A678" s="1">
        <v>45466</v>
      </c>
      <c r="B678" t="s">
        <v>720</v>
      </c>
      <c r="C678" t="s">
        <v>22</v>
      </c>
      <c r="D678">
        <v>8</v>
      </c>
      <c r="E678">
        <v>9467</v>
      </c>
      <c r="F678">
        <v>75736</v>
      </c>
      <c r="G678" t="s">
        <v>14</v>
      </c>
      <c r="H678" t="s">
        <v>17</v>
      </c>
      <c r="I678" t="str">
        <f>TEXT(tblSales[[#This Row],[Date]],"mmm")</f>
        <v>Jun</v>
      </c>
    </row>
    <row r="679" spans="1:9" x14ac:dyDescent="0.3">
      <c r="A679" s="1">
        <v>45445</v>
      </c>
      <c r="B679" t="s">
        <v>722</v>
      </c>
      <c r="C679" t="s">
        <v>9</v>
      </c>
      <c r="D679">
        <v>20</v>
      </c>
      <c r="E679">
        <v>20629</v>
      </c>
      <c r="F679">
        <v>412580</v>
      </c>
      <c r="G679" t="s">
        <v>14</v>
      </c>
      <c r="H679" t="s">
        <v>30</v>
      </c>
      <c r="I679" t="str">
        <f>TEXT(tblSales[[#This Row],[Date]],"mmm")</f>
        <v>Jun</v>
      </c>
    </row>
    <row r="680" spans="1:9" x14ac:dyDescent="0.3">
      <c r="A680" s="1">
        <v>45471</v>
      </c>
      <c r="B680" t="s">
        <v>724</v>
      </c>
      <c r="C680" t="s">
        <v>9</v>
      </c>
      <c r="D680">
        <v>36</v>
      </c>
      <c r="E680">
        <v>12433</v>
      </c>
      <c r="F680">
        <v>447588</v>
      </c>
      <c r="G680" t="s">
        <v>14</v>
      </c>
      <c r="H680" t="s">
        <v>11</v>
      </c>
      <c r="I680" t="str">
        <f>TEXT(tblSales[[#This Row],[Date]],"mmm")</f>
        <v>Jun</v>
      </c>
    </row>
    <row r="681" spans="1:9" x14ac:dyDescent="0.3">
      <c r="A681" s="1">
        <v>45469</v>
      </c>
      <c r="B681" t="s">
        <v>728</v>
      </c>
      <c r="C681" t="s">
        <v>22</v>
      </c>
      <c r="D681">
        <v>15</v>
      </c>
      <c r="E681">
        <v>23965</v>
      </c>
      <c r="F681">
        <v>359475</v>
      </c>
      <c r="G681" t="s">
        <v>23</v>
      </c>
      <c r="H681" t="s">
        <v>15</v>
      </c>
      <c r="I681" t="str">
        <f>TEXT(tblSales[[#This Row],[Date]],"mmm")</f>
        <v>Jun</v>
      </c>
    </row>
    <row r="682" spans="1:9" x14ac:dyDescent="0.3">
      <c r="A682" s="1">
        <v>45455</v>
      </c>
      <c r="B682" t="s">
        <v>732</v>
      </c>
      <c r="C682" t="s">
        <v>35</v>
      </c>
      <c r="D682">
        <v>24</v>
      </c>
      <c r="E682">
        <v>44821</v>
      </c>
      <c r="F682">
        <v>1075704</v>
      </c>
      <c r="G682" t="s">
        <v>10</v>
      </c>
      <c r="H682" t="s">
        <v>30</v>
      </c>
      <c r="I682" t="str">
        <f>TEXT(tblSales[[#This Row],[Date]],"mmm")</f>
        <v>Jun</v>
      </c>
    </row>
    <row r="683" spans="1:9" x14ac:dyDescent="0.3">
      <c r="A683" s="1">
        <v>45451</v>
      </c>
      <c r="B683" t="s">
        <v>749</v>
      </c>
      <c r="C683" t="s">
        <v>35</v>
      </c>
      <c r="D683">
        <v>39</v>
      </c>
      <c r="E683">
        <v>39915</v>
      </c>
      <c r="F683">
        <v>1556685</v>
      </c>
      <c r="G683" t="s">
        <v>14</v>
      </c>
      <c r="H683" t="s">
        <v>15</v>
      </c>
      <c r="I683" t="str">
        <f>TEXT(tblSales[[#This Row],[Date]],"mmm")</f>
        <v>Jun</v>
      </c>
    </row>
    <row r="684" spans="1:9" x14ac:dyDescent="0.3">
      <c r="A684" s="1">
        <v>45470</v>
      </c>
      <c r="B684" t="s">
        <v>770</v>
      </c>
      <c r="C684" t="s">
        <v>13</v>
      </c>
      <c r="D684">
        <v>22</v>
      </c>
      <c r="E684">
        <v>20680</v>
      </c>
      <c r="F684">
        <v>454960</v>
      </c>
      <c r="G684" t="s">
        <v>10</v>
      </c>
      <c r="H684" t="s">
        <v>17</v>
      </c>
      <c r="I684" t="str">
        <f>TEXT(tblSales[[#This Row],[Date]],"mmm")</f>
        <v>Jun</v>
      </c>
    </row>
    <row r="685" spans="1:9" x14ac:dyDescent="0.3">
      <c r="A685" s="1">
        <v>45446</v>
      </c>
      <c r="B685" t="s">
        <v>802</v>
      </c>
      <c r="C685" t="s">
        <v>22</v>
      </c>
      <c r="D685">
        <v>34</v>
      </c>
      <c r="E685">
        <v>26454</v>
      </c>
      <c r="F685">
        <v>899436</v>
      </c>
      <c r="G685" t="s">
        <v>23</v>
      </c>
      <c r="H685" t="s">
        <v>15</v>
      </c>
      <c r="I685" t="str">
        <f>TEXT(tblSales[[#This Row],[Date]],"mmm")</f>
        <v>Jun</v>
      </c>
    </row>
    <row r="686" spans="1:9" x14ac:dyDescent="0.3">
      <c r="A686" s="1">
        <v>45463</v>
      </c>
      <c r="B686" t="s">
        <v>814</v>
      </c>
      <c r="C686" t="s">
        <v>22</v>
      </c>
      <c r="D686">
        <v>6</v>
      </c>
      <c r="E686">
        <v>32216</v>
      </c>
      <c r="F686">
        <v>193296</v>
      </c>
      <c r="G686" t="s">
        <v>23</v>
      </c>
      <c r="H686" t="s">
        <v>15</v>
      </c>
      <c r="I686" t="str">
        <f>TEXT(tblSales[[#This Row],[Date]],"mmm")</f>
        <v>Jun</v>
      </c>
    </row>
    <row r="687" spans="1:9" x14ac:dyDescent="0.3">
      <c r="A687" s="1">
        <v>45452</v>
      </c>
      <c r="B687" t="s">
        <v>891</v>
      </c>
      <c r="C687" t="s">
        <v>26</v>
      </c>
      <c r="D687">
        <v>36</v>
      </c>
      <c r="E687">
        <v>33384</v>
      </c>
      <c r="F687">
        <v>1201824</v>
      </c>
      <c r="G687" t="s">
        <v>23</v>
      </c>
      <c r="H687" t="s">
        <v>30</v>
      </c>
      <c r="I687" t="str">
        <f>TEXT(tblSales[[#This Row],[Date]],"mmm")</f>
        <v>Jun</v>
      </c>
    </row>
    <row r="688" spans="1:9" x14ac:dyDescent="0.3">
      <c r="A688" s="1">
        <v>45449</v>
      </c>
      <c r="B688" t="s">
        <v>895</v>
      </c>
      <c r="C688" t="s">
        <v>35</v>
      </c>
      <c r="D688">
        <v>2</v>
      </c>
      <c r="E688">
        <v>43544</v>
      </c>
      <c r="F688">
        <v>87088</v>
      </c>
      <c r="G688" t="s">
        <v>19</v>
      </c>
      <c r="H688" t="s">
        <v>11</v>
      </c>
      <c r="I688" t="str">
        <f>TEXT(tblSales[[#This Row],[Date]],"mmm")</f>
        <v>Jun</v>
      </c>
    </row>
    <row r="689" spans="1:9" x14ac:dyDescent="0.3">
      <c r="A689" s="1">
        <v>45473</v>
      </c>
      <c r="B689" t="s">
        <v>930</v>
      </c>
      <c r="C689" t="s">
        <v>22</v>
      </c>
      <c r="D689">
        <v>3</v>
      </c>
      <c r="E689">
        <v>43380</v>
      </c>
      <c r="F689">
        <v>130140</v>
      </c>
      <c r="G689" t="s">
        <v>10</v>
      </c>
      <c r="H689" t="s">
        <v>30</v>
      </c>
      <c r="I689" t="str">
        <f>TEXT(tblSales[[#This Row],[Date]],"mmm")</f>
        <v>Jun</v>
      </c>
    </row>
    <row r="690" spans="1:9" x14ac:dyDescent="0.3">
      <c r="A690" s="1">
        <v>45470</v>
      </c>
      <c r="B690" t="s">
        <v>938</v>
      </c>
      <c r="C690" t="s">
        <v>9</v>
      </c>
      <c r="D690">
        <v>2</v>
      </c>
      <c r="E690">
        <v>22507</v>
      </c>
      <c r="F690">
        <v>45014</v>
      </c>
      <c r="G690" t="s">
        <v>19</v>
      </c>
      <c r="H690" t="s">
        <v>11</v>
      </c>
      <c r="I690" t="str">
        <f>TEXT(tblSales[[#This Row],[Date]],"mmm")</f>
        <v>Jun</v>
      </c>
    </row>
    <row r="691" spans="1:9" x14ac:dyDescent="0.3">
      <c r="A691" s="1">
        <v>45463</v>
      </c>
      <c r="B691" t="s">
        <v>951</v>
      </c>
      <c r="C691" t="s">
        <v>9</v>
      </c>
      <c r="D691">
        <v>29</v>
      </c>
      <c r="E691">
        <v>34387</v>
      </c>
      <c r="F691">
        <v>997223</v>
      </c>
      <c r="G691" t="s">
        <v>19</v>
      </c>
      <c r="H691" t="s">
        <v>27</v>
      </c>
      <c r="I691" t="str">
        <f>TEXT(tblSales[[#This Row],[Date]],"mmm")</f>
        <v>Jun</v>
      </c>
    </row>
    <row r="692" spans="1:9" x14ac:dyDescent="0.3">
      <c r="A692" s="1">
        <v>45451</v>
      </c>
      <c r="B692" t="s">
        <v>965</v>
      </c>
      <c r="C692" t="s">
        <v>13</v>
      </c>
      <c r="D692">
        <v>34</v>
      </c>
      <c r="E692">
        <v>10043</v>
      </c>
      <c r="F692">
        <v>341462</v>
      </c>
      <c r="G692" t="s">
        <v>19</v>
      </c>
      <c r="H692" t="s">
        <v>27</v>
      </c>
      <c r="I692" t="str">
        <f>TEXT(tblSales[[#This Row],[Date]],"mmm")</f>
        <v>Jun</v>
      </c>
    </row>
    <row r="693" spans="1:9" x14ac:dyDescent="0.3">
      <c r="A693" s="1">
        <v>45469</v>
      </c>
      <c r="B693" t="s">
        <v>1026</v>
      </c>
      <c r="C693" t="s">
        <v>13</v>
      </c>
      <c r="D693">
        <v>6</v>
      </c>
      <c r="E693">
        <v>9783</v>
      </c>
      <c r="F693">
        <v>58698</v>
      </c>
      <c r="G693" t="s">
        <v>23</v>
      </c>
      <c r="H693" t="s">
        <v>11</v>
      </c>
      <c r="I693" t="str">
        <f>TEXT(tblSales[[#This Row],[Date]],"mmm")</f>
        <v>Jun</v>
      </c>
    </row>
    <row r="694" spans="1:9" x14ac:dyDescent="0.3">
      <c r="A694" s="1">
        <v>45454</v>
      </c>
      <c r="B694" t="s">
        <v>1029</v>
      </c>
      <c r="C694" t="s">
        <v>13</v>
      </c>
      <c r="D694">
        <v>12</v>
      </c>
      <c r="E694">
        <v>14164</v>
      </c>
      <c r="F694">
        <v>169968</v>
      </c>
      <c r="G694" t="s">
        <v>14</v>
      </c>
      <c r="H694" t="s">
        <v>17</v>
      </c>
      <c r="I694" t="str">
        <f>TEXT(tblSales[[#This Row],[Date]],"mmm")</f>
        <v>Jun</v>
      </c>
    </row>
    <row r="695" spans="1:9" x14ac:dyDescent="0.3">
      <c r="A695" s="1">
        <v>45447</v>
      </c>
      <c r="B695" t="s">
        <v>1059</v>
      </c>
      <c r="C695" t="s">
        <v>22</v>
      </c>
      <c r="D695">
        <v>20</v>
      </c>
      <c r="E695">
        <v>22456</v>
      </c>
      <c r="F695">
        <v>449120</v>
      </c>
      <c r="G695" t="s">
        <v>19</v>
      </c>
      <c r="H695" t="s">
        <v>27</v>
      </c>
      <c r="I695" t="str">
        <f>TEXT(tblSales[[#This Row],[Date]],"mmm")</f>
        <v>Jun</v>
      </c>
    </row>
    <row r="696" spans="1:9" x14ac:dyDescent="0.3">
      <c r="A696" s="1">
        <v>45447</v>
      </c>
      <c r="B696" t="s">
        <v>1075</v>
      </c>
      <c r="C696" t="s">
        <v>13</v>
      </c>
      <c r="D696">
        <v>32</v>
      </c>
      <c r="E696">
        <v>14073</v>
      </c>
      <c r="F696">
        <v>450336</v>
      </c>
      <c r="G696" t="s">
        <v>14</v>
      </c>
      <c r="H696" t="s">
        <v>27</v>
      </c>
      <c r="I696" t="str">
        <f>TEXT(tblSales[[#This Row],[Date]],"mmm")</f>
        <v>Jun</v>
      </c>
    </row>
    <row r="697" spans="1:9" x14ac:dyDescent="0.3">
      <c r="A697" s="1">
        <v>45453</v>
      </c>
      <c r="B697" t="s">
        <v>1088</v>
      </c>
      <c r="C697" t="s">
        <v>35</v>
      </c>
      <c r="D697">
        <v>5</v>
      </c>
      <c r="E697">
        <v>5378</v>
      </c>
      <c r="F697">
        <v>26890</v>
      </c>
      <c r="G697" t="s">
        <v>10</v>
      </c>
      <c r="H697" t="s">
        <v>17</v>
      </c>
      <c r="I697" t="str">
        <f>TEXT(tblSales[[#This Row],[Date]],"mmm")</f>
        <v>Jun</v>
      </c>
    </row>
    <row r="698" spans="1:9" x14ac:dyDescent="0.3">
      <c r="A698" s="1">
        <v>45447</v>
      </c>
      <c r="B698" t="s">
        <v>1091</v>
      </c>
      <c r="C698" t="s">
        <v>35</v>
      </c>
      <c r="D698">
        <v>27</v>
      </c>
      <c r="E698">
        <v>12958</v>
      </c>
      <c r="F698">
        <v>349866</v>
      </c>
      <c r="G698" t="s">
        <v>19</v>
      </c>
      <c r="H698" t="s">
        <v>15</v>
      </c>
      <c r="I698" t="str">
        <f>TEXT(tblSales[[#This Row],[Date]],"mmm")</f>
        <v>Jun</v>
      </c>
    </row>
    <row r="699" spans="1:9" x14ac:dyDescent="0.3">
      <c r="A699" s="1">
        <v>45448</v>
      </c>
      <c r="B699" t="s">
        <v>1097</v>
      </c>
      <c r="C699" t="s">
        <v>22</v>
      </c>
      <c r="D699">
        <v>8</v>
      </c>
      <c r="E699">
        <v>27746</v>
      </c>
      <c r="F699">
        <v>221968</v>
      </c>
      <c r="G699" t="s">
        <v>19</v>
      </c>
      <c r="H699" t="s">
        <v>15</v>
      </c>
      <c r="I699" t="str">
        <f>TEXT(tblSales[[#This Row],[Date]],"mmm")</f>
        <v>Jun</v>
      </c>
    </row>
    <row r="700" spans="1:9" x14ac:dyDescent="0.3">
      <c r="A700" s="1">
        <v>45472</v>
      </c>
      <c r="B700" t="s">
        <v>1108</v>
      </c>
      <c r="C700" t="s">
        <v>13</v>
      </c>
      <c r="D700">
        <v>33</v>
      </c>
      <c r="E700">
        <v>26341</v>
      </c>
      <c r="F700">
        <v>869253</v>
      </c>
      <c r="G700" t="s">
        <v>23</v>
      </c>
      <c r="H700" t="s">
        <v>30</v>
      </c>
      <c r="I700" t="str">
        <f>TEXT(tblSales[[#This Row],[Date]],"mmm")</f>
        <v>Jun</v>
      </c>
    </row>
    <row r="701" spans="1:9" x14ac:dyDescent="0.3">
      <c r="A701" s="1">
        <v>45453</v>
      </c>
      <c r="B701" t="s">
        <v>1117</v>
      </c>
      <c r="C701" t="s">
        <v>26</v>
      </c>
      <c r="D701">
        <v>17</v>
      </c>
      <c r="E701">
        <v>7336</v>
      </c>
      <c r="F701">
        <v>124712</v>
      </c>
      <c r="G701" t="s">
        <v>19</v>
      </c>
      <c r="H701" t="s">
        <v>27</v>
      </c>
      <c r="I701" t="str">
        <f>TEXT(tblSales[[#This Row],[Date]],"mmm")</f>
        <v>Jun</v>
      </c>
    </row>
    <row r="702" spans="1:9" x14ac:dyDescent="0.3">
      <c r="A702" s="1">
        <v>45460</v>
      </c>
      <c r="B702" t="s">
        <v>1118</v>
      </c>
      <c r="C702" t="s">
        <v>13</v>
      </c>
      <c r="D702">
        <v>15</v>
      </c>
      <c r="E702">
        <v>32090</v>
      </c>
      <c r="F702">
        <v>481350</v>
      </c>
      <c r="G702" t="s">
        <v>19</v>
      </c>
      <c r="H702" t="s">
        <v>17</v>
      </c>
      <c r="I702" t="str">
        <f>TEXT(tblSales[[#This Row],[Date]],"mmm")</f>
        <v>Jun</v>
      </c>
    </row>
    <row r="703" spans="1:9" x14ac:dyDescent="0.3">
      <c r="A703" s="1">
        <v>45471</v>
      </c>
      <c r="B703" t="s">
        <v>1130</v>
      </c>
      <c r="C703" t="s">
        <v>35</v>
      </c>
      <c r="D703">
        <v>27</v>
      </c>
      <c r="E703">
        <v>11544</v>
      </c>
      <c r="F703">
        <v>311688</v>
      </c>
      <c r="G703" t="s">
        <v>23</v>
      </c>
      <c r="H703" t="s">
        <v>27</v>
      </c>
      <c r="I703" t="str">
        <f>TEXT(tblSales[[#This Row],[Date]],"mmm")</f>
        <v>Jun</v>
      </c>
    </row>
    <row r="704" spans="1:9" x14ac:dyDescent="0.3">
      <c r="A704" s="1">
        <v>45472</v>
      </c>
      <c r="B704" t="s">
        <v>1133</v>
      </c>
      <c r="C704" t="s">
        <v>26</v>
      </c>
      <c r="D704">
        <v>22</v>
      </c>
      <c r="E704">
        <v>9092</v>
      </c>
      <c r="F704">
        <v>200024</v>
      </c>
      <c r="G704" t="s">
        <v>19</v>
      </c>
      <c r="H704" t="s">
        <v>30</v>
      </c>
      <c r="I704" t="str">
        <f>TEXT(tblSales[[#This Row],[Date]],"mmm")</f>
        <v>Jun</v>
      </c>
    </row>
    <row r="705" spans="1:9" x14ac:dyDescent="0.3">
      <c r="A705" s="1">
        <v>45447</v>
      </c>
      <c r="B705" t="s">
        <v>1146</v>
      </c>
      <c r="C705" t="s">
        <v>26</v>
      </c>
      <c r="D705">
        <v>7</v>
      </c>
      <c r="E705">
        <v>20793</v>
      </c>
      <c r="F705">
        <v>145551</v>
      </c>
      <c r="G705" t="s">
        <v>23</v>
      </c>
      <c r="H705" t="s">
        <v>27</v>
      </c>
      <c r="I705" t="str">
        <f>TEXT(tblSales[[#This Row],[Date]],"mmm")</f>
        <v>Jun</v>
      </c>
    </row>
    <row r="706" spans="1:9" x14ac:dyDescent="0.3">
      <c r="A706" s="1">
        <v>45460</v>
      </c>
      <c r="B706" t="s">
        <v>1148</v>
      </c>
      <c r="C706" t="s">
        <v>26</v>
      </c>
      <c r="D706">
        <v>13</v>
      </c>
      <c r="E706">
        <v>33215</v>
      </c>
      <c r="F706">
        <v>431795</v>
      </c>
      <c r="G706" t="s">
        <v>14</v>
      </c>
      <c r="H706" t="s">
        <v>30</v>
      </c>
      <c r="I706" t="str">
        <f>TEXT(tblSales[[#This Row],[Date]],"mmm")</f>
        <v>Jun</v>
      </c>
    </row>
    <row r="707" spans="1:9" x14ac:dyDescent="0.3">
      <c r="A707" s="1">
        <v>45452</v>
      </c>
      <c r="B707" t="s">
        <v>1167</v>
      </c>
      <c r="C707" t="s">
        <v>9</v>
      </c>
      <c r="D707">
        <v>10</v>
      </c>
      <c r="E707">
        <v>19434</v>
      </c>
      <c r="F707">
        <v>194340</v>
      </c>
      <c r="G707" t="s">
        <v>23</v>
      </c>
      <c r="H707" t="s">
        <v>15</v>
      </c>
      <c r="I707" t="str">
        <f>TEXT(tblSales[[#This Row],[Date]],"mmm")</f>
        <v>Jun</v>
      </c>
    </row>
    <row r="708" spans="1:9" x14ac:dyDescent="0.3">
      <c r="A708" s="1">
        <v>45444</v>
      </c>
      <c r="B708" t="s">
        <v>1171</v>
      </c>
      <c r="C708" t="s">
        <v>9</v>
      </c>
      <c r="D708">
        <v>21</v>
      </c>
      <c r="E708">
        <v>20981</v>
      </c>
      <c r="F708">
        <v>440601</v>
      </c>
      <c r="G708" t="s">
        <v>19</v>
      </c>
      <c r="H708" t="s">
        <v>17</v>
      </c>
      <c r="I708" t="str">
        <f>TEXT(tblSales[[#This Row],[Date]],"mmm")</f>
        <v>Jun</v>
      </c>
    </row>
    <row r="709" spans="1:9" x14ac:dyDescent="0.3">
      <c r="A709" s="1">
        <v>45469</v>
      </c>
      <c r="B709" t="s">
        <v>1174</v>
      </c>
      <c r="C709" t="s">
        <v>22</v>
      </c>
      <c r="D709">
        <v>13</v>
      </c>
      <c r="E709">
        <v>43896</v>
      </c>
      <c r="F709">
        <v>570648</v>
      </c>
      <c r="G709" t="s">
        <v>19</v>
      </c>
      <c r="H709" t="s">
        <v>27</v>
      </c>
      <c r="I709" t="str">
        <f>TEXT(tblSales[[#This Row],[Date]],"mmm")</f>
        <v>Jun</v>
      </c>
    </row>
    <row r="710" spans="1:9" x14ac:dyDescent="0.3">
      <c r="A710" s="1">
        <v>45456</v>
      </c>
      <c r="B710" t="s">
        <v>1176</v>
      </c>
      <c r="C710" t="s">
        <v>26</v>
      </c>
      <c r="D710">
        <v>25</v>
      </c>
      <c r="E710">
        <v>17973</v>
      </c>
      <c r="F710">
        <v>449325</v>
      </c>
      <c r="G710" t="s">
        <v>23</v>
      </c>
      <c r="H710" t="s">
        <v>27</v>
      </c>
      <c r="I710" t="str">
        <f>TEXT(tblSales[[#This Row],[Date]],"mmm")</f>
        <v>Jun</v>
      </c>
    </row>
    <row r="711" spans="1:9" x14ac:dyDescent="0.3">
      <c r="A711" s="1">
        <v>45466</v>
      </c>
      <c r="B711" t="s">
        <v>1181</v>
      </c>
      <c r="C711" t="s">
        <v>13</v>
      </c>
      <c r="D711">
        <v>22</v>
      </c>
      <c r="E711">
        <v>26886</v>
      </c>
      <c r="F711">
        <v>591492</v>
      </c>
      <c r="G711" t="s">
        <v>14</v>
      </c>
      <c r="H711" t="s">
        <v>17</v>
      </c>
      <c r="I711" t="str">
        <f>TEXT(tblSales[[#This Row],[Date]],"mmm")</f>
        <v>Jun</v>
      </c>
    </row>
    <row r="712" spans="1:9" x14ac:dyDescent="0.3">
      <c r="A712" s="1">
        <v>45455</v>
      </c>
      <c r="B712" t="s">
        <v>1183</v>
      </c>
      <c r="C712" t="s">
        <v>22</v>
      </c>
      <c r="D712">
        <v>13</v>
      </c>
      <c r="E712">
        <v>34202</v>
      </c>
      <c r="F712">
        <v>444626</v>
      </c>
      <c r="G712" t="s">
        <v>14</v>
      </c>
      <c r="H712" t="s">
        <v>27</v>
      </c>
      <c r="I712" t="str">
        <f>TEXT(tblSales[[#This Row],[Date]],"mmm")</f>
        <v>Jun</v>
      </c>
    </row>
    <row r="713" spans="1:9" x14ac:dyDescent="0.3">
      <c r="A713" s="1">
        <v>45444</v>
      </c>
      <c r="B713" t="s">
        <v>1189</v>
      </c>
      <c r="C713" t="s">
        <v>35</v>
      </c>
      <c r="D713">
        <v>15</v>
      </c>
      <c r="E713">
        <v>42032</v>
      </c>
      <c r="F713">
        <v>630480</v>
      </c>
      <c r="G713" t="s">
        <v>19</v>
      </c>
      <c r="H713" t="s">
        <v>15</v>
      </c>
      <c r="I713" t="str">
        <f>TEXT(tblSales[[#This Row],[Date]],"mmm")</f>
        <v>Jun</v>
      </c>
    </row>
    <row r="714" spans="1:9" x14ac:dyDescent="0.3">
      <c r="A714" s="1">
        <v>45457</v>
      </c>
      <c r="B714" t="s">
        <v>1198</v>
      </c>
      <c r="C714" t="s">
        <v>26</v>
      </c>
      <c r="D714">
        <v>8</v>
      </c>
      <c r="E714">
        <v>14615</v>
      </c>
      <c r="F714">
        <v>116920</v>
      </c>
      <c r="G714" t="s">
        <v>10</v>
      </c>
      <c r="H714" t="s">
        <v>15</v>
      </c>
      <c r="I714" t="str">
        <f>TEXT(tblSales[[#This Row],[Date]],"mmm")</f>
        <v>Jun</v>
      </c>
    </row>
    <row r="715" spans="1:9" x14ac:dyDescent="0.3">
      <c r="A715" s="1">
        <v>45472</v>
      </c>
      <c r="B715" t="s">
        <v>1207</v>
      </c>
      <c r="C715" t="s">
        <v>13</v>
      </c>
      <c r="D715">
        <v>7</v>
      </c>
      <c r="E715">
        <v>7017</v>
      </c>
      <c r="F715">
        <v>49119</v>
      </c>
      <c r="G715" t="s">
        <v>10</v>
      </c>
      <c r="H715" t="s">
        <v>30</v>
      </c>
      <c r="I715" t="str">
        <f>TEXT(tblSales[[#This Row],[Date]],"mmm")</f>
        <v>Jun</v>
      </c>
    </row>
    <row r="716" spans="1:9" x14ac:dyDescent="0.3">
      <c r="A716" s="1">
        <v>45471</v>
      </c>
      <c r="B716" t="s">
        <v>1235</v>
      </c>
      <c r="C716" t="s">
        <v>35</v>
      </c>
      <c r="D716">
        <v>19</v>
      </c>
      <c r="E716">
        <v>11510</v>
      </c>
      <c r="F716">
        <v>218690</v>
      </c>
      <c r="G716" t="s">
        <v>14</v>
      </c>
      <c r="H716" t="s">
        <v>17</v>
      </c>
      <c r="I716" t="str">
        <f>TEXT(tblSales[[#This Row],[Date]],"mmm")</f>
        <v>Jun</v>
      </c>
    </row>
    <row r="717" spans="1:9" x14ac:dyDescent="0.3">
      <c r="A717" s="1">
        <v>45458</v>
      </c>
      <c r="B717" t="s">
        <v>1251</v>
      </c>
      <c r="C717" t="s">
        <v>9</v>
      </c>
      <c r="D717">
        <v>37</v>
      </c>
      <c r="E717">
        <v>36088</v>
      </c>
      <c r="F717">
        <v>1335256</v>
      </c>
      <c r="G717" t="s">
        <v>19</v>
      </c>
      <c r="H717" t="s">
        <v>30</v>
      </c>
      <c r="I717" t="str">
        <f>TEXT(tblSales[[#This Row],[Date]],"mmm")</f>
        <v>Jun</v>
      </c>
    </row>
    <row r="718" spans="1:9" x14ac:dyDescent="0.3">
      <c r="A718" s="1">
        <v>45469</v>
      </c>
      <c r="B718" t="s">
        <v>1272</v>
      </c>
      <c r="C718" t="s">
        <v>9</v>
      </c>
      <c r="D718">
        <v>26</v>
      </c>
      <c r="E718">
        <v>29255</v>
      </c>
      <c r="F718">
        <v>760630</v>
      </c>
      <c r="G718" t="s">
        <v>14</v>
      </c>
      <c r="H718" t="s">
        <v>11</v>
      </c>
      <c r="I718" t="str">
        <f>TEXT(tblSales[[#This Row],[Date]],"mmm")</f>
        <v>Jun</v>
      </c>
    </row>
    <row r="719" spans="1:9" x14ac:dyDescent="0.3">
      <c r="A719" s="1">
        <v>45463</v>
      </c>
      <c r="B719" t="s">
        <v>1275</v>
      </c>
      <c r="C719" t="s">
        <v>9</v>
      </c>
      <c r="D719">
        <v>32</v>
      </c>
      <c r="E719">
        <v>5157</v>
      </c>
      <c r="F719">
        <v>165024</v>
      </c>
      <c r="G719" t="s">
        <v>14</v>
      </c>
      <c r="H719" t="s">
        <v>15</v>
      </c>
      <c r="I719" t="str">
        <f>TEXT(tblSales[[#This Row],[Date]],"mmm")</f>
        <v>Jun</v>
      </c>
    </row>
    <row r="720" spans="1:9" x14ac:dyDescent="0.3">
      <c r="A720" s="1">
        <v>45455</v>
      </c>
      <c r="B720" t="s">
        <v>1278</v>
      </c>
      <c r="C720" t="s">
        <v>13</v>
      </c>
      <c r="D720">
        <v>9</v>
      </c>
      <c r="E720">
        <v>27584</v>
      </c>
      <c r="F720">
        <v>248256</v>
      </c>
      <c r="G720" t="s">
        <v>10</v>
      </c>
      <c r="H720" t="s">
        <v>11</v>
      </c>
      <c r="I720" t="str">
        <f>TEXT(tblSales[[#This Row],[Date]],"mmm")</f>
        <v>Jun</v>
      </c>
    </row>
    <row r="721" spans="1:9" x14ac:dyDescent="0.3">
      <c r="A721" s="1">
        <v>45452</v>
      </c>
      <c r="B721" t="s">
        <v>1280</v>
      </c>
      <c r="C721" t="s">
        <v>13</v>
      </c>
      <c r="D721">
        <v>38</v>
      </c>
      <c r="E721">
        <v>37732</v>
      </c>
      <c r="F721">
        <v>1433816</v>
      </c>
      <c r="G721" t="s">
        <v>23</v>
      </c>
      <c r="H721" t="s">
        <v>30</v>
      </c>
      <c r="I721" t="str">
        <f>TEXT(tblSales[[#This Row],[Date]],"mmm")</f>
        <v>Jun</v>
      </c>
    </row>
    <row r="722" spans="1:9" x14ac:dyDescent="0.3">
      <c r="A722" s="1">
        <v>45444</v>
      </c>
      <c r="B722" t="s">
        <v>1287</v>
      </c>
      <c r="C722" t="s">
        <v>9</v>
      </c>
      <c r="D722">
        <v>15</v>
      </c>
      <c r="E722">
        <v>22721</v>
      </c>
      <c r="F722">
        <v>340815</v>
      </c>
      <c r="G722" t="s">
        <v>23</v>
      </c>
      <c r="H722" t="s">
        <v>11</v>
      </c>
      <c r="I722" t="str">
        <f>TEXT(tblSales[[#This Row],[Date]],"mmm")</f>
        <v>Jun</v>
      </c>
    </row>
    <row r="723" spans="1:9" x14ac:dyDescent="0.3">
      <c r="A723" s="1">
        <v>45471</v>
      </c>
      <c r="B723" t="s">
        <v>1290</v>
      </c>
      <c r="C723" t="s">
        <v>9</v>
      </c>
      <c r="D723">
        <v>38</v>
      </c>
      <c r="E723">
        <v>34013</v>
      </c>
      <c r="F723">
        <v>1292494</v>
      </c>
      <c r="G723" t="s">
        <v>10</v>
      </c>
      <c r="H723" t="s">
        <v>15</v>
      </c>
      <c r="I723" t="str">
        <f>TEXT(tblSales[[#This Row],[Date]],"mmm")</f>
        <v>Jun</v>
      </c>
    </row>
    <row r="724" spans="1:9" x14ac:dyDescent="0.3">
      <c r="A724" s="1">
        <v>45469</v>
      </c>
      <c r="B724" t="s">
        <v>1295</v>
      </c>
      <c r="C724" t="s">
        <v>26</v>
      </c>
      <c r="D724">
        <v>7</v>
      </c>
      <c r="E724">
        <v>18232</v>
      </c>
      <c r="F724">
        <v>127624</v>
      </c>
      <c r="G724" t="s">
        <v>23</v>
      </c>
      <c r="H724" t="s">
        <v>11</v>
      </c>
      <c r="I724" t="str">
        <f>TEXT(tblSales[[#This Row],[Date]],"mmm")</f>
        <v>Jun</v>
      </c>
    </row>
    <row r="725" spans="1:9" x14ac:dyDescent="0.3">
      <c r="A725" s="1">
        <v>45449</v>
      </c>
      <c r="B725" t="s">
        <v>1302</v>
      </c>
      <c r="C725" t="s">
        <v>35</v>
      </c>
      <c r="D725">
        <v>6</v>
      </c>
      <c r="E725">
        <v>33751</v>
      </c>
      <c r="F725">
        <v>202506</v>
      </c>
      <c r="G725" t="s">
        <v>14</v>
      </c>
      <c r="H725" t="s">
        <v>27</v>
      </c>
      <c r="I725" t="str">
        <f>TEXT(tblSales[[#This Row],[Date]],"mmm")</f>
        <v>Jun</v>
      </c>
    </row>
    <row r="726" spans="1:9" x14ac:dyDescent="0.3">
      <c r="A726" s="1">
        <v>45452</v>
      </c>
      <c r="B726" t="s">
        <v>1318</v>
      </c>
      <c r="C726" t="s">
        <v>9</v>
      </c>
      <c r="D726">
        <v>32</v>
      </c>
      <c r="E726">
        <v>6458</v>
      </c>
      <c r="F726">
        <v>206656</v>
      </c>
      <c r="G726" t="s">
        <v>10</v>
      </c>
      <c r="H726" t="s">
        <v>17</v>
      </c>
      <c r="I726" t="str">
        <f>TEXT(tblSales[[#This Row],[Date]],"mmm")</f>
        <v>Jun</v>
      </c>
    </row>
    <row r="727" spans="1:9" x14ac:dyDescent="0.3">
      <c r="A727" s="1">
        <v>45456</v>
      </c>
      <c r="B727" t="s">
        <v>1330</v>
      </c>
      <c r="C727" t="s">
        <v>35</v>
      </c>
      <c r="D727">
        <v>28</v>
      </c>
      <c r="E727">
        <v>21890</v>
      </c>
      <c r="F727">
        <v>612920</v>
      </c>
      <c r="G727" t="s">
        <v>10</v>
      </c>
      <c r="H727" t="s">
        <v>17</v>
      </c>
      <c r="I727" t="str">
        <f>TEXT(tblSales[[#This Row],[Date]],"mmm")</f>
        <v>Jun</v>
      </c>
    </row>
    <row r="728" spans="1:9" x14ac:dyDescent="0.3">
      <c r="A728" s="1">
        <v>45471</v>
      </c>
      <c r="B728" t="s">
        <v>1341</v>
      </c>
      <c r="C728" t="s">
        <v>13</v>
      </c>
      <c r="D728">
        <v>27</v>
      </c>
      <c r="E728">
        <v>38749</v>
      </c>
      <c r="F728">
        <v>1046223</v>
      </c>
      <c r="G728" t="s">
        <v>19</v>
      </c>
      <c r="H728" t="s">
        <v>27</v>
      </c>
      <c r="I728" t="str">
        <f>TEXT(tblSales[[#This Row],[Date]],"mmm")</f>
        <v>Jun</v>
      </c>
    </row>
    <row r="729" spans="1:9" x14ac:dyDescent="0.3">
      <c r="A729" s="1">
        <v>45473</v>
      </c>
      <c r="B729" t="s">
        <v>1364</v>
      </c>
      <c r="C729" t="s">
        <v>22</v>
      </c>
      <c r="D729">
        <v>23</v>
      </c>
      <c r="E729">
        <v>27520</v>
      </c>
      <c r="F729">
        <v>632960</v>
      </c>
      <c r="G729" t="s">
        <v>23</v>
      </c>
      <c r="H729" t="s">
        <v>27</v>
      </c>
      <c r="I729" t="str">
        <f>TEXT(tblSales[[#This Row],[Date]],"mmm")</f>
        <v>Jun</v>
      </c>
    </row>
    <row r="730" spans="1:9" x14ac:dyDescent="0.3">
      <c r="A730" s="1">
        <v>45466</v>
      </c>
      <c r="B730" t="s">
        <v>1367</v>
      </c>
      <c r="C730" t="s">
        <v>26</v>
      </c>
      <c r="D730">
        <v>38</v>
      </c>
      <c r="E730">
        <v>30364</v>
      </c>
      <c r="F730">
        <v>1153832</v>
      </c>
      <c r="G730" t="s">
        <v>14</v>
      </c>
      <c r="H730" t="s">
        <v>15</v>
      </c>
      <c r="I730" t="str">
        <f>TEXT(tblSales[[#This Row],[Date]],"mmm")</f>
        <v>Jun</v>
      </c>
    </row>
    <row r="731" spans="1:9" x14ac:dyDescent="0.3">
      <c r="A731" s="1">
        <v>45466</v>
      </c>
      <c r="B731" t="s">
        <v>1376</v>
      </c>
      <c r="C731" t="s">
        <v>13</v>
      </c>
      <c r="D731">
        <v>26</v>
      </c>
      <c r="E731">
        <v>43037</v>
      </c>
      <c r="F731">
        <v>1118962</v>
      </c>
      <c r="G731" t="s">
        <v>19</v>
      </c>
      <c r="H731" t="s">
        <v>15</v>
      </c>
      <c r="I731" t="str">
        <f>TEXT(tblSales[[#This Row],[Date]],"mmm")</f>
        <v>Jun</v>
      </c>
    </row>
    <row r="732" spans="1:9" x14ac:dyDescent="0.3">
      <c r="A732" s="1">
        <v>45454</v>
      </c>
      <c r="B732" t="s">
        <v>1380</v>
      </c>
      <c r="C732" t="s">
        <v>26</v>
      </c>
      <c r="D732">
        <v>13</v>
      </c>
      <c r="E732">
        <v>41533</v>
      </c>
      <c r="F732">
        <v>539929</v>
      </c>
      <c r="G732" t="s">
        <v>23</v>
      </c>
      <c r="H732" t="s">
        <v>30</v>
      </c>
      <c r="I732" t="str">
        <f>TEXT(tblSales[[#This Row],[Date]],"mmm")</f>
        <v>Jun</v>
      </c>
    </row>
    <row r="733" spans="1:9" x14ac:dyDescent="0.3">
      <c r="A733" s="1">
        <v>45453</v>
      </c>
      <c r="B733" t="s">
        <v>1392</v>
      </c>
      <c r="C733" t="s">
        <v>22</v>
      </c>
      <c r="D733">
        <v>39</v>
      </c>
      <c r="E733">
        <v>21903</v>
      </c>
      <c r="F733">
        <v>854217</v>
      </c>
      <c r="G733" t="s">
        <v>19</v>
      </c>
      <c r="H733" t="s">
        <v>27</v>
      </c>
      <c r="I733" t="str">
        <f>TEXT(tblSales[[#This Row],[Date]],"mmm")</f>
        <v>Jun</v>
      </c>
    </row>
    <row r="734" spans="1:9" x14ac:dyDescent="0.3">
      <c r="A734" s="1">
        <v>45449</v>
      </c>
      <c r="B734" t="s">
        <v>1396</v>
      </c>
      <c r="C734" t="s">
        <v>13</v>
      </c>
      <c r="D734">
        <v>37</v>
      </c>
      <c r="E734">
        <v>11481</v>
      </c>
      <c r="F734">
        <v>424797</v>
      </c>
      <c r="G734" t="s">
        <v>23</v>
      </c>
      <c r="H734" t="s">
        <v>11</v>
      </c>
      <c r="I734" t="str">
        <f>TEXT(tblSales[[#This Row],[Date]],"mmm")</f>
        <v>Jun</v>
      </c>
    </row>
    <row r="735" spans="1:9" x14ac:dyDescent="0.3">
      <c r="A735" s="1">
        <v>45464</v>
      </c>
      <c r="B735" t="s">
        <v>1413</v>
      </c>
      <c r="C735" t="s">
        <v>22</v>
      </c>
      <c r="D735">
        <v>12</v>
      </c>
      <c r="E735">
        <v>6305</v>
      </c>
      <c r="F735">
        <v>75660</v>
      </c>
      <c r="G735" t="s">
        <v>23</v>
      </c>
      <c r="H735" t="s">
        <v>30</v>
      </c>
      <c r="I735" t="str">
        <f>TEXT(tblSales[[#This Row],[Date]],"mmm")</f>
        <v>Jun</v>
      </c>
    </row>
    <row r="736" spans="1:9" x14ac:dyDescent="0.3">
      <c r="A736" s="1">
        <v>45465</v>
      </c>
      <c r="B736" t="s">
        <v>1420</v>
      </c>
      <c r="C736" t="s">
        <v>9</v>
      </c>
      <c r="D736">
        <v>32</v>
      </c>
      <c r="E736">
        <v>8143</v>
      </c>
      <c r="F736">
        <v>260576</v>
      </c>
      <c r="G736" t="s">
        <v>10</v>
      </c>
      <c r="H736" t="s">
        <v>30</v>
      </c>
      <c r="I736" t="str">
        <f>TEXT(tblSales[[#This Row],[Date]],"mmm")</f>
        <v>Jun</v>
      </c>
    </row>
    <row r="737" spans="1:9" x14ac:dyDescent="0.3">
      <c r="A737" s="1">
        <v>45444</v>
      </c>
      <c r="B737" t="s">
        <v>1423</v>
      </c>
      <c r="C737" t="s">
        <v>9</v>
      </c>
      <c r="D737">
        <v>28</v>
      </c>
      <c r="E737">
        <v>6741</v>
      </c>
      <c r="F737">
        <v>188748</v>
      </c>
      <c r="G737" t="s">
        <v>23</v>
      </c>
      <c r="H737" t="s">
        <v>11</v>
      </c>
      <c r="I737" t="str">
        <f>TEXT(tblSales[[#This Row],[Date]],"mmm")</f>
        <v>Jun</v>
      </c>
    </row>
    <row r="738" spans="1:9" x14ac:dyDescent="0.3">
      <c r="A738" s="1">
        <v>45447</v>
      </c>
      <c r="B738" t="s">
        <v>1429</v>
      </c>
      <c r="C738" t="s">
        <v>13</v>
      </c>
      <c r="D738">
        <v>7</v>
      </c>
      <c r="E738">
        <v>20674</v>
      </c>
      <c r="F738">
        <v>144718</v>
      </c>
      <c r="G738" t="s">
        <v>23</v>
      </c>
      <c r="H738" t="s">
        <v>11</v>
      </c>
      <c r="I738" t="str">
        <f>TEXT(tblSales[[#This Row],[Date]],"mmm")</f>
        <v>Jun</v>
      </c>
    </row>
    <row r="739" spans="1:9" x14ac:dyDescent="0.3">
      <c r="A739" s="1">
        <v>45454</v>
      </c>
      <c r="B739" t="s">
        <v>1432</v>
      </c>
      <c r="C739" t="s">
        <v>26</v>
      </c>
      <c r="D739">
        <v>7</v>
      </c>
      <c r="E739">
        <v>16812</v>
      </c>
      <c r="F739">
        <v>117684</v>
      </c>
      <c r="G739" t="s">
        <v>23</v>
      </c>
      <c r="H739" t="s">
        <v>27</v>
      </c>
      <c r="I739" t="str">
        <f>TEXT(tblSales[[#This Row],[Date]],"mmm")</f>
        <v>Jun</v>
      </c>
    </row>
    <row r="740" spans="1:9" x14ac:dyDescent="0.3">
      <c r="A740" s="1">
        <v>45447</v>
      </c>
      <c r="B740" t="s">
        <v>1446</v>
      </c>
      <c r="C740" t="s">
        <v>22</v>
      </c>
      <c r="D740">
        <v>37</v>
      </c>
      <c r="E740">
        <v>20413</v>
      </c>
      <c r="F740">
        <v>755281</v>
      </c>
      <c r="G740" t="s">
        <v>19</v>
      </c>
      <c r="H740" t="s">
        <v>17</v>
      </c>
      <c r="I740" t="str">
        <f>TEXT(tblSales[[#This Row],[Date]],"mmm")</f>
        <v>Jun</v>
      </c>
    </row>
    <row r="741" spans="1:9" x14ac:dyDescent="0.3">
      <c r="A741" s="1">
        <v>45445</v>
      </c>
      <c r="B741" t="s">
        <v>1460</v>
      </c>
      <c r="C741" t="s">
        <v>22</v>
      </c>
      <c r="D741">
        <v>5</v>
      </c>
      <c r="E741">
        <v>22145</v>
      </c>
      <c r="F741">
        <v>110725</v>
      </c>
      <c r="G741" t="s">
        <v>14</v>
      </c>
      <c r="H741" t="s">
        <v>30</v>
      </c>
      <c r="I741" t="str">
        <f>TEXT(tblSales[[#This Row],[Date]],"mmm")</f>
        <v>Jun</v>
      </c>
    </row>
    <row r="742" spans="1:9" x14ac:dyDescent="0.3">
      <c r="A742" s="1">
        <v>45461</v>
      </c>
      <c r="B742" t="s">
        <v>1467</v>
      </c>
      <c r="C742" t="s">
        <v>35</v>
      </c>
      <c r="D742">
        <v>20</v>
      </c>
      <c r="E742">
        <v>9984</v>
      </c>
      <c r="F742">
        <v>199680</v>
      </c>
      <c r="G742" t="s">
        <v>14</v>
      </c>
      <c r="H742" t="s">
        <v>27</v>
      </c>
      <c r="I742" t="str">
        <f>TEXT(tblSales[[#This Row],[Date]],"mmm")</f>
        <v>Jun</v>
      </c>
    </row>
    <row r="743" spans="1:9" x14ac:dyDescent="0.3">
      <c r="A743" s="1">
        <v>45449</v>
      </c>
      <c r="B743" t="s">
        <v>1481</v>
      </c>
      <c r="C743" t="s">
        <v>26</v>
      </c>
      <c r="D743">
        <v>23</v>
      </c>
      <c r="E743">
        <v>31966</v>
      </c>
      <c r="F743">
        <v>735218</v>
      </c>
      <c r="G743" t="s">
        <v>23</v>
      </c>
      <c r="H743" t="s">
        <v>27</v>
      </c>
      <c r="I743" t="str">
        <f>TEXT(tblSales[[#This Row],[Date]],"mmm")</f>
        <v>Jun</v>
      </c>
    </row>
    <row r="744" spans="1:9" x14ac:dyDescent="0.3">
      <c r="A744" s="1">
        <v>45449</v>
      </c>
      <c r="B744" t="s">
        <v>1501</v>
      </c>
      <c r="C744" t="s">
        <v>26</v>
      </c>
      <c r="D744">
        <v>11</v>
      </c>
      <c r="E744">
        <v>35315</v>
      </c>
      <c r="F744">
        <v>388465</v>
      </c>
      <c r="G744" t="s">
        <v>23</v>
      </c>
      <c r="H744" t="s">
        <v>15</v>
      </c>
      <c r="I744" t="str">
        <f>TEXT(tblSales[[#This Row],[Date]],"mmm")</f>
        <v>Jun</v>
      </c>
    </row>
    <row r="745" spans="1:9" x14ac:dyDescent="0.3">
      <c r="A745" s="1">
        <v>45491</v>
      </c>
      <c r="B745" t="s">
        <v>16</v>
      </c>
      <c r="C745" t="s">
        <v>13</v>
      </c>
      <c r="D745">
        <v>11</v>
      </c>
      <c r="E745">
        <v>14736</v>
      </c>
      <c r="F745">
        <v>162096</v>
      </c>
      <c r="G745" t="s">
        <v>10</v>
      </c>
      <c r="H745" t="s">
        <v>17</v>
      </c>
      <c r="I745" t="str">
        <f>TEXT(tblSales[[#This Row],[Date]],"mmm")</f>
        <v>Jul</v>
      </c>
    </row>
    <row r="746" spans="1:9" x14ac:dyDescent="0.3">
      <c r="A746" s="1">
        <v>45484</v>
      </c>
      <c r="B746" t="s">
        <v>32</v>
      </c>
      <c r="C746" t="s">
        <v>26</v>
      </c>
      <c r="D746">
        <v>38</v>
      </c>
      <c r="E746">
        <v>25084</v>
      </c>
      <c r="F746">
        <v>953192</v>
      </c>
      <c r="G746" t="s">
        <v>10</v>
      </c>
      <c r="H746" t="s">
        <v>11</v>
      </c>
      <c r="I746" t="str">
        <f>TEXT(tblSales[[#This Row],[Date]],"mmm")</f>
        <v>Jul</v>
      </c>
    </row>
    <row r="747" spans="1:9" x14ac:dyDescent="0.3">
      <c r="A747" s="1">
        <v>45495</v>
      </c>
      <c r="B747" t="s">
        <v>39</v>
      </c>
      <c r="C747" t="s">
        <v>26</v>
      </c>
      <c r="D747">
        <v>14</v>
      </c>
      <c r="E747">
        <v>42649</v>
      </c>
      <c r="F747">
        <v>597086</v>
      </c>
      <c r="G747" t="s">
        <v>14</v>
      </c>
      <c r="H747" t="s">
        <v>17</v>
      </c>
      <c r="I747" t="str">
        <f>TEXT(tblSales[[#This Row],[Date]],"mmm")</f>
        <v>Jul</v>
      </c>
    </row>
    <row r="748" spans="1:9" x14ac:dyDescent="0.3">
      <c r="A748" s="1">
        <v>45484</v>
      </c>
      <c r="B748" t="s">
        <v>40</v>
      </c>
      <c r="C748" t="s">
        <v>35</v>
      </c>
      <c r="D748">
        <v>21</v>
      </c>
      <c r="E748">
        <v>29702</v>
      </c>
      <c r="F748">
        <v>623742</v>
      </c>
      <c r="G748" t="s">
        <v>19</v>
      </c>
      <c r="H748" t="s">
        <v>17</v>
      </c>
      <c r="I748" t="str">
        <f>TEXT(tblSales[[#This Row],[Date]],"mmm")</f>
        <v>Jul</v>
      </c>
    </row>
    <row r="749" spans="1:9" x14ac:dyDescent="0.3">
      <c r="A749" s="1">
        <v>45485</v>
      </c>
      <c r="B749" t="s">
        <v>61</v>
      </c>
      <c r="C749" t="s">
        <v>22</v>
      </c>
      <c r="D749">
        <v>30</v>
      </c>
      <c r="E749">
        <v>39511</v>
      </c>
      <c r="F749">
        <v>1185330</v>
      </c>
      <c r="G749" t="s">
        <v>23</v>
      </c>
      <c r="H749" t="s">
        <v>27</v>
      </c>
      <c r="I749" t="str">
        <f>TEXT(tblSales[[#This Row],[Date]],"mmm")</f>
        <v>Jul</v>
      </c>
    </row>
    <row r="750" spans="1:9" x14ac:dyDescent="0.3">
      <c r="A750" s="1">
        <v>45499</v>
      </c>
      <c r="B750" t="s">
        <v>64</v>
      </c>
      <c r="C750" t="s">
        <v>26</v>
      </c>
      <c r="D750">
        <v>7</v>
      </c>
      <c r="E750">
        <v>18233</v>
      </c>
      <c r="F750">
        <v>127631</v>
      </c>
      <c r="G750" t="s">
        <v>14</v>
      </c>
      <c r="H750" t="s">
        <v>17</v>
      </c>
      <c r="I750" t="str">
        <f>TEXT(tblSales[[#This Row],[Date]],"mmm")</f>
        <v>Jul</v>
      </c>
    </row>
    <row r="751" spans="1:9" x14ac:dyDescent="0.3">
      <c r="A751" s="1">
        <v>45490</v>
      </c>
      <c r="B751" t="s">
        <v>68</v>
      </c>
      <c r="C751" t="s">
        <v>35</v>
      </c>
      <c r="D751">
        <v>9</v>
      </c>
      <c r="E751">
        <v>22821</v>
      </c>
      <c r="F751">
        <v>205389</v>
      </c>
      <c r="G751" t="s">
        <v>14</v>
      </c>
      <c r="H751" t="s">
        <v>17</v>
      </c>
      <c r="I751" t="str">
        <f>TEXT(tblSales[[#This Row],[Date]],"mmm")</f>
        <v>Jul</v>
      </c>
    </row>
    <row r="752" spans="1:9" x14ac:dyDescent="0.3">
      <c r="A752" s="1">
        <v>45491</v>
      </c>
      <c r="B752" t="s">
        <v>70</v>
      </c>
      <c r="C752" t="s">
        <v>35</v>
      </c>
      <c r="D752">
        <v>32</v>
      </c>
      <c r="E752">
        <v>28917</v>
      </c>
      <c r="F752">
        <v>925344</v>
      </c>
      <c r="G752" t="s">
        <v>23</v>
      </c>
      <c r="H752" t="s">
        <v>15</v>
      </c>
      <c r="I752" t="str">
        <f>TEXT(tblSales[[#This Row],[Date]],"mmm")</f>
        <v>Jul</v>
      </c>
    </row>
    <row r="753" spans="1:9" x14ac:dyDescent="0.3">
      <c r="A753" s="1">
        <v>45482</v>
      </c>
      <c r="B753" t="s">
        <v>80</v>
      </c>
      <c r="C753" t="s">
        <v>35</v>
      </c>
      <c r="D753">
        <v>39</v>
      </c>
      <c r="E753">
        <v>27121</v>
      </c>
      <c r="F753">
        <v>1057719</v>
      </c>
      <c r="G753" t="s">
        <v>23</v>
      </c>
      <c r="H753" t="s">
        <v>30</v>
      </c>
      <c r="I753" t="str">
        <f>TEXT(tblSales[[#This Row],[Date]],"mmm")</f>
        <v>Jul</v>
      </c>
    </row>
    <row r="754" spans="1:9" x14ac:dyDescent="0.3">
      <c r="A754" s="1">
        <v>45492</v>
      </c>
      <c r="B754" t="s">
        <v>95</v>
      </c>
      <c r="C754" t="s">
        <v>26</v>
      </c>
      <c r="D754">
        <v>15</v>
      </c>
      <c r="E754">
        <v>8586</v>
      </c>
      <c r="F754">
        <v>128790</v>
      </c>
      <c r="G754" t="s">
        <v>23</v>
      </c>
      <c r="H754" t="s">
        <v>30</v>
      </c>
      <c r="I754" t="str">
        <f>TEXT(tblSales[[#This Row],[Date]],"mmm")</f>
        <v>Jul</v>
      </c>
    </row>
    <row r="755" spans="1:9" x14ac:dyDescent="0.3">
      <c r="A755" s="1">
        <v>45485</v>
      </c>
      <c r="B755" t="s">
        <v>121</v>
      </c>
      <c r="C755" t="s">
        <v>22</v>
      </c>
      <c r="D755">
        <v>23</v>
      </c>
      <c r="E755">
        <v>8431</v>
      </c>
      <c r="F755">
        <v>193913</v>
      </c>
      <c r="G755" t="s">
        <v>10</v>
      </c>
      <c r="H755" t="s">
        <v>11</v>
      </c>
      <c r="I755" t="str">
        <f>TEXT(tblSales[[#This Row],[Date]],"mmm")</f>
        <v>Jul</v>
      </c>
    </row>
    <row r="756" spans="1:9" x14ac:dyDescent="0.3">
      <c r="A756" s="1">
        <v>45484</v>
      </c>
      <c r="B756" t="s">
        <v>125</v>
      </c>
      <c r="C756" t="s">
        <v>35</v>
      </c>
      <c r="D756">
        <v>28</v>
      </c>
      <c r="E756">
        <v>28314</v>
      </c>
      <c r="F756">
        <v>792792</v>
      </c>
      <c r="G756" t="s">
        <v>10</v>
      </c>
      <c r="H756" t="s">
        <v>30</v>
      </c>
      <c r="I756" t="str">
        <f>TEXT(tblSales[[#This Row],[Date]],"mmm")</f>
        <v>Jul</v>
      </c>
    </row>
    <row r="757" spans="1:9" x14ac:dyDescent="0.3">
      <c r="A757" s="1">
        <v>45476</v>
      </c>
      <c r="B757" t="s">
        <v>148</v>
      </c>
      <c r="C757" t="s">
        <v>26</v>
      </c>
      <c r="D757">
        <v>20</v>
      </c>
      <c r="E757">
        <v>28212</v>
      </c>
      <c r="F757">
        <v>564240</v>
      </c>
      <c r="G757" t="s">
        <v>10</v>
      </c>
      <c r="H757" t="s">
        <v>30</v>
      </c>
      <c r="I757" t="str">
        <f>TEXT(tblSales[[#This Row],[Date]],"mmm")</f>
        <v>Jul</v>
      </c>
    </row>
    <row r="758" spans="1:9" x14ac:dyDescent="0.3">
      <c r="A758" s="1">
        <v>45475</v>
      </c>
      <c r="B758" t="s">
        <v>151</v>
      </c>
      <c r="C758" t="s">
        <v>26</v>
      </c>
      <c r="D758">
        <v>19</v>
      </c>
      <c r="E758">
        <v>22058</v>
      </c>
      <c r="F758">
        <v>419102</v>
      </c>
      <c r="G758" t="s">
        <v>23</v>
      </c>
      <c r="H758" t="s">
        <v>17</v>
      </c>
      <c r="I758" t="str">
        <f>TEXT(tblSales[[#This Row],[Date]],"mmm")</f>
        <v>Jul</v>
      </c>
    </row>
    <row r="759" spans="1:9" x14ac:dyDescent="0.3">
      <c r="A759" s="1">
        <v>45489</v>
      </c>
      <c r="B759" t="s">
        <v>152</v>
      </c>
      <c r="C759" t="s">
        <v>9</v>
      </c>
      <c r="D759">
        <v>7</v>
      </c>
      <c r="E759">
        <v>33785</v>
      </c>
      <c r="F759">
        <v>236495</v>
      </c>
      <c r="G759" t="s">
        <v>23</v>
      </c>
      <c r="H759" t="s">
        <v>30</v>
      </c>
      <c r="I759" t="str">
        <f>TEXT(tblSales[[#This Row],[Date]],"mmm")</f>
        <v>Jul</v>
      </c>
    </row>
    <row r="760" spans="1:9" x14ac:dyDescent="0.3">
      <c r="A760" s="1">
        <v>45484</v>
      </c>
      <c r="B760" t="s">
        <v>154</v>
      </c>
      <c r="C760" t="s">
        <v>26</v>
      </c>
      <c r="D760">
        <v>16</v>
      </c>
      <c r="E760">
        <v>31466</v>
      </c>
      <c r="F760">
        <v>503456</v>
      </c>
      <c r="G760" t="s">
        <v>23</v>
      </c>
      <c r="H760" t="s">
        <v>17</v>
      </c>
      <c r="I760" t="str">
        <f>TEXT(tblSales[[#This Row],[Date]],"mmm")</f>
        <v>Jul</v>
      </c>
    </row>
    <row r="761" spans="1:9" x14ac:dyDescent="0.3">
      <c r="A761" s="1">
        <v>45475</v>
      </c>
      <c r="B761" t="s">
        <v>155</v>
      </c>
      <c r="C761" t="s">
        <v>9</v>
      </c>
      <c r="D761">
        <v>21</v>
      </c>
      <c r="E761">
        <v>18569</v>
      </c>
      <c r="F761">
        <v>389949</v>
      </c>
      <c r="G761" t="s">
        <v>14</v>
      </c>
      <c r="H761" t="s">
        <v>15</v>
      </c>
      <c r="I761" t="str">
        <f>TEXT(tblSales[[#This Row],[Date]],"mmm")</f>
        <v>Jul</v>
      </c>
    </row>
    <row r="762" spans="1:9" x14ac:dyDescent="0.3">
      <c r="A762" s="1">
        <v>45488</v>
      </c>
      <c r="B762" t="s">
        <v>166</v>
      </c>
      <c r="C762" t="s">
        <v>13</v>
      </c>
      <c r="D762">
        <v>38</v>
      </c>
      <c r="E762">
        <v>35104</v>
      </c>
      <c r="F762">
        <v>1333952</v>
      </c>
      <c r="G762" t="s">
        <v>14</v>
      </c>
      <c r="H762" t="s">
        <v>27</v>
      </c>
      <c r="I762" t="str">
        <f>TEXT(tblSales[[#This Row],[Date]],"mmm")</f>
        <v>Jul</v>
      </c>
    </row>
    <row r="763" spans="1:9" x14ac:dyDescent="0.3">
      <c r="A763" s="1">
        <v>45492</v>
      </c>
      <c r="B763" t="s">
        <v>208</v>
      </c>
      <c r="C763" t="s">
        <v>35</v>
      </c>
      <c r="D763">
        <v>26</v>
      </c>
      <c r="E763">
        <v>8508</v>
      </c>
      <c r="F763">
        <v>221208</v>
      </c>
      <c r="G763" t="s">
        <v>23</v>
      </c>
      <c r="H763" t="s">
        <v>17</v>
      </c>
      <c r="I763" t="str">
        <f>TEXT(tblSales[[#This Row],[Date]],"mmm")</f>
        <v>Jul</v>
      </c>
    </row>
    <row r="764" spans="1:9" x14ac:dyDescent="0.3">
      <c r="A764" s="1">
        <v>45491</v>
      </c>
      <c r="B764" t="s">
        <v>209</v>
      </c>
      <c r="C764" t="s">
        <v>22</v>
      </c>
      <c r="D764">
        <v>24</v>
      </c>
      <c r="E764">
        <v>33045</v>
      </c>
      <c r="F764">
        <v>793080</v>
      </c>
      <c r="G764" t="s">
        <v>23</v>
      </c>
      <c r="H764" t="s">
        <v>11</v>
      </c>
      <c r="I764" t="str">
        <f>TEXT(tblSales[[#This Row],[Date]],"mmm")</f>
        <v>Jul</v>
      </c>
    </row>
    <row r="765" spans="1:9" x14ac:dyDescent="0.3">
      <c r="A765" s="1">
        <v>45481</v>
      </c>
      <c r="B765" t="s">
        <v>216</v>
      </c>
      <c r="C765" t="s">
        <v>9</v>
      </c>
      <c r="D765">
        <v>18</v>
      </c>
      <c r="E765">
        <v>28822</v>
      </c>
      <c r="F765">
        <v>518796</v>
      </c>
      <c r="G765" t="s">
        <v>23</v>
      </c>
      <c r="H765" t="s">
        <v>27</v>
      </c>
      <c r="I765" t="str">
        <f>TEXT(tblSales[[#This Row],[Date]],"mmm")</f>
        <v>Jul</v>
      </c>
    </row>
    <row r="766" spans="1:9" x14ac:dyDescent="0.3">
      <c r="A766" s="1">
        <v>45481</v>
      </c>
      <c r="B766" t="s">
        <v>222</v>
      </c>
      <c r="C766" t="s">
        <v>9</v>
      </c>
      <c r="D766">
        <v>1</v>
      </c>
      <c r="E766">
        <v>9266</v>
      </c>
      <c r="F766">
        <v>9266</v>
      </c>
      <c r="G766" t="s">
        <v>23</v>
      </c>
      <c r="H766" t="s">
        <v>15</v>
      </c>
      <c r="I766" t="str">
        <f>TEXT(tblSales[[#This Row],[Date]],"mmm")</f>
        <v>Jul</v>
      </c>
    </row>
    <row r="767" spans="1:9" x14ac:dyDescent="0.3">
      <c r="A767" s="1">
        <v>45483</v>
      </c>
      <c r="B767" t="s">
        <v>225</v>
      </c>
      <c r="C767" t="s">
        <v>9</v>
      </c>
      <c r="D767">
        <v>8</v>
      </c>
      <c r="E767">
        <v>39779</v>
      </c>
      <c r="F767">
        <v>318232</v>
      </c>
      <c r="G767" t="s">
        <v>14</v>
      </c>
      <c r="H767" t="s">
        <v>27</v>
      </c>
      <c r="I767" t="str">
        <f>TEXT(tblSales[[#This Row],[Date]],"mmm")</f>
        <v>Jul</v>
      </c>
    </row>
    <row r="768" spans="1:9" x14ac:dyDescent="0.3">
      <c r="A768" s="1">
        <v>45502</v>
      </c>
      <c r="B768" t="s">
        <v>231</v>
      </c>
      <c r="C768" t="s">
        <v>22</v>
      </c>
      <c r="D768">
        <v>6</v>
      </c>
      <c r="E768">
        <v>12683</v>
      </c>
      <c r="F768">
        <v>76098</v>
      </c>
      <c r="G768" t="s">
        <v>23</v>
      </c>
      <c r="H768" t="s">
        <v>11</v>
      </c>
      <c r="I768" t="str">
        <f>TEXT(tblSales[[#This Row],[Date]],"mmm")</f>
        <v>Jul</v>
      </c>
    </row>
    <row r="769" spans="1:9" x14ac:dyDescent="0.3">
      <c r="A769" s="1">
        <v>45502</v>
      </c>
      <c r="B769" t="s">
        <v>238</v>
      </c>
      <c r="C769" t="s">
        <v>22</v>
      </c>
      <c r="D769">
        <v>30</v>
      </c>
      <c r="E769">
        <v>18361</v>
      </c>
      <c r="F769">
        <v>550830</v>
      </c>
      <c r="G769" t="s">
        <v>23</v>
      </c>
      <c r="H769" t="s">
        <v>15</v>
      </c>
      <c r="I769" t="str">
        <f>TEXT(tblSales[[#This Row],[Date]],"mmm")</f>
        <v>Jul</v>
      </c>
    </row>
    <row r="770" spans="1:9" x14ac:dyDescent="0.3">
      <c r="A770" s="1">
        <v>45480</v>
      </c>
      <c r="B770" t="s">
        <v>258</v>
      </c>
      <c r="C770" t="s">
        <v>13</v>
      </c>
      <c r="D770">
        <v>24</v>
      </c>
      <c r="E770">
        <v>29219</v>
      </c>
      <c r="F770">
        <v>701256</v>
      </c>
      <c r="G770" t="s">
        <v>10</v>
      </c>
      <c r="H770" t="s">
        <v>27</v>
      </c>
      <c r="I770" t="str">
        <f>TEXT(tblSales[[#This Row],[Date]],"mmm")</f>
        <v>Jul</v>
      </c>
    </row>
    <row r="771" spans="1:9" x14ac:dyDescent="0.3">
      <c r="A771" s="1">
        <v>45475</v>
      </c>
      <c r="B771" t="s">
        <v>265</v>
      </c>
      <c r="C771" t="s">
        <v>22</v>
      </c>
      <c r="D771">
        <v>39</v>
      </c>
      <c r="E771">
        <v>26775</v>
      </c>
      <c r="F771">
        <v>1044225</v>
      </c>
      <c r="G771" t="s">
        <v>14</v>
      </c>
      <c r="H771" t="s">
        <v>11</v>
      </c>
      <c r="I771" t="str">
        <f>TEXT(tblSales[[#This Row],[Date]],"mmm")</f>
        <v>Jul</v>
      </c>
    </row>
    <row r="772" spans="1:9" x14ac:dyDescent="0.3">
      <c r="A772" s="1">
        <v>45493</v>
      </c>
      <c r="B772" t="s">
        <v>267</v>
      </c>
      <c r="C772" t="s">
        <v>13</v>
      </c>
      <c r="D772">
        <v>38</v>
      </c>
      <c r="E772">
        <v>43167</v>
      </c>
      <c r="F772">
        <v>1640346</v>
      </c>
      <c r="G772" t="s">
        <v>10</v>
      </c>
      <c r="H772" t="s">
        <v>30</v>
      </c>
      <c r="I772" t="str">
        <f>TEXT(tblSales[[#This Row],[Date]],"mmm")</f>
        <v>Jul</v>
      </c>
    </row>
    <row r="773" spans="1:9" x14ac:dyDescent="0.3">
      <c r="A773" s="1">
        <v>45474</v>
      </c>
      <c r="B773" t="s">
        <v>268</v>
      </c>
      <c r="C773" t="s">
        <v>26</v>
      </c>
      <c r="D773">
        <v>25</v>
      </c>
      <c r="E773">
        <v>41073</v>
      </c>
      <c r="F773">
        <v>1026825</v>
      </c>
      <c r="G773" t="s">
        <v>23</v>
      </c>
      <c r="H773" t="s">
        <v>15</v>
      </c>
      <c r="I773" t="str">
        <f>TEXT(tblSales[[#This Row],[Date]],"mmm")</f>
        <v>Jul</v>
      </c>
    </row>
    <row r="774" spans="1:9" x14ac:dyDescent="0.3">
      <c r="A774" s="1">
        <v>45476</v>
      </c>
      <c r="B774" t="s">
        <v>297</v>
      </c>
      <c r="C774" t="s">
        <v>22</v>
      </c>
      <c r="D774">
        <v>13</v>
      </c>
      <c r="E774">
        <v>43570</v>
      </c>
      <c r="F774">
        <v>566410</v>
      </c>
      <c r="G774" t="s">
        <v>10</v>
      </c>
      <c r="H774" t="s">
        <v>11</v>
      </c>
      <c r="I774" t="str">
        <f>TEXT(tblSales[[#This Row],[Date]],"mmm")</f>
        <v>Jul</v>
      </c>
    </row>
    <row r="775" spans="1:9" x14ac:dyDescent="0.3">
      <c r="A775" s="1">
        <v>45500</v>
      </c>
      <c r="B775" t="s">
        <v>310</v>
      </c>
      <c r="C775" t="s">
        <v>26</v>
      </c>
      <c r="D775">
        <v>13</v>
      </c>
      <c r="E775">
        <v>31826</v>
      </c>
      <c r="F775">
        <v>413738</v>
      </c>
      <c r="G775" t="s">
        <v>23</v>
      </c>
      <c r="H775" t="s">
        <v>15</v>
      </c>
      <c r="I775" t="str">
        <f>TEXT(tblSales[[#This Row],[Date]],"mmm")</f>
        <v>Jul</v>
      </c>
    </row>
    <row r="776" spans="1:9" x14ac:dyDescent="0.3">
      <c r="A776" s="1">
        <v>45503</v>
      </c>
      <c r="B776" t="s">
        <v>314</v>
      </c>
      <c r="C776" t="s">
        <v>26</v>
      </c>
      <c r="D776">
        <v>1</v>
      </c>
      <c r="E776">
        <v>5060</v>
      </c>
      <c r="F776">
        <v>5060</v>
      </c>
      <c r="G776" t="s">
        <v>14</v>
      </c>
      <c r="H776" t="s">
        <v>27</v>
      </c>
      <c r="I776" t="str">
        <f>TEXT(tblSales[[#This Row],[Date]],"mmm")</f>
        <v>Jul</v>
      </c>
    </row>
    <row r="777" spans="1:9" x14ac:dyDescent="0.3">
      <c r="A777" s="1">
        <v>45479</v>
      </c>
      <c r="B777" t="s">
        <v>322</v>
      </c>
      <c r="C777" t="s">
        <v>9</v>
      </c>
      <c r="D777">
        <v>30</v>
      </c>
      <c r="E777">
        <v>17521</v>
      </c>
      <c r="F777">
        <v>525630</v>
      </c>
      <c r="G777" t="s">
        <v>23</v>
      </c>
      <c r="H777" t="s">
        <v>15</v>
      </c>
      <c r="I777" t="str">
        <f>TEXT(tblSales[[#This Row],[Date]],"mmm")</f>
        <v>Jul</v>
      </c>
    </row>
    <row r="778" spans="1:9" x14ac:dyDescent="0.3">
      <c r="A778" s="1">
        <v>45502</v>
      </c>
      <c r="B778" t="s">
        <v>328</v>
      </c>
      <c r="C778" t="s">
        <v>35</v>
      </c>
      <c r="D778">
        <v>27</v>
      </c>
      <c r="E778">
        <v>37158</v>
      </c>
      <c r="F778">
        <v>1003266</v>
      </c>
      <c r="G778" t="s">
        <v>19</v>
      </c>
      <c r="H778" t="s">
        <v>11</v>
      </c>
      <c r="I778" t="str">
        <f>TEXT(tblSales[[#This Row],[Date]],"mmm")</f>
        <v>Jul</v>
      </c>
    </row>
    <row r="779" spans="1:9" x14ac:dyDescent="0.3">
      <c r="A779" s="1">
        <v>45480</v>
      </c>
      <c r="B779" t="s">
        <v>336</v>
      </c>
      <c r="C779" t="s">
        <v>35</v>
      </c>
      <c r="D779">
        <v>33</v>
      </c>
      <c r="E779">
        <v>44931</v>
      </c>
      <c r="F779">
        <v>1482723</v>
      </c>
      <c r="G779" t="s">
        <v>14</v>
      </c>
      <c r="H779" t="s">
        <v>27</v>
      </c>
      <c r="I779" t="str">
        <f>TEXT(tblSales[[#This Row],[Date]],"mmm")</f>
        <v>Jul</v>
      </c>
    </row>
    <row r="780" spans="1:9" x14ac:dyDescent="0.3">
      <c r="A780" s="1">
        <v>45479</v>
      </c>
      <c r="B780" t="s">
        <v>353</v>
      </c>
      <c r="C780" t="s">
        <v>26</v>
      </c>
      <c r="D780">
        <v>7</v>
      </c>
      <c r="E780">
        <v>7761</v>
      </c>
      <c r="F780">
        <v>54327</v>
      </c>
      <c r="G780" t="s">
        <v>14</v>
      </c>
      <c r="H780" t="s">
        <v>11</v>
      </c>
      <c r="I780" t="str">
        <f>TEXT(tblSales[[#This Row],[Date]],"mmm")</f>
        <v>Jul</v>
      </c>
    </row>
    <row r="781" spans="1:9" x14ac:dyDescent="0.3">
      <c r="A781" s="1">
        <v>45477</v>
      </c>
      <c r="B781" t="s">
        <v>354</v>
      </c>
      <c r="C781" t="s">
        <v>13</v>
      </c>
      <c r="D781">
        <v>38</v>
      </c>
      <c r="E781">
        <v>14267</v>
      </c>
      <c r="F781">
        <v>542146</v>
      </c>
      <c r="G781" t="s">
        <v>14</v>
      </c>
      <c r="H781" t="s">
        <v>11</v>
      </c>
      <c r="I781" t="str">
        <f>TEXT(tblSales[[#This Row],[Date]],"mmm")</f>
        <v>Jul</v>
      </c>
    </row>
    <row r="782" spans="1:9" x14ac:dyDescent="0.3">
      <c r="A782" s="1">
        <v>45489</v>
      </c>
      <c r="B782" t="s">
        <v>356</v>
      </c>
      <c r="C782" t="s">
        <v>35</v>
      </c>
      <c r="D782">
        <v>14</v>
      </c>
      <c r="E782">
        <v>32455</v>
      </c>
      <c r="F782">
        <v>454370</v>
      </c>
      <c r="G782" t="s">
        <v>23</v>
      </c>
      <c r="H782" t="s">
        <v>11</v>
      </c>
      <c r="I782" t="str">
        <f>TEXT(tblSales[[#This Row],[Date]],"mmm")</f>
        <v>Jul</v>
      </c>
    </row>
    <row r="783" spans="1:9" x14ac:dyDescent="0.3">
      <c r="A783" s="1">
        <v>45487</v>
      </c>
      <c r="B783" t="s">
        <v>365</v>
      </c>
      <c r="C783" t="s">
        <v>35</v>
      </c>
      <c r="D783">
        <v>38</v>
      </c>
      <c r="E783">
        <v>38488</v>
      </c>
      <c r="F783">
        <v>1462544</v>
      </c>
      <c r="G783" t="s">
        <v>10</v>
      </c>
      <c r="H783" t="s">
        <v>30</v>
      </c>
      <c r="I783" t="str">
        <f>TEXT(tblSales[[#This Row],[Date]],"mmm")</f>
        <v>Jul</v>
      </c>
    </row>
    <row r="784" spans="1:9" x14ac:dyDescent="0.3">
      <c r="A784" s="1">
        <v>45497</v>
      </c>
      <c r="B784" t="s">
        <v>399</v>
      </c>
      <c r="C784" t="s">
        <v>13</v>
      </c>
      <c r="D784">
        <v>2</v>
      </c>
      <c r="E784">
        <v>27463</v>
      </c>
      <c r="F784">
        <v>54926</v>
      </c>
      <c r="G784" t="s">
        <v>19</v>
      </c>
      <c r="H784" t="s">
        <v>17</v>
      </c>
      <c r="I784" t="str">
        <f>TEXT(tblSales[[#This Row],[Date]],"mmm")</f>
        <v>Jul</v>
      </c>
    </row>
    <row r="785" spans="1:9" x14ac:dyDescent="0.3">
      <c r="A785" s="1">
        <v>45502</v>
      </c>
      <c r="B785" t="s">
        <v>432</v>
      </c>
      <c r="C785" t="s">
        <v>22</v>
      </c>
      <c r="D785">
        <v>12</v>
      </c>
      <c r="E785">
        <v>28684</v>
      </c>
      <c r="F785">
        <v>344208</v>
      </c>
      <c r="G785" t="s">
        <v>19</v>
      </c>
      <c r="H785" t="s">
        <v>27</v>
      </c>
      <c r="I785" t="str">
        <f>TEXT(tblSales[[#This Row],[Date]],"mmm")</f>
        <v>Jul</v>
      </c>
    </row>
    <row r="786" spans="1:9" x14ac:dyDescent="0.3">
      <c r="A786" s="1">
        <v>45496</v>
      </c>
      <c r="B786" t="s">
        <v>437</v>
      </c>
      <c r="C786" t="s">
        <v>35</v>
      </c>
      <c r="D786">
        <v>18</v>
      </c>
      <c r="E786">
        <v>12416</v>
      </c>
      <c r="F786">
        <v>223488</v>
      </c>
      <c r="G786" t="s">
        <v>19</v>
      </c>
      <c r="H786" t="s">
        <v>11</v>
      </c>
      <c r="I786" t="str">
        <f>TEXT(tblSales[[#This Row],[Date]],"mmm")</f>
        <v>Jul</v>
      </c>
    </row>
    <row r="787" spans="1:9" x14ac:dyDescent="0.3">
      <c r="A787" s="1">
        <v>45493</v>
      </c>
      <c r="B787" t="s">
        <v>453</v>
      </c>
      <c r="C787" t="s">
        <v>26</v>
      </c>
      <c r="D787">
        <v>32</v>
      </c>
      <c r="E787">
        <v>43370</v>
      </c>
      <c r="F787">
        <v>1387840</v>
      </c>
      <c r="G787" t="s">
        <v>10</v>
      </c>
      <c r="H787" t="s">
        <v>30</v>
      </c>
      <c r="I787" t="str">
        <f>TEXT(tblSales[[#This Row],[Date]],"mmm")</f>
        <v>Jul</v>
      </c>
    </row>
    <row r="788" spans="1:9" x14ac:dyDescent="0.3">
      <c r="A788" s="1">
        <v>45497</v>
      </c>
      <c r="B788" t="s">
        <v>454</v>
      </c>
      <c r="C788" t="s">
        <v>9</v>
      </c>
      <c r="D788">
        <v>38</v>
      </c>
      <c r="E788">
        <v>10858</v>
      </c>
      <c r="F788">
        <v>412604</v>
      </c>
      <c r="G788" t="s">
        <v>10</v>
      </c>
      <c r="H788" t="s">
        <v>11</v>
      </c>
      <c r="I788" t="str">
        <f>TEXT(tblSales[[#This Row],[Date]],"mmm")</f>
        <v>Jul</v>
      </c>
    </row>
    <row r="789" spans="1:9" x14ac:dyDescent="0.3">
      <c r="A789" s="1">
        <v>45490</v>
      </c>
      <c r="B789" t="s">
        <v>460</v>
      </c>
      <c r="C789" t="s">
        <v>35</v>
      </c>
      <c r="D789">
        <v>11</v>
      </c>
      <c r="E789">
        <v>38892</v>
      </c>
      <c r="F789">
        <v>427812</v>
      </c>
      <c r="G789" t="s">
        <v>23</v>
      </c>
      <c r="H789" t="s">
        <v>30</v>
      </c>
      <c r="I789" t="str">
        <f>TEXT(tblSales[[#This Row],[Date]],"mmm")</f>
        <v>Jul</v>
      </c>
    </row>
    <row r="790" spans="1:9" x14ac:dyDescent="0.3">
      <c r="A790" s="1">
        <v>45485</v>
      </c>
      <c r="B790" t="s">
        <v>461</v>
      </c>
      <c r="C790" t="s">
        <v>9</v>
      </c>
      <c r="D790">
        <v>1</v>
      </c>
      <c r="E790">
        <v>44496</v>
      </c>
      <c r="F790">
        <v>44496</v>
      </c>
      <c r="G790" t="s">
        <v>14</v>
      </c>
      <c r="H790" t="s">
        <v>27</v>
      </c>
      <c r="I790" t="str">
        <f>TEXT(tblSales[[#This Row],[Date]],"mmm")</f>
        <v>Jul</v>
      </c>
    </row>
    <row r="791" spans="1:9" x14ac:dyDescent="0.3">
      <c r="A791" s="1">
        <v>45475</v>
      </c>
      <c r="B791" t="s">
        <v>465</v>
      </c>
      <c r="C791" t="s">
        <v>35</v>
      </c>
      <c r="D791">
        <v>15</v>
      </c>
      <c r="E791">
        <v>43602</v>
      </c>
      <c r="F791">
        <v>654030</v>
      </c>
      <c r="G791" t="s">
        <v>19</v>
      </c>
      <c r="H791" t="s">
        <v>11</v>
      </c>
      <c r="I791" t="str">
        <f>TEXT(tblSales[[#This Row],[Date]],"mmm")</f>
        <v>Jul</v>
      </c>
    </row>
    <row r="792" spans="1:9" x14ac:dyDescent="0.3">
      <c r="A792" s="1">
        <v>45483</v>
      </c>
      <c r="B792" t="s">
        <v>476</v>
      </c>
      <c r="C792" t="s">
        <v>26</v>
      </c>
      <c r="D792">
        <v>6</v>
      </c>
      <c r="E792">
        <v>9063</v>
      </c>
      <c r="F792">
        <v>54378</v>
      </c>
      <c r="G792" t="s">
        <v>10</v>
      </c>
      <c r="H792" t="s">
        <v>17</v>
      </c>
      <c r="I792" t="str">
        <f>TEXT(tblSales[[#This Row],[Date]],"mmm")</f>
        <v>Jul</v>
      </c>
    </row>
    <row r="793" spans="1:9" x14ac:dyDescent="0.3">
      <c r="A793" s="1">
        <v>45492</v>
      </c>
      <c r="B793" t="s">
        <v>480</v>
      </c>
      <c r="C793" t="s">
        <v>9</v>
      </c>
      <c r="D793">
        <v>30</v>
      </c>
      <c r="E793">
        <v>44786</v>
      </c>
      <c r="F793">
        <v>1343580</v>
      </c>
      <c r="G793" t="s">
        <v>10</v>
      </c>
      <c r="H793" t="s">
        <v>15</v>
      </c>
      <c r="I793" t="str">
        <f>TEXT(tblSales[[#This Row],[Date]],"mmm")</f>
        <v>Jul</v>
      </c>
    </row>
    <row r="794" spans="1:9" x14ac:dyDescent="0.3">
      <c r="A794" s="1">
        <v>45502</v>
      </c>
      <c r="B794" t="s">
        <v>485</v>
      </c>
      <c r="C794" t="s">
        <v>22</v>
      </c>
      <c r="D794">
        <v>22</v>
      </c>
      <c r="E794">
        <v>24789</v>
      </c>
      <c r="F794">
        <v>545358</v>
      </c>
      <c r="G794" t="s">
        <v>14</v>
      </c>
      <c r="H794" t="s">
        <v>27</v>
      </c>
      <c r="I794" t="str">
        <f>TEXT(tblSales[[#This Row],[Date]],"mmm")</f>
        <v>Jul</v>
      </c>
    </row>
    <row r="795" spans="1:9" x14ac:dyDescent="0.3">
      <c r="A795" s="1">
        <v>45494</v>
      </c>
      <c r="B795" t="s">
        <v>499</v>
      </c>
      <c r="C795" t="s">
        <v>22</v>
      </c>
      <c r="D795">
        <v>38</v>
      </c>
      <c r="E795">
        <v>9401</v>
      </c>
      <c r="F795">
        <v>357238</v>
      </c>
      <c r="G795" t="s">
        <v>14</v>
      </c>
      <c r="H795" t="s">
        <v>27</v>
      </c>
      <c r="I795" t="str">
        <f>TEXT(tblSales[[#This Row],[Date]],"mmm")</f>
        <v>Jul</v>
      </c>
    </row>
    <row r="796" spans="1:9" x14ac:dyDescent="0.3">
      <c r="A796" s="1">
        <v>45482</v>
      </c>
      <c r="B796" t="s">
        <v>507</v>
      </c>
      <c r="C796" t="s">
        <v>26</v>
      </c>
      <c r="D796">
        <v>4</v>
      </c>
      <c r="E796">
        <v>15994</v>
      </c>
      <c r="F796">
        <v>63976</v>
      </c>
      <c r="G796" t="s">
        <v>19</v>
      </c>
      <c r="H796" t="s">
        <v>30</v>
      </c>
      <c r="I796" t="str">
        <f>TEXT(tblSales[[#This Row],[Date]],"mmm")</f>
        <v>Jul</v>
      </c>
    </row>
    <row r="797" spans="1:9" x14ac:dyDescent="0.3">
      <c r="A797" s="1">
        <v>45485</v>
      </c>
      <c r="B797" t="s">
        <v>520</v>
      </c>
      <c r="C797" t="s">
        <v>22</v>
      </c>
      <c r="D797">
        <v>40</v>
      </c>
      <c r="E797">
        <v>19682</v>
      </c>
      <c r="F797">
        <v>787280</v>
      </c>
      <c r="G797" t="s">
        <v>14</v>
      </c>
      <c r="H797" t="s">
        <v>27</v>
      </c>
      <c r="I797" t="str">
        <f>TEXT(tblSales[[#This Row],[Date]],"mmm")</f>
        <v>Jul</v>
      </c>
    </row>
    <row r="798" spans="1:9" x14ac:dyDescent="0.3">
      <c r="A798" s="1">
        <v>45487</v>
      </c>
      <c r="B798" t="s">
        <v>528</v>
      </c>
      <c r="C798" t="s">
        <v>22</v>
      </c>
      <c r="D798">
        <v>36</v>
      </c>
      <c r="E798">
        <v>41208</v>
      </c>
      <c r="F798">
        <v>1483488</v>
      </c>
      <c r="G798" t="s">
        <v>23</v>
      </c>
      <c r="H798" t="s">
        <v>27</v>
      </c>
      <c r="I798" t="str">
        <f>TEXT(tblSales[[#This Row],[Date]],"mmm")</f>
        <v>Jul</v>
      </c>
    </row>
    <row r="799" spans="1:9" x14ac:dyDescent="0.3">
      <c r="A799" s="1">
        <v>45476</v>
      </c>
      <c r="B799" t="s">
        <v>531</v>
      </c>
      <c r="C799" t="s">
        <v>26</v>
      </c>
      <c r="D799">
        <v>5</v>
      </c>
      <c r="E799">
        <v>44231</v>
      </c>
      <c r="F799">
        <v>221155</v>
      </c>
      <c r="G799" t="s">
        <v>10</v>
      </c>
      <c r="H799" t="s">
        <v>30</v>
      </c>
      <c r="I799" t="str">
        <f>TEXT(tblSales[[#This Row],[Date]],"mmm")</f>
        <v>Jul</v>
      </c>
    </row>
    <row r="800" spans="1:9" x14ac:dyDescent="0.3">
      <c r="A800" s="1">
        <v>45490</v>
      </c>
      <c r="B800" t="s">
        <v>535</v>
      </c>
      <c r="C800" t="s">
        <v>9</v>
      </c>
      <c r="D800">
        <v>9</v>
      </c>
      <c r="E800">
        <v>12588</v>
      </c>
      <c r="F800">
        <v>113292</v>
      </c>
      <c r="G800" t="s">
        <v>19</v>
      </c>
      <c r="H800" t="s">
        <v>11</v>
      </c>
      <c r="I800" t="str">
        <f>TEXT(tblSales[[#This Row],[Date]],"mmm")</f>
        <v>Jul</v>
      </c>
    </row>
    <row r="801" spans="1:9" x14ac:dyDescent="0.3">
      <c r="A801" s="1">
        <v>45474</v>
      </c>
      <c r="B801" t="s">
        <v>540</v>
      </c>
      <c r="C801" t="s">
        <v>26</v>
      </c>
      <c r="D801">
        <v>25</v>
      </c>
      <c r="E801">
        <v>11841</v>
      </c>
      <c r="F801">
        <v>296025</v>
      </c>
      <c r="G801" t="s">
        <v>10</v>
      </c>
      <c r="H801" t="s">
        <v>27</v>
      </c>
      <c r="I801" t="str">
        <f>TEXT(tblSales[[#This Row],[Date]],"mmm")</f>
        <v>Jul</v>
      </c>
    </row>
    <row r="802" spans="1:9" x14ac:dyDescent="0.3">
      <c r="A802" s="1">
        <v>45497</v>
      </c>
      <c r="B802" t="s">
        <v>556</v>
      </c>
      <c r="C802" t="s">
        <v>22</v>
      </c>
      <c r="D802">
        <v>38</v>
      </c>
      <c r="E802">
        <v>36714</v>
      </c>
      <c r="F802">
        <v>1395132</v>
      </c>
      <c r="G802" t="s">
        <v>23</v>
      </c>
      <c r="H802" t="s">
        <v>17</v>
      </c>
      <c r="I802" t="str">
        <f>TEXT(tblSales[[#This Row],[Date]],"mmm")</f>
        <v>Jul</v>
      </c>
    </row>
    <row r="803" spans="1:9" x14ac:dyDescent="0.3">
      <c r="A803" s="1">
        <v>45502</v>
      </c>
      <c r="B803" t="s">
        <v>572</v>
      </c>
      <c r="C803" t="s">
        <v>9</v>
      </c>
      <c r="D803">
        <v>9</v>
      </c>
      <c r="E803">
        <v>8866</v>
      </c>
      <c r="F803">
        <v>79794</v>
      </c>
      <c r="G803" t="s">
        <v>23</v>
      </c>
      <c r="H803" t="s">
        <v>30</v>
      </c>
      <c r="I803" t="str">
        <f>TEXT(tblSales[[#This Row],[Date]],"mmm")</f>
        <v>Jul</v>
      </c>
    </row>
    <row r="804" spans="1:9" x14ac:dyDescent="0.3">
      <c r="A804" s="1">
        <v>45491</v>
      </c>
      <c r="B804" t="s">
        <v>586</v>
      </c>
      <c r="C804" t="s">
        <v>13</v>
      </c>
      <c r="D804">
        <v>2</v>
      </c>
      <c r="E804">
        <v>22331</v>
      </c>
      <c r="F804">
        <v>44662</v>
      </c>
      <c r="G804" t="s">
        <v>10</v>
      </c>
      <c r="H804" t="s">
        <v>15</v>
      </c>
      <c r="I804" t="str">
        <f>TEXT(tblSales[[#This Row],[Date]],"mmm")</f>
        <v>Jul</v>
      </c>
    </row>
    <row r="805" spans="1:9" x14ac:dyDescent="0.3">
      <c r="A805" s="1">
        <v>45475</v>
      </c>
      <c r="B805" t="s">
        <v>592</v>
      </c>
      <c r="C805" t="s">
        <v>22</v>
      </c>
      <c r="D805">
        <v>8</v>
      </c>
      <c r="E805">
        <v>11399</v>
      </c>
      <c r="F805">
        <v>91192</v>
      </c>
      <c r="G805" t="s">
        <v>23</v>
      </c>
      <c r="H805" t="s">
        <v>17</v>
      </c>
      <c r="I805" t="str">
        <f>TEXT(tblSales[[#This Row],[Date]],"mmm")</f>
        <v>Jul</v>
      </c>
    </row>
    <row r="806" spans="1:9" x14ac:dyDescent="0.3">
      <c r="A806" s="1">
        <v>45493</v>
      </c>
      <c r="B806" t="s">
        <v>598</v>
      </c>
      <c r="C806" t="s">
        <v>26</v>
      </c>
      <c r="D806">
        <v>37</v>
      </c>
      <c r="E806">
        <v>28082</v>
      </c>
      <c r="F806">
        <v>1039034</v>
      </c>
      <c r="G806" t="s">
        <v>23</v>
      </c>
      <c r="H806" t="s">
        <v>15</v>
      </c>
      <c r="I806" t="str">
        <f>TEXT(tblSales[[#This Row],[Date]],"mmm")</f>
        <v>Jul</v>
      </c>
    </row>
    <row r="807" spans="1:9" x14ac:dyDescent="0.3">
      <c r="A807" s="1">
        <v>45502</v>
      </c>
      <c r="B807" t="s">
        <v>620</v>
      </c>
      <c r="C807" t="s">
        <v>9</v>
      </c>
      <c r="D807">
        <v>34</v>
      </c>
      <c r="E807">
        <v>29348</v>
      </c>
      <c r="F807">
        <v>997832</v>
      </c>
      <c r="G807" t="s">
        <v>14</v>
      </c>
      <c r="H807" t="s">
        <v>11</v>
      </c>
      <c r="I807" t="str">
        <f>TEXT(tblSales[[#This Row],[Date]],"mmm")</f>
        <v>Jul</v>
      </c>
    </row>
    <row r="808" spans="1:9" x14ac:dyDescent="0.3">
      <c r="A808" s="1">
        <v>45486</v>
      </c>
      <c r="B808" t="s">
        <v>648</v>
      </c>
      <c r="C808" t="s">
        <v>22</v>
      </c>
      <c r="D808">
        <v>6</v>
      </c>
      <c r="E808">
        <v>23821</v>
      </c>
      <c r="F808">
        <v>142926</v>
      </c>
      <c r="G808" t="s">
        <v>14</v>
      </c>
      <c r="H808" t="s">
        <v>30</v>
      </c>
      <c r="I808" t="str">
        <f>TEXT(tblSales[[#This Row],[Date]],"mmm")</f>
        <v>Jul</v>
      </c>
    </row>
    <row r="809" spans="1:9" x14ac:dyDescent="0.3">
      <c r="A809" s="1">
        <v>45494</v>
      </c>
      <c r="B809" t="s">
        <v>665</v>
      </c>
      <c r="C809" t="s">
        <v>9</v>
      </c>
      <c r="D809">
        <v>27</v>
      </c>
      <c r="E809">
        <v>17179</v>
      </c>
      <c r="F809">
        <v>463833</v>
      </c>
      <c r="G809" t="s">
        <v>10</v>
      </c>
      <c r="H809" t="s">
        <v>17</v>
      </c>
      <c r="I809" t="str">
        <f>TEXT(tblSales[[#This Row],[Date]],"mmm")</f>
        <v>Jul</v>
      </c>
    </row>
    <row r="810" spans="1:9" x14ac:dyDescent="0.3">
      <c r="A810" s="1">
        <v>45499</v>
      </c>
      <c r="B810" t="s">
        <v>680</v>
      </c>
      <c r="C810" t="s">
        <v>26</v>
      </c>
      <c r="D810">
        <v>2</v>
      </c>
      <c r="E810">
        <v>24107</v>
      </c>
      <c r="F810">
        <v>48214</v>
      </c>
      <c r="G810" t="s">
        <v>23</v>
      </c>
      <c r="H810" t="s">
        <v>15</v>
      </c>
      <c r="I810" t="str">
        <f>TEXT(tblSales[[#This Row],[Date]],"mmm")</f>
        <v>Jul</v>
      </c>
    </row>
    <row r="811" spans="1:9" x14ac:dyDescent="0.3">
      <c r="A811" s="1">
        <v>45502</v>
      </c>
      <c r="B811" t="s">
        <v>684</v>
      </c>
      <c r="C811" t="s">
        <v>9</v>
      </c>
      <c r="D811">
        <v>24</v>
      </c>
      <c r="E811">
        <v>19495</v>
      </c>
      <c r="F811">
        <v>467880</v>
      </c>
      <c r="G811" t="s">
        <v>23</v>
      </c>
      <c r="H811" t="s">
        <v>30</v>
      </c>
      <c r="I811" t="str">
        <f>TEXT(tblSales[[#This Row],[Date]],"mmm")</f>
        <v>Jul</v>
      </c>
    </row>
    <row r="812" spans="1:9" x14ac:dyDescent="0.3">
      <c r="A812" s="1">
        <v>45489</v>
      </c>
      <c r="B812" t="s">
        <v>700</v>
      </c>
      <c r="C812" t="s">
        <v>22</v>
      </c>
      <c r="D812">
        <v>32</v>
      </c>
      <c r="E812">
        <v>36850</v>
      </c>
      <c r="F812">
        <v>1179200</v>
      </c>
      <c r="G812" t="s">
        <v>10</v>
      </c>
      <c r="H812" t="s">
        <v>17</v>
      </c>
      <c r="I812" t="str">
        <f>TEXT(tblSales[[#This Row],[Date]],"mmm")</f>
        <v>Jul</v>
      </c>
    </row>
    <row r="813" spans="1:9" x14ac:dyDescent="0.3">
      <c r="A813" s="1">
        <v>45489</v>
      </c>
      <c r="B813" t="s">
        <v>716</v>
      </c>
      <c r="C813" t="s">
        <v>13</v>
      </c>
      <c r="D813">
        <v>22</v>
      </c>
      <c r="E813">
        <v>30220</v>
      </c>
      <c r="F813">
        <v>664840</v>
      </c>
      <c r="G813" t="s">
        <v>23</v>
      </c>
      <c r="H813" t="s">
        <v>27</v>
      </c>
      <c r="I813" t="str">
        <f>TEXT(tblSales[[#This Row],[Date]],"mmm")</f>
        <v>Jul</v>
      </c>
    </row>
    <row r="814" spans="1:9" x14ac:dyDescent="0.3">
      <c r="A814" s="1">
        <v>45503</v>
      </c>
      <c r="B814" t="s">
        <v>725</v>
      </c>
      <c r="C814" t="s">
        <v>13</v>
      </c>
      <c r="D814">
        <v>21</v>
      </c>
      <c r="E814">
        <v>44821</v>
      </c>
      <c r="F814">
        <v>941241</v>
      </c>
      <c r="G814" t="s">
        <v>14</v>
      </c>
      <c r="H814" t="s">
        <v>27</v>
      </c>
      <c r="I814" t="str">
        <f>TEXT(tblSales[[#This Row],[Date]],"mmm")</f>
        <v>Jul</v>
      </c>
    </row>
    <row r="815" spans="1:9" x14ac:dyDescent="0.3">
      <c r="A815" s="1">
        <v>45475</v>
      </c>
      <c r="B815" t="s">
        <v>756</v>
      </c>
      <c r="C815" t="s">
        <v>13</v>
      </c>
      <c r="D815">
        <v>16</v>
      </c>
      <c r="E815">
        <v>13637</v>
      </c>
      <c r="F815">
        <v>218192</v>
      </c>
      <c r="G815" t="s">
        <v>14</v>
      </c>
      <c r="H815" t="s">
        <v>27</v>
      </c>
      <c r="I815" t="str">
        <f>TEXT(tblSales[[#This Row],[Date]],"mmm")</f>
        <v>Jul</v>
      </c>
    </row>
    <row r="816" spans="1:9" x14ac:dyDescent="0.3">
      <c r="A816" s="1">
        <v>45486</v>
      </c>
      <c r="B816" t="s">
        <v>760</v>
      </c>
      <c r="C816" t="s">
        <v>13</v>
      </c>
      <c r="D816">
        <v>40</v>
      </c>
      <c r="E816">
        <v>40070</v>
      </c>
      <c r="F816">
        <v>1602800</v>
      </c>
      <c r="G816" t="s">
        <v>23</v>
      </c>
      <c r="H816" t="s">
        <v>30</v>
      </c>
      <c r="I816" t="str">
        <f>TEXT(tblSales[[#This Row],[Date]],"mmm")</f>
        <v>Jul</v>
      </c>
    </row>
    <row r="817" spans="1:9" x14ac:dyDescent="0.3">
      <c r="A817" s="1">
        <v>45480</v>
      </c>
      <c r="B817" t="s">
        <v>764</v>
      </c>
      <c r="C817" t="s">
        <v>13</v>
      </c>
      <c r="D817">
        <v>15</v>
      </c>
      <c r="E817">
        <v>21934</v>
      </c>
      <c r="F817">
        <v>329010</v>
      </c>
      <c r="G817" t="s">
        <v>14</v>
      </c>
      <c r="H817" t="s">
        <v>11</v>
      </c>
      <c r="I817" t="str">
        <f>TEXT(tblSales[[#This Row],[Date]],"mmm")</f>
        <v>Jul</v>
      </c>
    </row>
    <row r="818" spans="1:9" x14ac:dyDescent="0.3">
      <c r="A818" s="1">
        <v>45498</v>
      </c>
      <c r="B818" t="s">
        <v>769</v>
      </c>
      <c r="C818" t="s">
        <v>9</v>
      </c>
      <c r="D818">
        <v>15</v>
      </c>
      <c r="E818">
        <v>11945</v>
      </c>
      <c r="F818">
        <v>179175</v>
      </c>
      <c r="G818" t="s">
        <v>14</v>
      </c>
      <c r="H818" t="s">
        <v>15</v>
      </c>
      <c r="I818" t="str">
        <f>TEXT(tblSales[[#This Row],[Date]],"mmm")</f>
        <v>Jul</v>
      </c>
    </row>
    <row r="819" spans="1:9" x14ac:dyDescent="0.3">
      <c r="A819" s="1">
        <v>45495</v>
      </c>
      <c r="B819" t="s">
        <v>779</v>
      </c>
      <c r="C819" t="s">
        <v>26</v>
      </c>
      <c r="D819">
        <v>17</v>
      </c>
      <c r="E819">
        <v>40896</v>
      </c>
      <c r="F819">
        <v>695232</v>
      </c>
      <c r="G819" t="s">
        <v>14</v>
      </c>
      <c r="H819" t="s">
        <v>30</v>
      </c>
      <c r="I819" t="str">
        <f>TEXT(tblSales[[#This Row],[Date]],"mmm")</f>
        <v>Jul</v>
      </c>
    </row>
    <row r="820" spans="1:9" x14ac:dyDescent="0.3">
      <c r="A820" s="1">
        <v>45495</v>
      </c>
      <c r="B820" t="s">
        <v>780</v>
      </c>
      <c r="C820" t="s">
        <v>26</v>
      </c>
      <c r="D820">
        <v>37</v>
      </c>
      <c r="E820">
        <v>12598</v>
      </c>
      <c r="F820">
        <v>466126</v>
      </c>
      <c r="G820" t="s">
        <v>14</v>
      </c>
      <c r="H820" t="s">
        <v>15</v>
      </c>
      <c r="I820" t="str">
        <f>TEXT(tblSales[[#This Row],[Date]],"mmm")</f>
        <v>Jul</v>
      </c>
    </row>
    <row r="821" spans="1:9" x14ac:dyDescent="0.3">
      <c r="A821" s="1">
        <v>45492</v>
      </c>
      <c r="B821" t="s">
        <v>789</v>
      </c>
      <c r="C821" t="s">
        <v>35</v>
      </c>
      <c r="D821">
        <v>34</v>
      </c>
      <c r="E821">
        <v>28879</v>
      </c>
      <c r="F821">
        <v>981886</v>
      </c>
      <c r="G821" t="s">
        <v>14</v>
      </c>
      <c r="H821" t="s">
        <v>15</v>
      </c>
      <c r="I821" t="str">
        <f>TEXT(tblSales[[#This Row],[Date]],"mmm")</f>
        <v>Jul</v>
      </c>
    </row>
    <row r="822" spans="1:9" x14ac:dyDescent="0.3">
      <c r="A822" s="1">
        <v>45486</v>
      </c>
      <c r="B822" t="s">
        <v>790</v>
      </c>
      <c r="C822" t="s">
        <v>22</v>
      </c>
      <c r="D822">
        <v>20</v>
      </c>
      <c r="E822">
        <v>12711</v>
      </c>
      <c r="F822">
        <v>254220</v>
      </c>
      <c r="G822" t="s">
        <v>10</v>
      </c>
      <c r="H822" t="s">
        <v>11</v>
      </c>
      <c r="I822" t="str">
        <f>TEXT(tblSales[[#This Row],[Date]],"mmm")</f>
        <v>Jul</v>
      </c>
    </row>
    <row r="823" spans="1:9" x14ac:dyDescent="0.3">
      <c r="A823" s="1">
        <v>45495</v>
      </c>
      <c r="B823" t="s">
        <v>794</v>
      </c>
      <c r="C823" t="s">
        <v>13</v>
      </c>
      <c r="D823">
        <v>33</v>
      </c>
      <c r="E823">
        <v>44076</v>
      </c>
      <c r="F823">
        <v>1454508</v>
      </c>
      <c r="G823" t="s">
        <v>10</v>
      </c>
      <c r="H823" t="s">
        <v>17</v>
      </c>
      <c r="I823" t="str">
        <f>TEXT(tblSales[[#This Row],[Date]],"mmm")</f>
        <v>Jul</v>
      </c>
    </row>
    <row r="824" spans="1:9" x14ac:dyDescent="0.3">
      <c r="A824" s="1">
        <v>45491</v>
      </c>
      <c r="B824" t="s">
        <v>834</v>
      </c>
      <c r="C824" t="s">
        <v>22</v>
      </c>
      <c r="D824">
        <v>38</v>
      </c>
      <c r="E824">
        <v>42026</v>
      </c>
      <c r="F824">
        <v>1596988</v>
      </c>
      <c r="G824" t="s">
        <v>23</v>
      </c>
      <c r="H824" t="s">
        <v>30</v>
      </c>
      <c r="I824" t="str">
        <f>TEXT(tblSales[[#This Row],[Date]],"mmm")</f>
        <v>Jul</v>
      </c>
    </row>
    <row r="825" spans="1:9" x14ac:dyDescent="0.3">
      <c r="A825" s="1">
        <v>45500</v>
      </c>
      <c r="B825" t="s">
        <v>870</v>
      </c>
      <c r="C825" t="s">
        <v>9</v>
      </c>
      <c r="D825">
        <v>21</v>
      </c>
      <c r="E825">
        <v>13102</v>
      </c>
      <c r="F825">
        <v>275142</v>
      </c>
      <c r="G825" t="s">
        <v>10</v>
      </c>
      <c r="H825" t="s">
        <v>27</v>
      </c>
      <c r="I825" t="str">
        <f>TEXT(tblSales[[#This Row],[Date]],"mmm")</f>
        <v>Jul</v>
      </c>
    </row>
    <row r="826" spans="1:9" x14ac:dyDescent="0.3">
      <c r="A826" s="1">
        <v>45499</v>
      </c>
      <c r="B826" t="s">
        <v>877</v>
      </c>
      <c r="C826" t="s">
        <v>13</v>
      </c>
      <c r="D826">
        <v>26</v>
      </c>
      <c r="E826">
        <v>10929</v>
      </c>
      <c r="F826">
        <v>284154</v>
      </c>
      <c r="G826" t="s">
        <v>19</v>
      </c>
      <c r="H826" t="s">
        <v>27</v>
      </c>
      <c r="I826" t="str">
        <f>TEXT(tblSales[[#This Row],[Date]],"mmm")</f>
        <v>Jul</v>
      </c>
    </row>
    <row r="827" spans="1:9" x14ac:dyDescent="0.3">
      <c r="A827" s="1">
        <v>45490</v>
      </c>
      <c r="B827" t="s">
        <v>894</v>
      </c>
      <c r="C827" t="s">
        <v>13</v>
      </c>
      <c r="D827">
        <v>5</v>
      </c>
      <c r="E827">
        <v>32503</v>
      </c>
      <c r="F827">
        <v>162515</v>
      </c>
      <c r="G827" t="s">
        <v>19</v>
      </c>
      <c r="H827" t="s">
        <v>27</v>
      </c>
      <c r="I827" t="str">
        <f>TEXT(tblSales[[#This Row],[Date]],"mmm")</f>
        <v>Jul</v>
      </c>
    </row>
    <row r="828" spans="1:9" x14ac:dyDescent="0.3">
      <c r="A828" s="1">
        <v>45474</v>
      </c>
      <c r="B828" t="s">
        <v>898</v>
      </c>
      <c r="C828" t="s">
        <v>26</v>
      </c>
      <c r="D828">
        <v>19</v>
      </c>
      <c r="E828">
        <v>39268</v>
      </c>
      <c r="F828">
        <v>746092</v>
      </c>
      <c r="G828" t="s">
        <v>14</v>
      </c>
      <c r="H828" t="s">
        <v>27</v>
      </c>
      <c r="I828" t="str">
        <f>TEXT(tblSales[[#This Row],[Date]],"mmm")</f>
        <v>Jul</v>
      </c>
    </row>
    <row r="829" spans="1:9" x14ac:dyDescent="0.3">
      <c r="A829" s="1">
        <v>45485</v>
      </c>
      <c r="B829" t="s">
        <v>925</v>
      </c>
      <c r="C829" t="s">
        <v>26</v>
      </c>
      <c r="D829">
        <v>13</v>
      </c>
      <c r="E829">
        <v>26774</v>
      </c>
      <c r="F829">
        <v>348062</v>
      </c>
      <c r="G829" t="s">
        <v>23</v>
      </c>
      <c r="H829" t="s">
        <v>27</v>
      </c>
      <c r="I829" t="str">
        <f>TEXT(tblSales[[#This Row],[Date]],"mmm")</f>
        <v>Jul</v>
      </c>
    </row>
    <row r="830" spans="1:9" x14ac:dyDescent="0.3">
      <c r="A830" s="1">
        <v>45492</v>
      </c>
      <c r="B830" t="s">
        <v>929</v>
      </c>
      <c r="C830" t="s">
        <v>9</v>
      </c>
      <c r="D830">
        <v>14</v>
      </c>
      <c r="E830">
        <v>27823</v>
      </c>
      <c r="F830">
        <v>389522</v>
      </c>
      <c r="G830" t="s">
        <v>10</v>
      </c>
      <c r="H830" t="s">
        <v>17</v>
      </c>
      <c r="I830" t="str">
        <f>TEXT(tblSales[[#This Row],[Date]],"mmm")</f>
        <v>Jul</v>
      </c>
    </row>
    <row r="831" spans="1:9" x14ac:dyDescent="0.3">
      <c r="A831" s="1">
        <v>45492</v>
      </c>
      <c r="B831" t="s">
        <v>931</v>
      </c>
      <c r="C831" t="s">
        <v>35</v>
      </c>
      <c r="D831">
        <v>19</v>
      </c>
      <c r="E831">
        <v>37658</v>
      </c>
      <c r="F831">
        <v>715502</v>
      </c>
      <c r="G831" t="s">
        <v>14</v>
      </c>
      <c r="H831" t="s">
        <v>15</v>
      </c>
      <c r="I831" t="str">
        <f>TEXT(tblSales[[#This Row],[Date]],"mmm")</f>
        <v>Jul</v>
      </c>
    </row>
    <row r="832" spans="1:9" x14ac:dyDescent="0.3">
      <c r="A832" s="1">
        <v>45492</v>
      </c>
      <c r="B832" t="s">
        <v>968</v>
      </c>
      <c r="C832" t="s">
        <v>13</v>
      </c>
      <c r="D832">
        <v>12</v>
      </c>
      <c r="E832">
        <v>37662</v>
      </c>
      <c r="F832">
        <v>451944</v>
      </c>
      <c r="G832" t="s">
        <v>10</v>
      </c>
      <c r="H832" t="s">
        <v>27</v>
      </c>
      <c r="I832" t="str">
        <f>TEXT(tblSales[[#This Row],[Date]],"mmm")</f>
        <v>Jul</v>
      </c>
    </row>
    <row r="833" spans="1:9" x14ac:dyDescent="0.3">
      <c r="A833" s="1">
        <v>45477</v>
      </c>
      <c r="B833" t="s">
        <v>973</v>
      </c>
      <c r="C833" t="s">
        <v>22</v>
      </c>
      <c r="D833">
        <v>7</v>
      </c>
      <c r="E833">
        <v>15423</v>
      </c>
      <c r="F833">
        <v>107961</v>
      </c>
      <c r="G833" t="s">
        <v>23</v>
      </c>
      <c r="H833" t="s">
        <v>27</v>
      </c>
      <c r="I833" t="str">
        <f>TEXT(tblSales[[#This Row],[Date]],"mmm")</f>
        <v>Jul</v>
      </c>
    </row>
    <row r="834" spans="1:9" x14ac:dyDescent="0.3">
      <c r="A834" s="1">
        <v>45497</v>
      </c>
      <c r="B834" t="s">
        <v>1004</v>
      </c>
      <c r="C834" t="s">
        <v>35</v>
      </c>
      <c r="D834">
        <v>2</v>
      </c>
      <c r="E834">
        <v>24360</v>
      </c>
      <c r="F834">
        <v>48720</v>
      </c>
      <c r="G834" t="s">
        <v>23</v>
      </c>
      <c r="H834" t="s">
        <v>11</v>
      </c>
      <c r="I834" t="str">
        <f>TEXT(tblSales[[#This Row],[Date]],"mmm")</f>
        <v>Jul</v>
      </c>
    </row>
    <row r="835" spans="1:9" x14ac:dyDescent="0.3">
      <c r="A835" s="1">
        <v>45496</v>
      </c>
      <c r="B835" t="s">
        <v>1008</v>
      </c>
      <c r="C835" t="s">
        <v>9</v>
      </c>
      <c r="D835">
        <v>37</v>
      </c>
      <c r="E835">
        <v>32823</v>
      </c>
      <c r="F835">
        <v>1214451</v>
      </c>
      <c r="G835" t="s">
        <v>14</v>
      </c>
      <c r="H835" t="s">
        <v>11</v>
      </c>
      <c r="I835" t="str">
        <f>TEXT(tblSales[[#This Row],[Date]],"mmm")</f>
        <v>Jul</v>
      </c>
    </row>
    <row r="836" spans="1:9" x14ac:dyDescent="0.3">
      <c r="A836" s="1">
        <v>45483</v>
      </c>
      <c r="B836" t="s">
        <v>1013</v>
      </c>
      <c r="C836" t="s">
        <v>9</v>
      </c>
      <c r="D836">
        <v>10</v>
      </c>
      <c r="E836">
        <v>27424</v>
      </c>
      <c r="F836">
        <v>274240</v>
      </c>
      <c r="G836" t="s">
        <v>19</v>
      </c>
      <c r="H836" t="s">
        <v>30</v>
      </c>
      <c r="I836" t="str">
        <f>TEXT(tblSales[[#This Row],[Date]],"mmm")</f>
        <v>Jul</v>
      </c>
    </row>
    <row r="837" spans="1:9" x14ac:dyDescent="0.3">
      <c r="A837" s="1">
        <v>45474</v>
      </c>
      <c r="B837" t="s">
        <v>1027</v>
      </c>
      <c r="C837" t="s">
        <v>35</v>
      </c>
      <c r="D837">
        <v>40</v>
      </c>
      <c r="E837">
        <v>24012</v>
      </c>
      <c r="F837">
        <v>960480</v>
      </c>
      <c r="G837" t="s">
        <v>10</v>
      </c>
      <c r="H837" t="s">
        <v>15</v>
      </c>
      <c r="I837" t="str">
        <f>TEXT(tblSales[[#This Row],[Date]],"mmm")</f>
        <v>Jul</v>
      </c>
    </row>
    <row r="838" spans="1:9" x14ac:dyDescent="0.3">
      <c r="A838" s="1">
        <v>45498</v>
      </c>
      <c r="B838" t="s">
        <v>1028</v>
      </c>
      <c r="C838" t="s">
        <v>26</v>
      </c>
      <c r="D838">
        <v>37</v>
      </c>
      <c r="E838">
        <v>18768</v>
      </c>
      <c r="F838">
        <v>694416</v>
      </c>
      <c r="G838" t="s">
        <v>19</v>
      </c>
      <c r="H838" t="s">
        <v>27</v>
      </c>
      <c r="I838" t="str">
        <f>TEXT(tblSales[[#This Row],[Date]],"mmm")</f>
        <v>Jul</v>
      </c>
    </row>
    <row r="839" spans="1:9" x14ac:dyDescent="0.3">
      <c r="A839" s="1">
        <v>45489</v>
      </c>
      <c r="B839" t="s">
        <v>1043</v>
      </c>
      <c r="C839" t="s">
        <v>9</v>
      </c>
      <c r="D839">
        <v>4</v>
      </c>
      <c r="E839">
        <v>12344</v>
      </c>
      <c r="F839">
        <v>49376</v>
      </c>
      <c r="G839" t="s">
        <v>23</v>
      </c>
      <c r="H839" t="s">
        <v>11</v>
      </c>
      <c r="I839" t="str">
        <f>TEXT(tblSales[[#This Row],[Date]],"mmm")</f>
        <v>Jul</v>
      </c>
    </row>
    <row r="840" spans="1:9" x14ac:dyDescent="0.3">
      <c r="A840" s="1">
        <v>45487</v>
      </c>
      <c r="B840" t="s">
        <v>1054</v>
      </c>
      <c r="C840" t="s">
        <v>13</v>
      </c>
      <c r="D840">
        <v>12</v>
      </c>
      <c r="E840">
        <v>8901</v>
      </c>
      <c r="F840">
        <v>106812</v>
      </c>
      <c r="G840" t="s">
        <v>10</v>
      </c>
      <c r="H840" t="s">
        <v>11</v>
      </c>
      <c r="I840" t="str">
        <f>TEXT(tblSales[[#This Row],[Date]],"mmm")</f>
        <v>Jul</v>
      </c>
    </row>
    <row r="841" spans="1:9" x14ac:dyDescent="0.3">
      <c r="A841" s="1">
        <v>45494</v>
      </c>
      <c r="B841" t="s">
        <v>1078</v>
      </c>
      <c r="C841" t="s">
        <v>9</v>
      </c>
      <c r="D841">
        <v>3</v>
      </c>
      <c r="E841">
        <v>16554</v>
      </c>
      <c r="F841">
        <v>49662</v>
      </c>
      <c r="G841" t="s">
        <v>14</v>
      </c>
      <c r="H841" t="s">
        <v>15</v>
      </c>
      <c r="I841" t="str">
        <f>TEXT(tblSales[[#This Row],[Date]],"mmm")</f>
        <v>Jul</v>
      </c>
    </row>
    <row r="842" spans="1:9" x14ac:dyDescent="0.3">
      <c r="A842" s="1">
        <v>45483</v>
      </c>
      <c r="B842" t="s">
        <v>1094</v>
      </c>
      <c r="C842" t="s">
        <v>13</v>
      </c>
      <c r="D842">
        <v>3</v>
      </c>
      <c r="E842">
        <v>31655</v>
      </c>
      <c r="F842">
        <v>94965</v>
      </c>
      <c r="G842" t="s">
        <v>19</v>
      </c>
      <c r="H842" t="s">
        <v>17</v>
      </c>
      <c r="I842" t="str">
        <f>TEXT(tblSales[[#This Row],[Date]],"mmm")</f>
        <v>Jul</v>
      </c>
    </row>
    <row r="843" spans="1:9" x14ac:dyDescent="0.3">
      <c r="A843" s="1">
        <v>45493</v>
      </c>
      <c r="B843" t="s">
        <v>1113</v>
      </c>
      <c r="C843" t="s">
        <v>13</v>
      </c>
      <c r="D843">
        <v>26</v>
      </c>
      <c r="E843">
        <v>40556</v>
      </c>
      <c r="F843">
        <v>1054456</v>
      </c>
      <c r="G843" t="s">
        <v>19</v>
      </c>
      <c r="H843" t="s">
        <v>27</v>
      </c>
      <c r="I843" t="str">
        <f>TEXT(tblSales[[#This Row],[Date]],"mmm")</f>
        <v>Jul</v>
      </c>
    </row>
    <row r="844" spans="1:9" x14ac:dyDescent="0.3">
      <c r="A844" s="1">
        <v>45475</v>
      </c>
      <c r="B844" t="s">
        <v>1135</v>
      </c>
      <c r="C844" t="s">
        <v>22</v>
      </c>
      <c r="D844">
        <v>30</v>
      </c>
      <c r="E844">
        <v>38362</v>
      </c>
      <c r="F844">
        <v>1150860</v>
      </c>
      <c r="G844" t="s">
        <v>14</v>
      </c>
      <c r="H844" t="s">
        <v>11</v>
      </c>
      <c r="I844" t="str">
        <f>TEXT(tblSales[[#This Row],[Date]],"mmm")</f>
        <v>Jul</v>
      </c>
    </row>
    <row r="845" spans="1:9" x14ac:dyDescent="0.3">
      <c r="A845" s="1">
        <v>45481</v>
      </c>
      <c r="B845" t="s">
        <v>1180</v>
      </c>
      <c r="C845" t="s">
        <v>9</v>
      </c>
      <c r="D845">
        <v>35</v>
      </c>
      <c r="E845">
        <v>43951</v>
      </c>
      <c r="F845">
        <v>1538285</v>
      </c>
      <c r="G845" t="s">
        <v>19</v>
      </c>
      <c r="H845" t="s">
        <v>30</v>
      </c>
      <c r="I845" t="str">
        <f>TEXT(tblSales[[#This Row],[Date]],"mmm")</f>
        <v>Jul</v>
      </c>
    </row>
    <row r="846" spans="1:9" x14ac:dyDescent="0.3">
      <c r="A846" s="1">
        <v>45500</v>
      </c>
      <c r="B846" t="s">
        <v>1187</v>
      </c>
      <c r="C846" t="s">
        <v>26</v>
      </c>
      <c r="D846">
        <v>40</v>
      </c>
      <c r="E846">
        <v>11978</v>
      </c>
      <c r="F846">
        <v>479120</v>
      </c>
      <c r="G846" t="s">
        <v>19</v>
      </c>
      <c r="H846" t="s">
        <v>17</v>
      </c>
      <c r="I846" t="str">
        <f>TEXT(tblSales[[#This Row],[Date]],"mmm")</f>
        <v>Jul</v>
      </c>
    </row>
    <row r="847" spans="1:9" x14ac:dyDescent="0.3">
      <c r="A847" s="1">
        <v>45474</v>
      </c>
      <c r="B847" t="s">
        <v>1193</v>
      </c>
      <c r="C847" t="s">
        <v>13</v>
      </c>
      <c r="D847">
        <v>38</v>
      </c>
      <c r="E847">
        <v>28290</v>
      </c>
      <c r="F847">
        <v>1075020</v>
      </c>
      <c r="G847" t="s">
        <v>10</v>
      </c>
      <c r="H847" t="s">
        <v>30</v>
      </c>
      <c r="I847" t="str">
        <f>TEXT(tblSales[[#This Row],[Date]],"mmm")</f>
        <v>Jul</v>
      </c>
    </row>
    <row r="848" spans="1:9" x14ac:dyDescent="0.3">
      <c r="A848" s="1">
        <v>45487</v>
      </c>
      <c r="B848" t="s">
        <v>1199</v>
      </c>
      <c r="C848" t="s">
        <v>13</v>
      </c>
      <c r="D848">
        <v>6</v>
      </c>
      <c r="E848">
        <v>43095</v>
      </c>
      <c r="F848">
        <v>258570</v>
      </c>
      <c r="G848" t="s">
        <v>10</v>
      </c>
      <c r="H848" t="s">
        <v>27</v>
      </c>
      <c r="I848" t="str">
        <f>TEXT(tblSales[[#This Row],[Date]],"mmm")</f>
        <v>Jul</v>
      </c>
    </row>
    <row r="849" spans="1:9" x14ac:dyDescent="0.3">
      <c r="A849" s="1">
        <v>45482</v>
      </c>
      <c r="B849" t="s">
        <v>1211</v>
      </c>
      <c r="C849" t="s">
        <v>26</v>
      </c>
      <c r="D849">
        <v>13</v>
      </c>
      <c r="E849">
        <v>9971</v>
      </c>
      <c r="F849">
        <v>129623</v>
      </c>
      <c r="G849" t="s">
        <v>10</v>
      </c>
      <c r="H849" t="s">
        <v>17</v>
      </c>
      <c r="I849" t="str">
        <f>TEXT(tblSales[[#This Row],[Date]],"mmm")</f>
        <v>Jul</v>
      </c>
    </row>
    <row r="850" spans="1:9" x14ac:dyDescent="0.3">
      <c r="A850" s="1">
        <v>45475</v>
      </c>
      <c r="B850" t="s">
        <v>1213</v>
      </c>
      <c r="C850" t="s">
        <v>35</v>
      </c>
      <c r="D850">
        <v>35</v>
      </c>
      <c r="E850">
        <v>33790</v>
      </c>
      <c r="F850">
        <v>1182650</v>
      </c>
      <c r="G850" t="s">
        <v>23</v>
      </c>
      <c r="H850" t="s">
        <v>17</v>
      </c>
      <c r="I850" t="str">
        <f>TEXT(tblSales[[#This Row],[Date]],"mmm")</f>
        <v>Jul</v>
      </c>
    </row>
    <row r="851" spans="1:9" x14ac:dyDescent="0.3">
      <c r="A851" s="1">
        <v>45499</v>
      </c>
      <c r="B851" t="s">
        <v>1249</v>
      </c>
      <c r="C851" t="s">
        <v>35</v>
      </c>
      <c r="D851">
        <v>8</v>
      </c>
      <c r="E851">
        <v>44627</v>
      </c>
      <c r="F851">
        <v>357016</v>
      </c>
      <c r="G851" t="s">
        <v>19</v>
      </c>
      <c r="H851" t="s">
        <v>17</v>
      </c>
      <c r="I851" t="str">
        <f>TEXT(tblSales[[#This Row],[Date]],"mmm")</f>
        <v>Jul</v>
      </c>
    </row>
    <row r="852" spans="1:9" x14ac:dyDescent="0.3">
      <c r="A852" s="1">
        <v>45481</v>
      </c>
      <c r="B852" t="s">
        <v>1256</v>
      </c>
      <c r="C852" t="s">
        <v>35</v>
      </c>
      <c r="D852">
        <v>28</v>
      </c>
      <c r="E852">
        <v>30372</v>
      </c>
      <c r="F852">
        <v>850416</v>
      </c>
      <c r="G852" t="s">
        <v>14</v>
      </c>
      <c r="H852" t="s">
        <v>30</v>
      </c>
      <c r="I852" t="str">
        <f>TEXT(tblSales[[#This Row],[Date]],"mmm")</f>
        <v>Jul</v>
      </c>
    </row>
    <row r="853" spans="1:9" x14ac:dyDescent="0.3">
      <c r="A853" s="1">
        <v>45487</v>
      </c>
      <c r="B853" t="s">
        <v>1286</v>
      </c>
      <c r="C853" t="s">
        <v>9</v>
      </c>
      <c r="D853">
        <v>27</v>
      </c>
      <c r="E853">
        <v>22718</v>
      </c>
      <c r="F853">
        <v>613386</v>
      </c>
      <c r="G853" t="s">
        <v>23</v>
      </c>
      <c r="H853" t="s">
        <v>11</v>
      </c>
      <c r="I853" t="str">
        <f>TEXT(tblSales[[#This Row],[Date]],"mmm")</f>
        <v>Jul</v>
      </c>
    </row>
    <row r="854" spans="1:9" x14ac:dyDescent="0.3">
      <c r="A854" s="1">
        <v>45485</v>
      </c>
      <c r="B854" t="s">
        <v>1291</v>
      </c>
      <c r="C854" t="s">
        <v>35</v>
      </c>
      <c r="D854">
        <v>3</v>
      </c>
      <c r="E854">
        <v>27365</v>
      </c>
      <c r="F854">
        <v>82095</v>
      </c>
      <c r="G854" t="s">
        <v>14</v>
      </c>
      <c r="H854" t="s">
        <v>30</v>
      </c>
      <c r="I854" t="str">
        <f>TEXT(tblSales[[#This Row],[Date]],"mmm")</f>
        <v>Jul</v>
      </c>
    </row>
    <row r="855" spans="1:9" x14ac:dyDescent="0.3">
      <c r="A855" s="1">
        <v>45477</v>
      </c>
      <c r="B855" t="s">
        <v>1293</v>
      </c>
      <c r="C855" t="s">
        <v>26</v>
      </c>
      <c r="D855">
        <v>16</v>
      </c>
      <c r="E855">
        <v>32021</v>
      </c>
      <c r="F855">
        <v>512336</v>
      </c>
      <c r="G855" t="s">
        <v>10</v>
      </c>
      <c r="H855" t="s">
        <v>30</v>
      </c>
      <c r="I855" t="str">
        <f>TEXT(tblSales[[#This Row],[Date]],"mmm")</f>
        <v>Jul</v>
      </c>
    </row>
    <row r="856" spans="1:9" x14ac:dyDescent="0.3">
      <c r="A856" s="1">
        <v>45496</v>
      </c>
      <c r="B856" t="s">
        <v>1306</v>
      </c>
      <c r="C856" t="s">
        <v>13</v>
      </c>
      <c r="D856">
        <v>18</v>
      </c>
      <c r="E856">
        <v>41780</v>
      </c>
      <c r="F856">
        <v>752040</v>
      </c>
      <c r="G856" t="s">
        <v>10</v>
      </c>
      <c r="H856" t="s">
        <v>30</v>
      </c>
      <c r="I856" t="str">
        <f>TEXT(tblSales[[#This Row],[Date]],"mmm")</f>
        <v>Jul</v>
      </c>
    </row>
    <row r="857" spans="1:9" x14ac:dyDescent="0.3">
      <c r="A857" s="1">
        <v>45475</v>
      </c>
      <c r="B857" t="s">
        <v>1333</v>
      </c>
      <c r="C857" t="s">
        <v>22</v>
      </c>
      <c r="D857">
        <v>19</v>
      </c>
      <c r="E857">
        <v>29157</v>
      </c>
      <c r="F857">
        <v>553983</v>
      </c>
      <c r="G857" t="s">
        <v>14</v>
      </c>
      <c r="H857" t="s">
        <v>15</v>
      </c>
      <c r="I857" t="str">
        <f>TEXT(tblSales[[#This Row],[Date]],"mmm")</f>
        <v>Jul</v>
      </c>
    </row>
    <row r="858" spans="1:9" x14ac:dyDescent="0.3">
      <c r="A858" s="1">
        <v>45490</v>
      </c>
      <c r="B858" t="s">
        <v>1354</v>
      </c>
      <c r="C858" t="s">
        <v>22</v>
      </c>
      <c r="D858">
        <v>9</v>
      </c>
      <c r="E858">
        <v>26572</v>
      </c>
      <c r="F858">
        <v>239148</v>
      </c>
      <c r="G858" t="s">
        <v>19</v>
      </c>
      <c r="H858" t="s">
        <v>17</v>
      </c>
      <c r="I858" t="str">
        <f>TEXT(tblSales[[#This Row],[Date]],"mmm")</f>
        <v>Jul</v>
      </c>
    </row>
    <row r="859" spans="1:9" x14ac:dyDescent="0.3">
      <c r="A859" s="1">
        <v>45476</v>
      </c>
      <c r="B859" t="s">
        <v>1358</v>
      </c>
      <c r="C859" t="s">
        <v>26</v>
      </c>
      <c r="D859">
        <v>22</v>
      </c>
      <c r="E859">
        <v>13916</v>
      </c>
      <c r="F859">
        <v>306152</v>
      </c>
      <c r="G859" t="s">
        <v>23</v>
      </c>
      <c r="H859" t="s">
        <v>27</v>
      </c>
      <c r="I859" t="str">
        <f>TEXT(tblSales[[#This Row],[Date]],"mmm")</f>
        <v>Jul</v>
      </c>
    </row>
    <row r="860" spans="1:9" x14ac:dyDescent="0.3">
      <c r="A860" s="1">
        <v>45501</v>
      </c>
      <c r="B860" t="s">
        <v>1377</v>
      </c>
      <c r="C860" t="s">
        <v>22</v>
      </c>
      <c r="D860">
        <v>20</v>
      </c>
      <c r="E860">
        <v>10179</v>
      </c>
      <c r="F860">
        <v>203580</v>
      </c>
      <c r="G860" t="s">
        <v>14</v>
      </c>
      <c r="H860" t="s">
        <v>27</v>
      </c>
      <c r="I860" t="str">
        <f>TEXT(tblSales[[#This Row],[Date]],"mmm")</f>
        <v>Jul</v>
      </c>
    </row>
    <row r="861" spans="1:9" x14ac:dyDescent="0.3">
      <c r="A861" s="1">
        <v>45492</v>
      </c>
      <c r="B861" t="s">
        <v>1379</v>
      </c>
      <c r="C861" t="s">
        <v>22</v>
      </c>
      <c r="D861">
        <v>13</v>
      </c>
      <c r="E861">
        <v>19639</v>
      </c>
      <c r="F861">
        <v>255307</v>
      </c>
      <c r="G861" t="s">
        <v>10</v>
      </c>
      <c r="H861" t="s">
        <v>27</v>
      </c>
      <c r="I861" t="str">
        <f>TEXT(tblSales[[#This Row],[Date]],"mmm")</f>
        <v>Jul</v>
      </c>
    </row>
    <row r="862" spans="1:9" x14ac:dyDescent="0.3">
      <c r="A862" s="1">
        <v>45476</v>
      </c>
      <c r="B862" t="s">
        <v>1390</v>
      </c>
      <c r="C862" t="s">
        <v>22</v>
      </c>
      <c r="D862">
        <v>5</v>
      </c>
      <c r="E862">
        <v>10021</v>
      </c>
      <c r="F862">
        <v>50105</v>
      </c>
      <c r="G862" t="s">
        <v>23</v>
      </c>
      <c r="H862" t="s">
        <v>30</v>
      </c>
      <c r="I862" t="str">
        <f>TEXT(tblSales[[#This Row],[Date]],"mmm")</f>
        <v>Jul</v>
      </c>
    </row>
    <row r="863" spans="1:9" x14ac:dyDescent="0.3">
      <c r="A863" s="1">
        <v>45496</v>
      </c>
      <c r="B863" t="s">
        <v>1404</v>
      </c>
      <c r="C863" t="s">
        <v>35</v>
      </c>
      <c r="D863">
        <v>40</v>
      </c>
      <c r="E863">
        <v>25929</v>
      </c>
      <c r="F863">
        <v>1037160</v>
      </c>
      <c r="G863" t="s">
        <v>23</v>
      </c>
      <c r="H863" t="s">
        <v>15</v>
      </c>
      <c r="I863" t="str">
        <f>TEXT(tblSales[[#This Row],[Date]],"mmm")</f>
        <v>Jul</v>
      </c>
    </row>
    <row r="864" spans="1:9" x14ac:dyDescent="0.3">
      <c r="A864" s="1">
        <v>45482</v>
      </c>
      <c r="B864" t="s">
        <v>1405</v>
      </c>
      <c r="C864" t="s">
        <v>26</v>
      </c>
      <c r="D864">
        <v>35</v>
      </c>
      <c r="E864">
        <v>34988</v>
      </c>
      <c r="F864">
        <v>1224580</v>
      </c>
      <c r="G864" t="s">
        <v>10</v>
      </c>
      <c r="H864" t="s">
        <v>11</v>
      </c>
      <c r="I864" t="str">
        <f>TEXT(tblSales[[#This Row],[Date]],"mmm")</f>
        <v>Jul</v>
      </c>
    </row>
    <row r="865" spans="1:9" x14ac:dyDescent="0.3">
      <c r="A865" s="1">
        <v>45494</v>
      </c>
      <c r="B865" t="s">
        <v>1417</v>
      </c>
      <c r="C865" t="s">
        <v>13</v>
      </c>
      <c r="D865">
        <v>39</v>
      </c>
      <c r="E865">
        <v>27327</v>
      </c>
      <c r="F865">
        <v>1065753</v>
      </c>
      <c r="G865" t="s">
        <v>10</v>
      </c>
      <c r="H865" t="s">
        <v>27</v>
      </c>
      <c r="I865" t="str">
        <f>TEXT(tblSales[[#This Row],[Date]],"mmm")</f>
        <v>Jul</v>
      </c>
    </row>
    <row r="866" spans="1:9" x14ac:dyDescent="0.3">
      <c r="A866" s="1">
        <v>45482</v>
      </c>
      <c r="B866" t="s">
        <v>1421</v>
      </c>
      <c r="C866" t="s">
        <v>13</v>
      </c>
      <c r="D866">
        <v>38</v>
      </c>
      <c r="E866">
        <v>12939</v>
      </c>
      <c r="F866">
        <v>491682</v>
      </c>
      <c r="G866" t="s">
        <v>10</v>
      </c>
      <c r="H866" t="s">
        <v>15</v>
      </c>
      <c r="I866" t="str">
        <f>TEXT(tblSales[[#This Row],[Date]],"mmm")</f>
        <v>Jul</v>
      </c>
    </row>
    <row r="867" spans="1:9" x14ac:dyDescent="0.3">
      <c r="A867" s="1">
        <v>45492</v>
      </c>
      <c r="B867" t="s">
        <v>1434</v>
      </c>
      <c r="C867" t="s">
        <v>9</v>
      </c>
      <c r="D867">
        <v>35</v>
      </c>
      <c r="E867">
        <v>12479</v>
      </c>
      <c r="F867">
        <v>436765</v>
      </c>
      <c r="G867" t="s">
        <v>23</v>
      </c>
      <c r="H867" t="s">
        <v>11</v>
      </c>
      <c r="I867" t="str">
        <f>TEXT(tblSales[[#This Row],[Date]],"mmm")</f>
        <v>Jul</v>
      </c>
    </row>
    <row r="868" spans="1:9" x14ac:dyDescent="0.3">
      <c r="A868" s="1">
        <v>45500</v>
      </c>
      <c r="B868" t="s">
        <v>1443</v>
      </c>
      <c r="C868" t="s">
        <v>26</v>
      </c>
      <c r="D868">
        <v>40</v>
      </c>
      <c r="E868">
        <v>19034</v>
      </c>
      <c r="F868">
        <v>761360</v>
      </c>
      <c r="G868" t="s">
        <v>14</v>
      </c>
      <c r="H868" t="s">
        <v>17</v>
      </c>
      <c r="I868" t="str">
        <f>TEXT(tblSales[[#This Row],[Date]],"mmm")</f>
        <v>Jul</v>
      </c>
    </row>
    <row r="869" spans="1:9" x14ac:dyDescent="0.3">
      <c r="A869" s="1">
        <v>45496</v>
      </c>
      <c r="B869" t="s">
        <v>1456</v>
      </c>
      <c r="C869" t="s">
        <v>13</v>
      </c>
      <c r="D869">
        <v>3</v>
      </c>
      <c r="E869">
        <v>28757</v>
      </c>
      <c r="F869">
        <v>86271</v>
      </c>
      <c r="G869" t="s">
        <v>14</v>
      </c>
      <c r="H869" t="s">
        <v>17</v>
      </c>
      <c r="I869" t="str">
        <f>TEXT(tblSales[[#This Row],[Date]],"mmm")</f>
        <v>Jul</v>
      </c>
    </row>
    <row r="870" spans="1:9" x14ac:dyDescent="0.3">
      <c r="A870" s="1">
        <v>45483</v>
      </c>
      <c r="B870" t="s">
        <v>1474</v>
      </c>
      <c r="C870" t="s">
        <v>13</v>
      </c>
      <c r="D870">
        <v>20</v>
      </c>
      <c r="E870">
        <v>24600</v>
      </c>
      <c r="F870">
        <v>492000</v>
      </c>
      <c r="G870" t="s">
        <v>23</v>
      </c>
      <c r="H870" t="s">
        <v>17</v>
      </c>
      <c r="I870" t="str">
        <f>TEXT(tblSales[[#This Row],[Date]],"mmm")</f>
        <v>Jul</v>
      </c>
    </row>
    <row r="871" spans="1:9" x14ac:dyDescent="0.3">
      <c r="A871" s="1">
        <v>45477</v>
      </c>
      <c r="B871" t="s">
        <v>1475</v>
      </c>
      <c r="C871" t="s">
        <v>13</v>
      </c>
      <c r="D871">
        <v>11</v>
      </c>
      <c r="E871">
        <v>40428</v>
      </c>
      <c r="F871">
        <v>444708</v>
      </c>
      <c r="G871" t="s">
        <v>10</v>
      </c>
      <c r="H871" t="s">
        <v>15</v>
      </c>
      <c r="I871" t="str">
        <f>TEXT(tblSales[[#This Row],[Date]],"mmm")</f>
        <v>Jul</v>
      </c>
    </row>
    <row r="872" spans="1:9" x14ac:dyDescent="0.3">
      <c r="A872" s="1">
        <v>45500</v>
      </c>
      <c r="B872" t="s">
        <v>1476</v>
      </c>
      <c r="C872" t="s">
        <v>26</v>
      </c>
      <c r="D872">
        <v>19</v>
      </c>
      <c r="E872">
        <v>33385</v>
      </c>
      <c r="F872">
        <v>634315</v>
      </c>
      <c r="G872" t="s">
        <v>10</v>
      </c>
      <c r="H872" t="s">
        <v>30</v>
      </c>
      <c r="I872" t="str">
        <f>TEXT(tblSales[[#This Row],[Date]],"mmm")</f>
        <v>Jul</v>
      </c>
    </row>
    <row r="873" spans="1:9" x14ac:dyDescent="0.3">
      <c r="A873" s="1">
        <v>45476</v>
      </c>
      <c r="B873" t="s">
        <v>1478</v>
      </c>
      <c r="C873" t="s">
        <v>22</v>
      </c>
      <c r="D873">
        <v>40</v>
      </c>
      <c r="E873">
        <v>23418</v>
      </c>
      <c r="F873">
        <v>936720</v>
      </c>
      <c r="G873" t="s">
        <v>10</v>
      </c>
      <c r="H873" t="s">
        <v>15</v>
      </c>
      <c r="I873" t="str">
        <f>TEXT(tblSales[[#This Row],[Date]],"mmm")</f>
        <v>Jul</v>
      </c>
    </row>
    <row r="874" spans="1:9" x14ac:dyDescent="0.3">
      <c r="A874" s="1">
        <v>45485</v>
      </c>
      <c r="B874" t="s">
        <v>1493</v>
      </c>
      <c r="C874" t="s">
        <v>13</v>
      </c>
      <c r="D874">
        <v>33</v>
      </c>
      <c r="E874">
        <v>25198</v>
      </c>
      <c r="F874">
        <v>831534</v>
      </c>
      <c r="G874" t="s">
        <v>19</v>
      </c>
      <c r="H874" t="s">
        <v>11</v>
      </c>
      <c r="I874" t="str">
        <f>TEXT(tblSales[[#This Row],[Date]],"mmm")</f>
        <v>Jul</v>
      </c>
    </row>
    <row r="875" spans="1:9" x14ac:dyDescent="0.3">
      <c r="A875" s="1">
        <v>45484</v>
      </c>
      <c r="B875" t="s">
        <v>1500</v>
      </c>
      <c r="C875" t="s">
        <v>9</v>
      </c>
      <c r="D875">
        <v>15</v>
      </c>
      <c r="E875">
        <v>40629</v>
      </c>
      <c r="F875">
        <v>609435</v>
      </c>
      <c r="G875" t="s">
        <v>10</v>
      </c>
      <c r="H875" t="s">
        <v>30</v>
      </c>
      <c r="I875" t="str">
        <f>TEXT(tblSales[[#This Row],[Date]],"mmm")</f>
        <v>Jul</v>
      </c>
    </row>
    <row r="876" spans="1:9" x14ac:dyDescent="0.3">
      <c r="A876" s="1">
        <v>45492</v>
      </c>
      <c r="B876" t="s">
        <v>1508</v>
      </c>
      <c r="C876" t="s">
        <v>13</v>
      </c>
      <c r="D876">
        <v>30</v>
      </c>
      <c r="E876">
        <v>8432</v>
      </c>
      <c r="F876">
        <v>252960</v>
      </c>
      <c r="G876" t="s">
        <v>14</v>
      </c>
      <c r="H876" t="s">
        <v>15</v>
      </c>
      <c r="I876" t="str">
        <f>TEXT(tblSales[[#This Row],[Date]],"mmm")</f>
        <v>Jul</v>
      </c>
    </row>
    <row r="877" spans="1:9" x14ac:dyDescent="0.3">
      <c r="A877" s="1">
        <v>45484</v>
      </c>
      <c r="B877" t="s">
        <v>1512</v>
      </c>
      <c r="C877" t="s">
        <v>13</v>
      </c>
      <c r="D877">
        <v>14</v>
      </c>
      <c r="E877">
        <v>38257</v>
      </c>
      <c r="F877">
        <v>535598</v>
      </c>
      <c r="G877" t="s">
        <v>14</v>
      </c>
      <c r="H877" t="s">
        <v>30</v>
      </c>
      <c r="I877" t="str">
        <f>TEXT(tblSales[[#This Row],[Date]],"mmm")</f>
        <v>Jul</v>
      </c>
    </row>
    <row r="878" spans="1:9" x14ac:dyDescent="0.3">
      <c r="A878" s="1">
        <v>45508</v>
      </c>
      <c r="B878" t="s">
        <v>50</v>
      </c>
      <c r="C878" t="s">
        <v>9</v>
      </c>
      <c r="D878">
        <v>34</v>
      </c>
      <c r="E878">
        <v>25552</v>
      </c>
      <c r="F878">
        <v>868768</v>
      </c>
      <c r="G878" t="s">
        <v>14</v>
      </c>
      <c r="H878" t="s">
        <v>30</v>
      </c>
      <c r="I878" t="str">
        <f>TEXT(tblSales[[#This Row],[Date]],"mmm")</f>
        <v>Aug</v>
      </c>
    </row>
    <row r="879" spans="1:9" x14ac:dyDescent="0.3">
      <c r="A879" s="1">
        <v>45533</v>
      </c>
      <c r="B879" t="s">
        <v>55</v>
      </c>
      <c r="C879" t="s">
        <v>26</v>
      </c>
      <c r="D879">
        <v>27</v>
      </c>
      <c r="E879">
        <v>19802</v>
      </c>
      <c r="F879">
        <v>534654</v>
      </c>
      <c r="G879" t="s">
        <v>19</v>
      </c>
      <c r="H879" t="s">
        <v>15</v>
      </c>
      <c r="I879" t="str">
        <f>TEXT(tblSales[[#This Row],[Date]],"mmm")</f>
        <v>Aug</v>
      </c>
    </row>
    <row r="880" spans="1:9" x14ac:dyDescent="0.3">
      <c r="A880" s="1">
        <v>45514</v>
      </c>
      <c r="B880" t="s">
        <v>60</v>
      </c>
      <c r="C880" t="s">
        <v>13</v>
      </c>
      <c r="D880">
        <v>36</v>
      </c>
      <c r="E880">
        <v>32854</v>
      </c>
      <c r="F880">
        <v>1182744</v>
      </c>
      <c r="G880" t="s">
        <v>10</v>
      </c>
      <c r="H880" t="s">
        <v>17</v>
      </c>
      <c r="I880" t="str">
        <f>TEXT(tblSales[[#This Row],[Date]],"mmm")</f>
        <v>Aug</v>
      </c>
    </row>
    <row r="881" spans="1:9" x14ac:dyDescent="0.3">
      <c r="A881" s="1">
        <v>45531</v>
      </c>
      <c r="B881" t="s">
        <v>69</v>
      </c>
      <c r="C881" t="s">
        <v>35</v>
      </c>
      <c r="D881">
        <v>40</v>
      </c>
      <c r="E881">
        <v>29230</v>
      </c>
      <c r="F881">
        <v>1169200</v>
      </c>
      <c r="G881" t="s">
        <v>10</v>
      </c>
      <c r="H881" t="s">
        <v>17</v>
      </c>
      <c r="I881" t="str">
        <f>TEXT(tblSales[[#This Row],[Date]],"mmm")</f>
        <v>Aug</v>
      </c>
    </row>
    <row r="882" spans="1:9" x14ac:dyDescent="0.3">
      <c r="A882" s="1">
        <v>45519</v>
      </c>
      <c r="B882" t="s">
        <v>72</v>
      </c>
      <c r="C882" t="s">
        <v>26</v>
      </c>
      <c r="D882">
        <v>16</v>
      </c>
      <c r="E882">
        <v>26659</v>
      </c>
      <c r="F882">
        <v>426544</v>
      </c>
      <c r="G882" t="s">
        <v>23</v>
      </c>
      <c r="H882" t="s">
        <v>27</v>
      </c>
      <c r="I882" t="str">
        <f>TEXT(tblSales[[#This Row],[Date]],"mmm")</f>
        <v>Aug</v>
      </c>
    </row>
    <row r="883" spans="1:9" x14ac:dyDescent="0.3">
      <c r="A883" s="1">
        <v>45507</v>
      </c>
      <c r="B883" t="s">
        <v>73</v>
      </c>
      <c r="C883" t="s">
        <v>9</v>
      </c>
      <c r="D883">
        <v>39</v>
      </c>
      <c r="E883">
        <v>43496</v>
      </c>
      <c r="F883">
        <v>1696344</v>
      </c>
      <c r="G883" t="s">
        <v>14</v>
      </c>
      <c r="H883" t="s">
        <v>30</v>
      </c>
      <c r="I883" t="str">
        <f>TEXT(tblSales[[#This Row],[Date]],"mmm")</f>
        <v>Aug</v>
      </c>
    </row>
    <row r="884" spans="1:9" x14ac:dyDescent="0.3">
      <c r="A884" s="1">
        <v>45507</v>
      </c>
      <c r="B884" t="s">
        <v>77</v>
      </c>
      <c r="C884" t="s">
        <v>9</v>
      </c>
      <c r="D884">
        <v>34</v>
      </c>
      <c r="E884">
        <v>29179</v>
      </c>
      <c r="F884">
        <v>992086</v>
      </c>
      <c r="G884" t="s">
        <v>23</v>
      </c>
      <c r="H884" t="s">
        <v>15</v>
      </c>
      <c r="I884" t="str">
        <f>TEXT(tblSales[[#This Row],[Date]],"mmm")</f>
        <v>Aug</v>
      </c>
    </row>
    <row r="885" spans="1:9" x14ac:dyDescent="0.3">
      <c r="A885" s="1">
        <v>45532</v>
      </c>
      <c r="B885" t="s">
        <v>87</v>
      </c>
      <c r="C885" t="s">
        <v>9</v>
      </c>
      <c r="D885">
        <v>22</v>
      </c>
      <c r="E885">
        <v>15669</v>
      </c>
      <c r="F885">
        <v>344718</v>
      </c>
      <c r="G885" t="s">
        <v>23</v>
      </c>
      <c r="H885" t="s">
        <v>11</v>
      </c>
      <c r="I885" t="str">
        <f>TEXT(tblSales[[#This Row],[Date]],"mmm")</f>
        <v>Aug</v>
      </c>
    </row>
    <row r="886" spans="1:9" x14ac:dyDescent="0.3">
      <c r="A886" s="1">
        <v>45526</v>
      </c>
      <c r="B886" t="s">
        <v>93</v>
      </c>
      <c r="C886" t="s">
        <v>35</v>
      </c>
      <c r="D886">
        <v>33</v>
      </c>
      <c r="E886">
        <v>7728</v>
      </c>
      <c r="F886">
        <v>255024</v>
      </c>
      <c r="G886" t="s">
        <v>19</v>
      </c>
      <c r="H886" t="s">
        <v>11</v>
      </c>
      <c r="I886" t="str">
        <f>TEXT(tblSales[[#This Row],[Date]],"mmm")</f>
        <v>Aug</v>
      </c>
    </row>
    <row r="887" spans="1:9" x14ac:dyDescent="0.3">
      <c r="A887" s="1">
        <v>45531</v>
      </c>
      <c r="B887" t="s">
        <v>94</v>
      </c>
      <c r="C887" t="s">
        <v>13</v>
      </c>
      <c r="D887">
        <v>26</v>
      </c>
      <c r="E887">
        <v>32924</v>
      </c>
      <c r="F887">
        <v>856024</v>
      </c>
      <c r="G887" t="s">
        <v>14</v>
      </c>
      <c r="H887" t="s">
        <v>17</v>
      </c>
      <c r="I887" t="str">
        <f>TEXT(tblSales[[#This Row],[Date]],"mmm")</f>
        <v>Aug</v>
      </c>
    </row>
    <row r="888" spans="1:9" x14ac:dyDescent="0.3">
      <c r="A888" s="1">
        <v>45524</v>
      </c>
      <c r="B888" t="s">
        <v>128</v>
      </c>
      <c r="C888" t="s">
        <v>22</v>
      </c>
      <c r="D888">
        <v>4</v>
      </c>
      <c r="E888">
        <v>30503</v>
      </c>
      <c r="F888">
        <v>122012</v>
      </c>
      <c r="G888" t="s">
        <v>14</v>
      </c>
      <c r="H888" t="s">
        <v>27</v>
      </c>
      <c r="I888" t="str">
        <f>TEXT(tblSales[[#This Row],[Date]],"mmm")</f>
        <v>Aug</v>
      </c>
    </row>
    <row r="889" spans="1:9" x14ac:dyDescent="0.3">
      <c r="A889" s="1">
        <v>45528</v>
      </c>
      <c r="B889" t="s">
        <v>129</v>
      </c>
      <c r="C889" t="s">
        <v>22</v>
      </c>
      <c r="D889">
        <v>12</v>
      </c>
      <c r="E889">
        <v>36831</v>
      </c>
      <c r="F889">
        <v>441972</v>
      </c>
      <c r="G889" t="s">
        <v>14</v>
      </c>
      <c r="H889" t="s">
        <v>15</v>
      </c>
      <c r="I889" t="str">
        <f>TEXT(tblSales[[#This Row],[Date]],"mmm")</f>
        <v>Aug</v>
      </c>
    </row>
    <row r="890" spans="1:9" x14ac:dyDescent="0.3">
      <c r="A890" s="1">
        <v>45520</v>
      </c>
      <c r="B890" t="s">
        <v>135</v>
      </c>
      <c r="C890" t="s">
        <v>13</v>
      </c>
      <c r="D890">
        <v>14</v>
      </c>
      <c r="E890">
        <v>35130</v>
      </c>
      <c r="F890">
        <v>491820</v>
      </c>
      <c r="G890" t="s">
        <v>19</v>
      </c>
      <c r="H890" t="s">
        <v>27</v>
      </c>
      <c r="I890" t="str">
        <f>TEXT(tblSales[[#This Row],[Date]],"mmm")</f>
        <v>Aug</v>
      </c>
    </row>
    <row r="891" spans="1:9" x14ac:dyDescent="0.3">
      <c r="A891" s="1">
        <v>45526</v>
      </c>
      <c r="B891" t="s">
        <v>136</v>
      </c>
      <c r="C891" t="s">
        <v>9</v>
      </c>
      <c r="D891">
        <v>36</v>
      </c>
      <c r="E891">
        <v>39539</v>
      </c>
      <c r="F891">
        <v>1423404</v>
      </c>
      <c r="G891" t="s">
        <v>14</v>
      </c>
      <c r="H891" t="s">
        <v>15</v>
      </c>
      <c r="I891" t="str">
        <f>TEXT(tblSales[[#This Row],[Date]],"mmm")</f>
        <v>Aug</v>
      </c>
    </row>
    <row r="892" spans="1:9" x14ac:dyDescent="0.3">
      <c r="A892" s="1">
        <v>45535</v>
      </c>
      <c r="B892" t="s">
        <v>160</v>
      </c>
      <c r="C892" t="s">
        <v>22</v>
      </c>
      <c r="D892">
        <v>27</v>
      </c>
      <c r="E892">
        <v>34137</v>
      </c>
      <c r="F892">
        <v>921699</v>
      </c>
      <c r="G892" t="s">
        <v>19</v>
      </c>
      <c r="H892" t="s">
        <v>27</v>
      </c>
      <c r="I892" t="str">
        <f>TEXT(tblSales[[#This Row],[Date]],"mmm")</f>
        <v>Aug</v>
      </c>
    </row>
    <row r="893" spans="1:9" x14ac:dyDescent="0.3">
      <c r="A893" s="1">
        <v>45523</v>
      </c>
      <c r="B893" t="s">
        <v>168</v>
      </c>
      <c r="C893" t="s">
        <v>9</v>
      </c>
      <c r="D893">
        <v>34</v>
      </c>
      <c r="E893">
        <v>31023</v>
      </c>
      <c r="F893">
        <v>1054782</v>
      </c>
      <c r="G893" t="s">
        <v>19</v>
      </c>
      <c r="H893" t="s">
        <v>17</v>
      </c>
      <c r="I893" t="str">
        <f>TEXT(tblSales[[#This Row],[Date]],"mmm")</f>
        <v>Aug</v>
      </c>
    </row>
    <row r="894" spans="1:9" x14ac:dyDescent="0.3">
      <c r="A894" s="1">
        <v>45514</v>
      </c>
      <c r="B894" t="s">
        <v>187</v>
      </c>
      <c r="C894" t="s">
        <v>13</v>
      </c>
      <c r="D894">
        <v>12</v>
      </c>
      <c r="E894">
        <v>9227</v>
      </c>
      <c r="F894">
        <v>110724</v>
      </c>
      <c r="G894" t="s">
        <v>19</v>
      </c>
      <c r="H894" t="s">
        <v>30</v>
      </c>
      <c r="I894" t="str">
        <f>TEXT(tblSales[[#This Row],[Date]],"mmm")</f>
        <v>Aug</v>
      </c>
    </row>
    <row r="895" spans="1:9" x14ac:dyDescent="0.3">
      <c r="A895" s="1">
        <v>45529</v>
      </c>
      <c r="B895" t="s">
        <v>189</v>
      </c>
      <c r="C895" t="s">
        <v>22</v>
      </c>
      <c r="D895">
        <v>6</v>
      </c>
      <c r="E895">
        <v>44707</v>
      </c>
      <c r="F895">
        <v>268242</v>
      </c>
      <c r="G895" t="s">
        <v>10</v>
      </c>
      <c r="H895" t="s">
        <v>17</v>
      </c>
      <c r="I895" t="str">
        <f>TEXT(tblSales[[#This Row],[Date]],"mmm")</f>
        <v>Aug</v>
      </c>
    </row>
    <row r="896" spans="1:9" x14ac:dyDescent="0.3">
      <c r="A896" s="1">
        <v>45510</v>
      </c>
      <c r="B896" t="s">
        <v>220</v>
      </c>
      <c r="C896" t="s">
        <v>35</v>
      </c>
      <c r="D896">
        <v>33</v>
      </c>
      <c r="E896">
        <v>44266</v>
      </c>
      <c r="F896">
        <v>1460778</v>
      </c>
      <c r="G896" t="s">
        <v>14</v>
      </c>
      <c r="H896" t="s">
        <v>27</v>
      </c>
      <c r="I896" t="str">
        <f>TEXT(tblSales[[#This Row],[Date]],"mmm")</f>
        <v>Aug</v>
      </c>
    </row>
    <row r="897" spans="1:9" x14ac:dyDescent="0.3">
      <c r="A897" s="1">
        <v>45517</v>
      </c>
      <c r="B897" t="s">
        <v>226</v>
      </c>
      <c r="C897" t="s">
        <v>13</v>
      </c>
      <c r="D897">
        <v>23</v>
      </c>
      <c r="E897">
        <v>40069</v>
      </c>
      <c r="F897">
        <v>921587</v>
      </c>
      <c r="G897" t="s">
        <v>23</v>
      </c>
      <c r="H897" t="s">
        <v>30</v>
      </c>
      <c r="I897" t="str">
        <f>TEXT(tblSales[[#This Row],[Date]],"mmm")</f>
        <v>Aug</v>
      </c>
    </row>
    <row r="898" spans="1:9" x14ac:dyDescent="0.3">
      <c r="A898" s="1">
        <v>45520</v>
      </c>
      <c r="B898" t="s">
        <v>228</v>
      </c>
      <c r="C898" t="s">
        <v>26</v>
      </c>
      <c r="D898">
        <v>35</v>
      </c>
      <c r="E898">
        <v>9457</v>
      </c>
      <c r="F898">
        <v>330995</v>
      </c>
      <c r="G898" t="s">
        <v>14</v>
      </c>
      <c r="H898" t="s">
        <v>11</v>
      </c>
      <c r="I898" t="str">
        <f>TEXT(tblSales[[#This Row],[Date]],"mmm")</f>
        <v>Aug</v>
      </c>
    </row>
    <row r="899" spans="1:9" x14ac:dyDescent="0.3">
      <c r="A899" s="1">
        <v>45532</v>
      </c>
      <c r="B899" t="s">
        <v>232</v>
      </c>
      <c r="C899" t="s">
        <v>35</v>
      </c>
      <c r="D899">
        <v>38</v>
      </c>
      <c r="E899">
        <v>11083</v>
      </c>
      <c r="F899">
        <v>421154</v>
      </c>
      <c r="G899" t="s">
        <v>23</v>
      </c>
      <c r="H899" t="s">
        <v>15</v>
      </c>
      <c r="I899" t="str">
        <f>TEXT(tblSales[[#This Row],[Date]],"mmm")</f>
        <v>Aug</v>
      </c>
    </row>
    <row r="900" spans="1:9" x14ac:dyDescent="0.3">
      <c r="A900" s="1">
        <v>45514</v>
      </c>
      <c r="B900" t="s">
        <v>247</v>
      </c>
      <c r="C900" t="s">
        <v>35</v>
      </c>
      <c r="D900">
        <v>13</v>
      </c>
      <c r="E900">
        <v>23222</v>
      </c>
      <c r="F900">
        <v>301886</v>
      </c>
      <c r="G900" t="s">
        <v>14</v>
      </c>
      <c r="H900" t="s">
        <v>30</v>
      </c>
      <c r="I900" t="str">
        <f>TEXT(tblSales[[#This Row],[Date]],"mmm")</f>
        <v>Aug</v>
      </c>
    </row>
    <row r="901" spans="1:9" x14ac:dyDescent="0.3">
      <c r="A901" s="1">
        <v>45527</v>
      </c>
      <c r="B901" t="s">
        <v>250</v>
      </c>
      <c r="C901" t="s">
        <v>22</v>
      </c>
      <c r="D901">
        <v>27</v>
      </c>
      <c r="E901">
        <v>9455</v>
      </c>
      <c r="F901">
        <v>255285</v>
      </c>
      <c r="G901" t="s">
        <v>23</v>
      </c>
      <c r="H901" t="s">
        <v>27</v>
      </c>
      <c r="I901" t="str">
        <f>TEXT(tblSales[[#This Row],[Date]],"mmm")</f>
        <v>Aug</v>
      </c>
    </row>
    <row r="902" spans="1:9" x14ac:dyDescent="0.3">
      <c r="A902" s="1">
        <v>45508</v>
      </c>
      <c r="B902" t="s">
        <v>278</v>
      </c>
      <c r="C902" t="s">
        <v>9</v>
      </c>
      <c r="D902">
        <v>16</v>
      </c>
      <c r="E902">
        <v>10466</v>
      </c>
      <c r="F902">
        <v>167456</v>
      </c>
      <c r="G902" t="s">
        <v>23</v>
      </c>
      <c r="H902" t="s">
        <v>27</v>
      </c>
      <c r="I902" t="str">
        <f>TEXT(tblSales[[#This Row],[Date]],"mmm")</f>
        <v>Aug</v>
      </c>
    </row>
    <row r="903" spans="1:9" x14ac:dyDescent="0.3">
      <c r="A903" s="1">
        <v>45519</v>
      </c>
      <c r="B903" t="s">
        <v>289</v>
      </c>
      <c r="C903" t="s">
        <v>9</v>
      </c>
      <c r="D903">
        <v>34</v>
      </c>
      <c r="E903">
        <v>6033</v>
      </c>
      <c r="F903">
        <v>205122</v>
      </c>
      <c r="G903" t="s">
        <v>23</v>
      </c>
      <c r="H903" t="s">
        <v>30</v>
      </c>
      <c r="I903" t="str">
        <f>TEXT(tblSales[[#This Row],[Date]],"mmm")</f>
        <v>Aug</v>
      </c>
    </row>
    <row r="904" spans="1:9" x14ac:dyDescent="0.3">
      <c r="A904" s="1">
        <v>45510</v>
      </c>
      <c r="B904" t="s">
        <v>300</v>
      </c>
      <c r="C904" t="s">
        <v>9</v>
      </c>
      <c r="D904">
        <v>23</v>
      </c>
      <c r="E904">
        <v>18272</v>
      </c>
      <c r="F904">
        <v>420256</v>
      </c>
      <c r="G904" t="s">
        <v>10</v>
      </c>
      <c r="H904" t="s">
        <v>11</v>
      </c>
      <c r="I904" t="str">
        <f>TEXT(tblSales[[#This Row],[Date]],"mmm")</f>
        <v>Aug</v>
      </c>
    </row>
    <row r="905" spans="1:9" x14ac:dyDescent="0.3">
      <c r="A905" s="1">
        <v>45526</v>
      </c>
      <c r="B905" t="s">
        <v>303</v>
      </c>
      <c r="C905" t="s">
        <v>9</v>
      </c>
      <c r="D905">
        <v>31</v>
      </c>
      <c r="E905">
        <v>44154</v>
      </c>
      <c r="F905">
        <v>1368774</v>
      </c>
      <c r="G905" t="s">
        <v>23</v>
      </c>
      <c r="H905" t="s">
        <v>15</v>
      </c>
      <c r="I905" t="str">
        <f>TEXT(tblSales[[#This Row],[Date]],"mmm")</f>
        <v>Aug</v>
      </c>
    </row>
    <row r="906" spans="1:9" x14ac:dyDescent="0.3">
      <c r="A906" s="1">
        <v>45511</v>
      </c>
      <c r="B906" t="s">
        <v>316</v>
      </c>
      <c r="C906" t="s">
        <v>26</v>
      </c>
      <c r="D906">
        <v>5</v>
      </c>
      <c r="E906">
        <v>10117</v>
      </c>
      <c r="F906">
        <v>50585</v>
      </c>
      <c r="G906" t="s">
        <v>19</v>
      </c>
      <c r="H906" t="s">
        <v>11</v>
      </c>
      <c r="I906" t="str">
        <f>TEXT(tblSales[[#This Row],[Date]],"mmm")</f>
        <v>Aug</v>
      </c>
    </row>
    <row r="907" spans="1:9" x14ac:dyDescent="0.3">
      <c r="A907" s="1">
        <v>45524</v>
      </c>
      <c r="B907" t="s">
        <v>330</v>
      </c>
      <c r="C907" t="s">
        <v>26</v>
      </c>
      <c r="D907">
        <v>8</v>
      </c>
      <c r="E907">
        <v>23926</v>
      </c>
      <c r="F907">
        <v>191408</v>
      </c>
      <c r="G907" t="s">
        <v>23</v>
      </c>
      <c r="H907" t="s">
        <v>27</v>
      </c>
      <c r="I907" t="str">
        <f>TEXT(tblSales[[#This Row],[Date]],"mmm")</f>
        <v>Aug</v>
      </c>
    </row>
    <row r="908" spans="1:9" x14ac:dyDescent="0.3">
      <c r="A908" s="1">
        <v>45517</v>
      </c>
      <c r="B908" t="s">
        <v>332</v>
      </c>
      <c r="C908" t="s">
        <v>22</v>
      </c>
      <c r="D908">
        <v>1</v>
      </c>
      <c r="E908">
        <v>43225</v>
      </c>
      <c r="F908">
        <v>43225</v>
      </c>
      <c r="G908" t="s">
        <v>23</v>
      </c>
      <c r="H908" t="s">
        <v>27</v>
      </c>
      <c r="I908" t="str">
        <f>TEXT(tblSales[[#This Row],[Date]],"mmm")</f>
        <v>Aug</v>
      </c>
    </row>
    <row r="909" spans="1:9" x14ac:dyDescent="0.3">
      <c r="A909" s="1">
        <v>45520</v>
      </c>
      <c r="B909" t="s">
        <v>342</v>
      </c>
      <c r="C909" t="s">
        <v>22</v>
      </c>
      <c r="D909">
        <v>38</v>
      </c>
      <c r="E909">
        <v>14301</v>
      </c>
      <c r="F909">
        <v>543438</v>
      </c>
      <c r="G909" t="s">
        <v>14</v>
      </c>
      <c r="H909" t="s">
        <v>17</v>
      </c>
      <c r="I909" t="str">
        <f>TEXT(tblSales[[#This Row],[Date]],"mmm")</f>
        <v>Aug</v>
      </c>
    </row>
    <row r="910" spans="1:9" x14ac:dyDescent="0.3">
      <c r="A910" s="1">
        <v>45515</v>
      </c>
      <c r="B910" t="s">
        <v>358</v>
      </c>
      <c r="C910" t="s">
        <v>13</v>
      </c>
      <c r="D910">
        <v>35</v>
      </c>
      <c r="E910">
        <v>6501</v>
      </c>
      <c r="F910">
        <v>227535</v>
      </c>
      <c r="G910" t="s">
        <v>14</v>
      </c>
      <c r="H910" t="s">
        <v>15</v>
      </c>
      <c r="I910" t="str">
        <f>TEXT(tblSales[[#This Row],[Date]],"mmm")</f>
        <v>Aug</v>
      </c>
    </row>
    <row r="911" spans="1:9" x14ac:dyDescent="0.3">
      <c r="A911" s="1">
        <v>45509</v>
      </c>
      <c r="B911" t="s">
        <v>360</v>
      </c>
      <c r="C911" t="s">
        <v>13</v>
      </c>
      <c r="D911">
        <v>16</v>
      </c>
      <c r="E911">
        <v>35933</v>
      </c>
      <c r="F911">
        <v>574928</v>
      </c>
      <c r="G911" t="s">
        <v>23</v>
      </c>
      <c r="H911" t="s">
        <v>17</v>
      </c>
      <c r="I911" t="str">
        <f>TEXT(tblSales[[#This Row],[Date]],"mmm")</f>
        <v>Aug</v>
      </c>
    </row>
    <row r="912" spans="1:9" x14ac:dyDescent="0.3">
      <c r="A912" s="1">
        <v>45507</v>
      </c>
      <c r="B912" t="s">
        <v>387</v>
      </c>
      <c r="C912" t="s">
        <v>13</v>
      </c>
      <c r="D912">
        <v>11</v>
      </c>
      <c r="E912">
        <v>31569</v>
      </c>
      <c r="F912">
        <v>347259</v>
      </c>
      <c r="G912" t="s">
        <v>19</v>
      </c>
      <c r="H912" t="s">
        <v>11</v>
      </c>
      <c r="I912" t="str">
        <f>TEXT(tblSales[[#This Row],[Date]],"mmm")</f>
        <v>Aug</v>
      </c>
    </row>
    <row r="913" spans="1:9" x14ac:dyDescent="0.3">
      <c r="A913" s="1">
        <v>45507</v>
      </c>
      <c r="B913" t="s">
        <v>391</v>
      </c>
      <c r="C913" t="s">
        <v>22</v>
      </c>
      <c r="D913">
        <v>39</v>
      </c>
      <c r="E913">
        <v>12010</v>
      </c>
      <c r="F913">
        <v>468390</v>
      </c>
      <c r="G913" t="s">
        <v>19</v>
      </c>
      <c r="H913" t="s">
        <v>30</v>
      </c>
      <c r="I913" t="str">
        <f>TEXT(tblSales[[#This Row],[Date]],"mmm")</f>
        <v>Aug</v>
      </c>
    </row>
    <row r="914" spans="1:9" x14ac:dyDescent="0.3">
      <c r="A914" s="1">
        <v>45535</v>
      </c>
      <c r="B914" t="s">
        <v>401</v>
      </c>
      <c r="C914" t="s">
        <v>22</v>
      </c>
      <c r="D914">
        <v>21</v>
      </c>
      <c r="E914">
        <v>20493</v>
      </c>
      <c r="F914">
        <v>430353</v>
      </c>
      <c r="G914" t="s">
        <v>14</v>
      </c>
      <c r="H914" t="s">
        <v>30</v>
      </c>
      <c r="I914" t="str">
        <f>TEXT(tblSales[[#This Row],[Date]],"mmm")</f>
        <v>Aug</v>
      </c>
    </row>
    <row r="915" spans="1:9" x14ac:dyDescent="0.3">
      <c r="A915" s="1">
        <v>45520</v>
      </c>
      <c r="B915" t="s">
        <v>410</v>
      </c>
      <c r="C915" t="s">
        <v>26</v>
      </c>
      <c r="D915">
        <v>10</v>
      </c>
      <c r="E915">
        <v>43823</v>
      </c>
      <c r="F915">
        <v>438230</v>
      </c>
      <c r="G915" t="s">
        <v>19</v>
      </c>
      <c r="H915" t="s">
        <v>11</v>
      </c>
      <c r="I915" t="str">
        <f>TEXT(tblSales[[#This Row],[Date]],"mmm")</f>
        <v>Aug</v>
      </c>
    </row>
    <row r="916" spans="1:9" x14ac:dyDescent="0.3">
      <c r="A916" s="1">
        <v>45516</v>
      </c>
      <c r="B916" t="s">
        <v>422</v>
      </c>
      <c r="C916" t="s">
        <v>13</v>
      </c>
      <c r="D916">
        <v>13</v>
      </c>
      <c r="E916">
        <v>17258</v>
      </c>
      <c r="F916">
        <v>224354</v>
      </c>
      <c r="G916" t="s">
        <v>14</v>
      </c>
      <c r="H916" t="s">
        <v>17</v>
      </c>
      <c r="I916" t="str">
        <f>TEXT(tblSales[[#This Row],[Date]],"mmm")</f>
        <v>Aug</v>
      </c>
    </row>
    <row r="917" spans="1:9" x14ac:dyDescent="0.3">
      <c r="A917" s="1">
        <v>45534</v>
      </c>
      <c r="B917" t="s">
        <v>426</v>
      </c>
      <c r="C917" t="s">
        <v>13</v>
      </c>
      <c r="D917">
        <v>38</v>
      </c>
      <c r="E917">
        <v>10136</v>
      </c>
      <c r="F917">
        <v>385168</v>
      </c>
      <c r="G917" t="s">
        <v>10</v>
      </c>
      <c r="H917" t="s">
        <v>17</v>
      </c>
      <c r="I917" t="str">
        <f>TEXT(tblSales[[#This Row],[Date]],"mmm")</f>
        <v>Aug</v>
      </c>
    </row>
    <row r="918" spans="1:9" x14ac:dyDescent="0.3">
      <c r="A918" s="1">
        <v>45507</v>
      </c>
      <c r="B918" t="s">
        <v>433</v>
      </c>
      <c r="C918" t="s">
        <v>13</v>
      </c>
      <c r="D918">
        <v>12</v>
      </c>
      <c r="E918">
        <v>8200</v>
      </c>
      <c r="F918">
        <v>98400</v>
      </c>
      <c r="G918" t="s">
        <v>23</v>
      </c>
      <c r="H918" t="s">
        <v>17</v>
      </c>
      <c r="I918" t="str">
        <f>TEXT(tblSales[[#This Row],[Date]],"mmm")</f>
        <v>Aug</v>
      </c>
    </row>
    <row r="919" spans="1:9" x14ac:dyDescent="0.3">
      <c r="A919" s="1">
        <v>45515</v>
      </c>
      <c r="B919" t="s">
        <v>438</v>
      </c>
      <c r="C919" t="s">
        <v>13</v>
      </c>
      <c r="D919">
        <v>28</v>
      </c>
      <c r="E919">
        <v>21112</v>
      </c>
      <c r="F919">
        <v>591136</v>
      </c>
      <c r="G919" t="s">
        <v>14</v>
      </c>
      <c r="H919" t="s">
        <v>11</v>
      </c>
      <c r="I919" t="str">
        <f>TEXT(tblSales[[#This Row],[Date]],"mmm")</f>
        <v>Aug</v>
      </c>
    </row>
    <row r="920" spans="1:9" x14ac:dyDescent="0.3">
      <c r="A920" s="1">
        <v>45519</v>
      </c>
      <c r="B920" t="s">
        <v>452</v>
      </c>
      <c r="C920" t="s">
        <v>9</v>
      </c>
      <c r="D920">
        <v>2</v>
      </c>
      <c r="E920">
        <v>38904</v>
      </c>
      <c r="F920">
        <v>77808</v>
      </c>
      <c r="G920" t="s">
        <v>14</v>
      </c>
      <c r="H920" t="s">
        <v>27</v>
      </c>
      <c r="I920" t="str">
        <f>TEXT(tblSales[[#This Row],[Date]],"mmm")</f>
        <v>Aug</v>
      </c>
    </row>
    <row r="921" spans="1:9" x14ac:dyDescent="0.3">
      <c r="A921" s="1">
        <v>45527</v>
      </c>
      <c r="B921" t="s">
        <v>457</v>
      </c>
      <c r="C921" t="s">
        <v>35</v>
      </c>
      <c r="D921">
        <v>34</v>
      </c>
      <c r="E921">
        <v>34711</v>
      </c>
      <c r="F921">
        <v>1180174</v>
      </c>
      <c r="G921" t="s">
        <v>10</v>
      </c>
      <c r="H921" t="s">
        <v>30</v>
      </c>
      <c r="I921" t="str">
        <f>TEXT(tblSales[[#This Row],[Date]],"mmm")</f>
        <v>Aug</v>
      </c>
    </row>
    <row r="922" spans="1:9" x14ac:dyDescent="0.3">
      <c r="A922" s="1">
        <v>45530</v>
      </c>
      <c r="B922" t="s">
        <v>459</v>
      </c>
      <c r="C922" t="s">
        <v>9</v>
      </c>
      <c r="D922">
        <v>12</v>
      </c>
      <c r="E922">
        <v>38915</v>
      </c>
      <c r="F922">
        <v>466980</v>
      </c>
      <c r="G922" t="s">
        <v>19</v>
      </c>
      <c r="H922" t="s">
        <v>27</v>
      </c>
      <c r="I922" t="str">
        <f>TEXT(tblSales[[#This Row],[Date]],"mmm")</f>
        <v>Aug</v>
      </c>
    </row>
    <row r="923" spans="1:9" x14ac:dyDescent="0.3">
      <c r="A923" s="1">
        <v>45506</v>
      </c>
      <c r="B923" t="s">
        <v>466</v>
      </c>
      <c r="C923" t="s">
        <v>9</v>
      </c>
      <c r="D923">
        <v>37</v>
      </c>
      <c r="E923">
        <v>26983</v>
      </c>
      <c r="F923">
        <v>998371</v>
      </c>
      <c r="G923" t="s">
        <v>19</v>
      </c>
      <c r="H923" t="s">
        <v>27</v>
      </c>
      <c r="I923" t="str">
        <f>TEXT(tblSales[[#This Row],[Date]],"mmm")</f>
        <v>Aug</v>
      </c>
    </row>
    <row r="924" spans="1:9" x14ac:dyDescent="0.3">
      <c r="A924" s="1">
        <v>45524</v>
      </c>
      <c r="B924" t="s">
        <v>472</v>
      </c>
      <c r="C924" t="s">
        <v>22</v>
      </c>
      <c r="D924">
        <v>23</v>
      </c>
      <c r="E924">
        <v>10707</v>
      </c>
      <c r="F924">
        <v>246261</v>
      </c>
      <c r="G924" t="s">
        <v>23</v>
      </c>
      <c r="H924" t="s">
        <v>30</v>
      </c>
      <c r="I924" t="str">
        <f>TEXT(tblSales[[#This Row],[Date]],"mmm")</f>
        <v>Aug</v>
      </c>
    </row>
    <row r="925" spans="1:9" x14ac:dyDescent="0.3">
      <c r="A925" s="1">
        <v>45515</v>
      </c>
      <c r="B925" t="s">
        <v>487</v>
      </c>
      <c r="C925" t="s">
        <v>13</v>
      </c>
      <c r="D925">
        <v>17</v>
      </c>
      <c r="E925">
        <v>42413</v>
      </c>
      <c r="F925">
        <v>721021</v>
      </c>
      <c r="G925" t="s">
        <v>14</v>
      </c>
      <c r="H925" t="s">
        <v>17</v>
      </c>
      <c r="I925" t="str">
        <f>TEXT(tblSales[[#This Row],[Date]],"mmm")</f>
        <v>Aug</v>
      </c>
    </row>
    <row r="926" spans="1:9" x14ac:dyDescent="0.3">
      <c r="A926" s="1">
        <v>45528</v>
      </c>
      <c r="B926" t="s">
        <v>491</v>
      </c>
      <c r="C926" t="s">
        <v>13</v>
      </c>
      <c r="D926">
        <v>13</v>
      </c>
      <c r="E926">
        <v>14944</v>
      </c>
      <c r="F926">
        <v>194272</v>
      </c>
      <c r="G926" t="s">
        <v>19</v>
      </c>
      <c r="H926" t="s">
        <v>15</v>
      </c>
      <c r="I926" t="str">
        <f>TEXT(tblSales[[#This Row],[Date]],"mmm")</f>
        <v>Aug</v>
      </c>
    </row>
    <row r="927" spans="1:9" x14ac:dyDescent="0.3">
      <c r="A927" s="1">
        <v>45517</v>
      </c>
      <c r="B927" t="s">
        <v>496</v>
      </c>
      <c r="C927" t="s">
        <v>26</v>
      </c>
      <c r="D927">
        <v>13</v>
      </c>
      <c r="E927">
        <v>34430</v>
      </c>
      <c r="F927">
        <v>447590</v>
      </c>
      <c r="G927" t="s">
        <v>19</v>
      </c>
      <c r="H927" t="s">
        <v>30</v>
      </c>
      <c r="I927" t="str">
        <f>TEXT(tblSales[[#This Row],[Date]],"mmm")</f>
        <v>Aug</v>
      </c>
    </row>
    <row r="928" spans="1:9" x14ac:dyDescent="0.3">
      <c r="A928" s="1">
        <v>45524</v>
      </c>
      <c r="B928" t="s">
        <v>510</v>
      </c>
      <c r="C928" t="s">
        <v>22</v>
      </c>
      <c r="D928">
        <v>33</v>
      </c>
      <c r="E928">
        <v>44871</v>
      </c>
      <c r="F928">
        <v>1480743</v>
      </c>
      <c r="G928" t="s">
        <v>14</v>
      </c>
      <c r="H928" t="s">
        <v>30</v>
      </c>
      <c r="I928" t="str">
        <f>TEXT(tblSales[[#This Row],[Date]],"mmm")</f>
        <v>Aug</v>
      </c>
    </row>
    <row r="929" spans="1:9" x14ac:dyDescent="0.3">
      <c r="A929" s="1">
        <v>45535</v>
      </c>
      <c r="B929" t="s">
        <v>519</v>
      </c>
      <c r="C929" t="s">
        <v>13</v>
      </c>
      <c r="D929">
        <v>4</v>
      </c>
      <c r="E929">
        <v>6865</v>
      </c>
      <c r="F929">
        <v>27460</v>
      </c>
      <c r="G929" t="s">
        <v>14</v>
      </c>
      <c r="H929" t="s">
        <v>11</v>
      </c>
      <c r="I929" t="str">
        <f>TEXT(tblSales[[#This Row],[Date]],"mmm")</f>
        <v>Aug</v>
      </c>
    </row>
    <row r="930" spans="1:9" x14ac:dyDescent="0.3">
      <c r="A930" s="1">
        <v>45525</v>
      </c>
      <c r="B930" t="s">
        <v>522</v>
      </c>
      <c r="C930" t="s">
        <v>9</v>
      </c>
      <c r="D930">
        <v>31</v>
      </c>
      <c r="E930">
        <v>41815</v>
      </c>
      <c r="F930">
        <v>1296265</v>
      </c>
      <c r="G930" t="s">
        <v>10</v>
      </c>
      <c r="H930" t="s">
        <v>27</v>
      </c>
      <c r="I930" t="str">
        <f>TEXT(tblSales[[#This Row],[Date]],"mmm")</f>
        <v>Aug</v>
      </c>
    </row>
    <row r="931" spans="1:9" x14ac:dyDescent="0.3">
      <c r="A931" s="1">
        <v>45506</v>
      </c>
      <c r="B931" t="s">
        <v>526</v>
      </c>
      <c r="C931" t="s">
        <v>9</v>
      </c>
      <c r="D931">
        <v>38</v>
      </c>
      <c r="E931">
        <v>29605</v>
      </c>
      <c r="F931">
        <v>1124990</v>
      </c>
      <c r="G931" t="s">
        <v>14</v>
      </c>
      <c r="H931" t="s">
        <v>11</v>
      </c>
      <c r="I931" t="str">
        <f>TEXT(tblSales[[#This Row],[Date]],"mmm")</f>
        <v>Aug</v>
      </c>
    </row>
    <row r="932" spans="1:9" x14ac:dyDescent="0.3">
      <c r="A932" s="1">
        <v>45505</v>
      </c>
      <c r="B932" t="s">
        <v>534</v>
      </c>
      <c r="C932" t="s">
        <v>22</v>
      </c>
      <c r="D932">
        <v>10</v>
      </c>
      <c r="E932">
        <v>30670</v>
      </c>
      <c r="F932">
        <v>306700</v>
      </c>
      <c r="G932" t="s">
        <v>19</v>
      </c>
      <c r="H932" t="s">
        <v>27</v>
      </c>
      <c r="I932" t="str">
        <f>TEXT(tblSales[[#This Row],[Date]],"mmm")</f>
        <v>Aug</v>
      </c>
    </row>
    <row r="933" spans="1:9" x14ac:dyDescent="0.3">
      <c r="A933" s="1">
        <v>45516</v>
      </c>
      <c r="B933" t="s">
        <v>537</v>
      </c>
      <c r="C933" t="s">
        <v>13</v>
      </c>
      <c r="D933">
        <v>23</v>
      </c>
      <c r="E933">
        <v>19331</v>
      </c>
      <c r="F933">
        <v>444613</v>
      </c>
      <c r="G933" t="s">
        <v>14</v>
      </c>
      <c r="H933" t="s">
        <v>30</v>
      </c>
      <c r="I933" t="str">
        <f>TEXT(tblSales[[#This Row],[Date]],"mmm")</f>
        <v>Aug</v>
      </c>
    </row>
    <row r="934" spans="1:9" x14ac:dyDescent="0.3">
      <c r="A934" s="1">
        <v>45510</v>
      </c>
      <c r="B934" t="s">
        <v>544</v>
      </c>
      <c r="C934" t="s">
        <v>13</v>
      </c>
      <c r="D934">
        <v>35</v>
      </c>
      <c r="E934">
        <v>28148</v>
      </c>
      <c r="F934">
        <v>985180</v>
      </c>
      <c r="G934" t="s">
        <v>10</v>
      </c>
      <c r="H934" t="s">
        <v>30</v>
      </c>
      <c r="I934" t="str">
        <f>TEXT(tblSales[[#This Row],[Date]],"mmm")</f>
        <v>Aug</v>
      </c>
    </row>
    <row r="935" spans="1:9" x14ac:dyDescent="0.3">
      <c r="A935" s="1">
        <v>45513</v>
      </c>
      <c r="B935" t="s">
        <v>558</v>
      </c>
      <c r="C935" t="s">
        <v>13</v>
      </c>
      <c r="D935">
        <v>22</v>
      </c>
      <c r="E935">
        <v>25181</v>
      </c>
      <c r="F935">
        <v>553982</v>
      </c>
      <c r="G935" t="s">
        <v>23</v>
      </c>
      <c r="H935" t="s">
        <v>17</v>
      </c>
      <c r="I935" t="str">
        <f>TEXT(tblSales[[#This Row],[Date]],"mmm")</f>
        <v>Aug</v>
      </c>
    </row>
    <row r="936" spans="1:9" x14ac:dyDescent="0.3">
      <c r="A936" s="1">
        <v>45523</v>
      </c>
      <c r="B936" t="s">
        <v>594</v>
      </c>
      <c r="C936" t="s">
        <v>22</v>
      </c>
      <c r="D936">
        <v>6</v>
      </c>
      <c r="E936">
        <v>22716</v>
      </c>
      <c r="F936">
        <v>136296</v>
      </c>
      <c r="G936" t="s">
        <v>23</v>
      </c>
      <c r="H936" t="s">
        <v>17</v>
      </c>
      <c r="I936" t="str">
        <f>TEXT(tblSales[[#This Row],[Date]],"mmm")</f>
        <v>Aug</v>
      </c>
    </row>
    <row r="937" spans="1:9" x14ac:dyDescent="0.3">
      <c r="A937" s="1">
        <v>45510</v>
      </c>
      <c r="B937" t="s">
        <v>624</v>
      </c>
      <c r="C937" t="s">
        <v>35</v>
      </c>
      <c r="D937">
        <v>34</v>
      </c>
      <c r="E937">
        <v>8624</v>
      </c>
      <c r="F937">
        <v>293216</v>
      </c>
      <c r="G937" t="s">
        <v>14</v>
      </c>
      <c r="H937" t="s">
        <v>30</v>
      </c>
      <c r="I937" t="str">
        <f>TEXT(tblSales[[#This Row],[Date]],"mmm")</f>
        <v>Aug</v>
      </c>
    </row>
    <row r="938" spans="1:9" x14ac:dyDescent="0.3">
      <c r="A938" s="1">
        <v>45506</v>
      </c>
      <c r="B938" t="s">
        <v>660</v>
      </c>
      <c r="C938" t="s">
        <v>22</v>
      </c>
      <c r="D938">
        <v>24</v>
      </c>
      <c r="E938">
        <v>17715</v>
      </c>
      <c r="F938">
        <v>425160</v>
      </c>
      <c r="G938" t="s">
        <v>19</v>
      </c>
      <c r="H938" t="s">
        <v>17</v>
      </c>
      <c r="I938" t="str">
        <f>TEXT(tblSales[[#This Row],[Date]],"mmm")</f>
        <v>Aug</v>
      </c>
    </row>
    <row r="939" spans="1:9" x14ac:dyDescent="0.3">
      <c r="A939" s="1">
        <v>45511</v>
      </c>
      <c r="B939" t="s">
        <v>666</v>
      </c>
      <c r="C939" t="s">
        <v>35</v>
      </c>
      <c r="D939">
        <v>28</v>
      </c>
      <c r="E939">
        <v>44739</v>
      </c>
      <c r="F939">
        <v>1252692</v>
      </c>
      <c r="G939" t="s">
        <v>14</v>
      </c>
      <c r="H939" t="s">
        <v>17</v>
      </c>
      <c r="I939" t="str">
        <f>TEXT(tblSales[[#This Row],[Date]],"mmm")</f>
        <v>Aug</v>
      </c>
    </row>
    <row r="940" spans="1:9" x14ac:dyDescent="0.3">
      <c r="A940" s="1">
        <v>45517</v>
      </c>
      <c r="B940" t="s">
        <v>670</v>
      </c>
      <c r="C940" t="s">
        <v>22</v>
      </c>
      <c r="D940">
        <v>2</v>
      </c>
      <c r="E940">
        <v>42266</v>
      </c>
      <c r="F940">
        <v>84532</v>
      </c>
      <c r="G940" t="s">
        <v>14</v>
      </c>
      <c r="H940" t="s">
        <v>17</v>
      </c>
      <c r="I940" t="str">
        <f>TEXT(tblSales[[#This Row],[Date]],"mmm")</f>
        <v>Aug</v>
      </c>
    </row>
    <row r="941" spans="1:9" x14ac:dyDescent="0.3">
      <c r="A941" s="1">
        <v>45513</v>
      </c>
      <c r="B941" t="s">
        <v>687</v>
      </c>
      <c r="C941" t="s">
        <v>22</v>
      </c>
      <c r="D941">
        <v>15</v>
      </c>
      <c r="E941">
        <v>38439</v>
      </c>
      <c r="F941">
        <v>576585</v>
      </c>
      <c r="G941" t="s">
        <v>19</v>
      </c>
      <c r="H941" t="s">
        <v>27</v>
      </c>
      <c r="I941" t="str">
        <f>TEXT(tblSales[[#This Row],[Date]],"mmm")</f>
        <v>Aug</v>
      </c>
    </row>
    <row r="942" spans="1:9" x14ac:dyDescent="0.3">
      <c r="A942" s="1">
        <v>45509</v>
      </c>
      <c r="B942" t="s">
        <v>690</v>
      </c>
      <c r="C942" t="s">
        <v>13</v>
      </c>
      <c r="D942">
        <v>16</v>
      </c>
      <c r="E942">
        <v>24667</v>
      </c>
      <c r="F942">
        <v>394672</v>
      </c>
      <c r="G942" t="s">
        <v>10</v>
      </c>
      <c r="H942" t="s">
        <v>27</v>
      </c>
      <c r="I942" t="str">
        <f>TEXT(tblSales[[#This Row],[Date]],"mmm")</f>
        <v>Aug</v>
      </c>
    </row>
    <row r="943" spans="1:9" x14ac:dyDescent="0.3">
      <c r="A943" s="1">
        <v>45513</v>
      </c>
      <c r="B943" t="s">
        <v>743</v>
      </c>
      <c r="C943" t="s">
        <v>22</v>
      </c>
      <c r="D943">
        <v>7</v>
      </c>
      <c r="E943">
        <v>31620</v>
      </c>
      <c r="F943">
        <v>221340</v>
      </c>
      <c r="G943" t="s">
        <v>10</v>
      </c>
      <c r="H943" t="s">
        <v>27</v>
      </c>
      <c r="I943" t="str">
        <f>TEXT(tblSales[[#This Row],[Date]],"mmm")</f>
        <v>Aug</v>
      </c>
    </row>
    <row r="944" spans="1:9" x14ac:dyDescent="0.3">
      <c r="A944" s="1">
        <v>45532</v>
      </c>
      <c r="B944" t="s">
        <v>744</v>
      </c>
      <c r="C944" t="s">
        <v>35</v>
      </c>
      <c r="D944">
        <v>18</v>
      </c>
      <c r="E944">
        <v>9261</v>
      </c>
      <c r="F944">
        <v>166698</v>
      </c>
      <c r="G944" t="s">
        <v>14</v>
      </c>
      <c r="H944" t="s">
        <v>15</v>
      </c>
      <c r="I944" t="str">
        <f>TEXT(tblSales[[#This Row],[Date]],"mmm")</f>
        <v>Aug</v>
      </c>
    </row>
    <row r="945" spans="1:9" x14ac:dyDescent="0.3">
      <c r="A945" s="1">
        <v>45529</v>
      </c>
      <c r="B945" t="s">
        <v>765</v>
      </c>
      <c r="C945" t="s">
        <v>22</v>
      </c>
      <c r="D945">
        <v>6</v>
      </c>
      <c r="E945">
        <v>19113</v>
      </c>
      <c r="F945">
        <v>114678</v>
      </c>
      <c r="G945" t="s">
        <v>23</v>
      </c>
      <c r="H945" t="s">
        <v>17</v>
      </c>
      <c r="I945" t="str">
        <f>TEXT(tblSales[[#This Row],[Date]],"mmm")</f>
        <v>Aug</v>
      </c>
    </row>
    <row r="946" spans="1:9" x14ac:dyDescent="0.3">
      <c r="A946" s="1">
        <v>45510</v>
      </c>
      <c r="B946" t="s">
        <v>776</v>
      </c>
      <c r="C946" t="s">
        <v>35</v>
      </c>
      <c r="D946">
        <v>5</v>
      </c>
      <c r="E946">
        <v>17482</v>
      </c>
      <c r="F946">
        <v>87410</v>
      </c>
      <c r="G946" t="s">
        <v>23</v>
      </c>
      <c r="H946" t="s">
        <v>15</v>
      </c>
      <c r="I946" t="str">
        <f>TEXT(tblSales[[#This Row],[Date]],"mmm")</f>
        <v>Aug</v>
      </c>
    </row>
    <row r="947" spans="1:9" x14ac:dyDescent="0.3">
      <c r="A947" s="1">
        <v>45509</v>
      </c>
      <c r="B947" t="s">
        <v>778</v>
      </c>
      <c r="C947" t="s">
        <v>13</v>
      </c>
      <c r="D947">
        <v>21</v>
      </c>
      <c r="E947">
        <v>29274</v>
      </c>
      <c r="F947">
        <v>614754</v>
      </c>
      <c r="G947" t="s">
        <v>19</v>
      </c>
      <c r="H947" t="s">
        <v>17</v>
      </c>
      <c r="I947" t="str">
        <f>TEXT(tblSales[[#This Row],[Date]],"mmm")</f>
        <v>Aug</v>
      </c>
    </row>
    <row r="948" spans="1:9" x14ac:dyDescent="0.3">
      <c r="A948" s="1">
        <v>45529</v>
      </c>
      <c r="B948" t="s">
        <v>804</v>
      </c>
      <c r="C948" t="s">
        <v>13</v>
      </c>
      <c r="D948">
        <v>3</v>
      </c>
      <c r="E948">
        <v>8844</v>
      </c>
      <c r="F948">
        <v>26532</v>
      </c>
      <c r="G948" t="s">
        <v>19</v>
      </c>
      <c r="H948" t="s">
        <v>15</v>
      </c>
      <c r="I948" t="str">
        <f>TEXT(tblSales[[#This Row],[Date]],"mmm")</f>
        <v>Aug</v>
      </c>
    </row>
    <row r="949" spans="1:9" x14ac:dyDescent="0.3">
      <c r="A949" s="1">
        <v>45528</v>
      </c>
      <c r="B949" t="s">
        <v>805</v>
      </c>
      <c r="C949" t="s">
        <v>35</v>
      </c>
      <c r="D949">
        <v>9</v>
      </c>
      <c r="E949">
        <v>9976</v>
      </c>
      <c r="F949">
        <v>89784</v>
      </c>
      <c r="G949" t="s">
        <v>10</v>
      </c>
      <c r="H949" t="s">
        <v>27</v>
      </c>
      <c r="I949" t="str">
        <f>TEXT(tblSales[[#This Row],[Date]],"mmm")</f>
        <v>Aug</v>
      </c>
    </row>
    <row r="950" spans="1:9" x14ac:dyDescent="0.3">
      <c r="A950" s="1">
        <v>45521</v>
      </c>
      <c r="B950" t="s">
        <v>809</v>
      </c>
      <c r="C950" t="s">
        <v>9</v>
      </c>
      <c r="D950">
        <v>16</v>
      </c>
      <c r="E950">
        <v>25728</v>
      </c>
      <c r="F950">
        <v>411648</v>
      </c>
      <c r="G950" t="s">
        <v>10</v>
      </c>
      <c r="H950" t="s">
        <v>30</v>
      </c>
      <c r="I950" t="str">
        <f>TEXT(tblSales[[#This Row],[Date]],"mmm")</f>
        <v>Aug</v>
      </c>
    </row>
    <row r="951" spans="1:9" x14ac:dyDescent="0.3">
      <c r="A951" s="1">
        <v>45534</v>
      </c>
      <c r="B951" t="s">
        <v>816</v>
      </c>
      <c r="C951" t="s">
        <v>22</v>
      </c>
      <c r="D951">
        <v>4</v>
      </c>
      <c r="E951">
        <v>22925</v>
      </c>
      <c r="F951">
        <v>91700</v>
      </c>
      <c r="G951" t="s">
        <v>14</v>
      </c>
      <c r="H951" t="s">
        <v>17</v>
      </c>
      <c r="I951" t="str">
        <f>TEXT(tblSales[[#This Row],[Date]],"mmm")</f>
        <v>Aug</v>
      </c>
    </row>
    <row r="952" spans="1:9" x14ac:dyDescent="0.3">
      <c r="A952" s="1">
        <v>45517</v>
      </c>
      <c r="B952" t="s">
        <v>819</v>
      </c>
      <c r="C952" t="s">
        <v>35</v>
      </c>
      <c r="D952">
        <v>18</v>
      </c>
      <c r="E952">
        <v>20888</v>
      </c>
      <c r="F952">
        <v>375984</v>
      </c>
      <c r="G952" t="s">
        <v>10</v>
      </c>
      <c r="H952" t="s">
        <v>17</v>
      </c>
      <c r="I952" t="str">
        <f>TEXT(tblSales[[#This Row],[Date]],"mmm")</f>
        <v>Aug</v>
      </c>
    </row>
    <row r="953" spans="1:9" x14ac:dyDescent="0.3">
      <c r="A953" s="1">
        <v>45527</v>
      </c>
      <c r="B953" t="s">
        <v>829</v>
      </c>
      <c r="C953" t="s">
        <v>35</v>
      </c>
      <c r="D953">
        <v>25</v>
      </c>
      <c r="E953">
        <v>14268</v>
      </c>
      <c r="F953">
        <v>356700</v>
      </c>
      <c r="G953" t="s">
        <v>14</v>
      </c>
      <c r="H953" t="s">
        <v>11</v>
      </c>
      <c r="I953" t="str">
        <f>TEXT(tblSales[[#This Row],[Date]],"mmm")</f>
        <v>Aug</v>
      </c>
    </row>
    <row r="954" spans="1:9" x14ac:dyDescent="0.3">
      <c r="A954" s="1">
        <v>45509</v>
      </c>
      <c r="B954" t="s">
        <v>850</v>
      </c>
      <c r="C954" t="s">
        <v>26</v>
      </c>
      <c r="D954">
        <v>37</v>
      </c>
      <c r="E954">
        <v>12713</v>
      </c>
      <c r="F954">
        <v>470381</v>
      </c>
      <c r="G954" t="s">
        <v>19</v>
      </c>
      <c r="H954" t="s">
        <v>11</v>
      </c>
      <c r="I954" t="str">
        <f>TEXT(tblSales[[#This Row],[Date]],"mmm")</f>
        <v>Aug</v>
      </c>
    </row>
    <row r="955" spans="1:9" x14ac:dyDescent="0.3">
      <c r="A955" s="1">
        <v>45511</v>
      </c>
      <c r="B955" t="s">
        <v>853</v>
      </c>
      <c r="C955" t="s">
        <v>13</v>
      </c>
      <c r="D955">
        <v>1</v>
      </c>
      <c r="E955">
        <v>29839</v>
      </c>
      <c r="F955">
        <v>29839</v>
      </c>
      <c r="G955" t="s">
        <v>19</v>
      </c>
      <c r="H955" t="s">
        <v>17</v>
      </c>
      <c r="I955" t="str">
        <f>TEXT(tblSales[[#This Row],[Date]],"mmm")</f>
        <v>Aug</v>
      </c>
    </row>
    <row r="956" spans="1:9" x14ac:dyDescent="0.3">
      <c r="A956" s="1">
        <v>45520</v>
      </c>
      <c r="B956" t="s">
        <v>880</v>
      </c>
      <c r="C956" t="s">
        <v>9</v>
      </c>
      <c r="D956">
        <v>24</v>
      </c>
      <c r="E956">
        <v>11293</v>
      </c>
      <c r="F956">
        <v>271032</v>
      </c>
      <c r="G956" t="s">
        <v>23</v>
      </c>
      <c r="H956" t="s">
        <v>27</v>
      </c>
      <c r="I956" t="str">
        <f>TEXT(tblSales[[#This Row],[Date]],"mmm")</f>
        <v>Aug</v>
      </c>
    </row>
    <row r="957" spans="1:9" x14ac:dyDescent="0.3">
      <c r="A957" s="1">
        <v>45535</v>
      </c>
      <c r="B957" t="s">
        <v>899</v>
      </c>
      <c r="C957" t="s">
        <v>22</v>
      </c>
      <c r="D957">
        <v>35</v>
      </c>
      <c r="E957">
        <v>32993</v>
      </c>
      <c r="F957">
        <v>1154755</v>
      </c>
      <c r="G957" t="s">
        <v>19</v>
      </c>
      <c r="H957" t="s">
        <v>17</v>
      </c>
      <c r="I957" t="str">
        <f>TEXT(tblSales[[#This Row],[Date]],"mmm")</f>
        <v>Aug</v>
      </c>
    </row>
    <row r="958" spans="1:9" x14ac:dyDescent="0.3">
      <c r="A958" s="1">
        <v>45516</v>
      </c>
      <c r="B958" t="s">
        <v>914</v>
      </c>
      <c r="C958" t="s">
        <v>22</v>
      </c>
      <c r="D958">
        <v>2</v>
      </c>
      <c r="E958">
        <v>32839</v>
      </c>
      <c r="F958">
        <v>65678</v>
      </c>
      <c r="G958" t="s">
        <v>23</v>
      </c>
      <c r="H958" t="s">
        <v>17</v>
      </c>
      <c r="I958" t="str">
        <f>TEXT(tblSales[[#This Row],[Date]],"mmm")</f>
        <v>Aug</v>
      </c>
    </row>
    <row r="959" spans="1:9" x14ac:dyDescent="0.3">
      <c r="A959" s="1">
        <v>45529</v>
      </c>
      <c r="B959" t="s">
        <v>945</v>
      </c>
      <c r="C959" t="s">
        <v>9</v>
      </c>
      <c r="D959">
        <v>4</v>
      </c>
      <c r="E959">
        <v>36545</v>
      </c>
      <c r="F959">
        <v>146180</v>
      </c>
      <c r="G959" t="s">
        <v>23</v>
      </c>
      <c r="H959" t="s">
        <v>27</v>
      </c>
      <c r="I959" t="str">
        <f>TEXT(tblSales[[#This Row],[Date]],"mmm")</f>
        <v>Aug</v>
      </c>
    </row>
    <row r="960" spans="1:9" x14ac:dyDescent="0.3">
      <c r="A960" s="1">
        <v>45510</v>
      </c>
      <c r="B960" t="s">
        <v>969</v>
      </c>
      <c r="C960" t="s">
        <v>22</v>
      </c>
      <c r="D960">
        <v>18</v>
      </c>
      <c r="E960">
        <v>31248</v>
      </c>
      <c r="F960">
        <v>562464</v>
      </c>
      <c r="G960" t="s">
        <v>10</v>
      </c>
      <c r="H960" t="s">
        <v>27</v>
      </c>
      <c r="I960" t="str">
        <f>TEXT(tblSales[[#This Row],[Date]],"mmm")</f>
        <v>Aug</v>
      </c>
    </row>
    <row r="961" spans="1:9" x14ac:dyDescent="0.3">
      <c r="A961" s="1">
        <v>45513</v>
      </c>
      <c r="B961" t="s">
        <v>970</v>
      </c>
      <c r="C961" t="s">
        <v>35</v>
      </c>
      <c r="D961">
        <v>31</v>
      </c>
      <c r="E961">
        <v>20327</v>
      </c>
      <c r="F961">
        <v>630137</v>
      </c>
      <c r="G961" t="s">
        <v>19</v>
      </c>
      <c r="H961" t="s">
        <v>15</v>
      </c>
      <c r="I961" t="str">
        <f>TEXT(tblSales[[#This Row],[Date]],"mmm")</f>
        <v>Aug</v>
      </c>
    </row>
    <row r="962" spans="1:9" x14ac:dyDescent="0.3">
      <c r="A962" s="1">
        <v>45525</v>
      </c>
      <c r="B962" t="s">
        <v>978</v>
      </c>
      <c r="C962" t="s">
        <v>9</v>
      </c>
      <c r="D962">
        <v>22</v>
      </c>
      <c r="E962">
        <v>14676</v>
      </c>
      <c r="F962">
        <v>322872</v>
      </c>
      <c r="G962" t="s">
        <v>10</v>
      </c>
      <c r="H962" t="s">
        <v>30</v>
      </c>
      <c r="I962" t="str">
        <f>TEXT(tblSales[[#This Row],[Date]],"mmm")</f>
        <v>Aug</v>
      </c>
    </row>
    <row r="963" spans="1:9" x14ac:dyDescent="0.3">
      <c r="A963" s="1">
        <v>45521</v>
      </c>
      <c r="B963" t="s">
        <v>1009</v>
      </c>
      <c r="C963" t="s">
        <v>9</v>
      </c>
      <c r="D963">
        <v>5</v>
      </c>
      <c r="E963">
        <v>40518</v>
      </c>
      <c r="F963">
        <v>202590</v>
      </c>
      <c r="G963" t="s">
        <v>10</v>
      </c>
      <c r="H963" t="s">
        <v>11</v>
      </c>
      <c r="I963" t="str">
        <f>TEXT(tblSales[[#This Row],[Date]],"mmm")</f>
        <v>Aug</v>
      </c>
    </row>
    <row r="964" spans="1:9" x14ac:dyDescent="0.3">
      <c r="A964" s="1">
        <v>45535</v>
      </c>
      <c r="B964" t="s">
        <v>1015</v>
      </c>
      <c r="C964" t="s">
        <v>9</v>
      </c>
      <c r="D964">
        <v>23</v>
      </c>
      <c r="E964">
        <v>14848</v>
      </c>
      <c r="F964">
        <v>341504</v>
      </c>
      <c r="G964" t="s">
        <v>19</v>
      </c>
      <c r="H964" t="s">
        <v>30</v>
      </c>
      <c r="I964" t="str">
        <f>TEXT(tblSales[[#This Row],[Date]],"mmm")</f>
        <v>Aug</v>
      </c>
    </row>
    <row r="965" spans="1:9" x14ac:dyDescent="0.3">
      <c r="A965" s="1">
        <v>45529</v>
      </c>
      <c r="B965" t="s">
        <v>1020</v>
      </c>
      <c r="C965" t="s">
        <v>26</v>
      </c>
      <c r="D965">
        <v>2</v>
      </c>
      <c r="E965">
        <v>37766</v>
      </c>
      <c r="F965">
        <v>75532</v>
      </c>
      <c r="G965" t="s">
        <v>19</v>
      </c>
      <c r="H965" t="s">
        <v>30</v>
      </c>
      <c r="I965" t="str">
        <f>TEXT(tblSales[[#This Row],[Date]],"mmm")</f>
        <v>Aug</v>
      </c>
    </row>
    <row r="966" spans="1:9" x14ac:dyDescent="0.3">
      <c r="A966" s="1">
        <v>45535</v>
      </c>
      <c r="B966" t="s">
        <v>1066</v>
      </c>
      <c r="C966" t="s">
        <v>13</v>
      </c>
      <c r="D966">
        <v>4</v>
      </c>
      <c r="E966">
        <v>34213</v>
      </c>
      <c r="F966">
        <v>136852</v>
      </c>
      <c r="G966" t="s">
        <v>23</v>
      </c>
      <c r="H966" t="s">
        <v>17</v>
      </c>
      <c r="I966" t="str">
        <f>TEXT(tblSales[[#This Row],[Date]],"mmm")</f>
        <v>Aug</v>
      </c>
    </row>
    <row r="967" spans="1:9" x14ac:dyDescent="0.3">
      <c r="A967" s="1">
        <v>45527</v>
      </c>
      <c r="B967" t="s">
        <v>1068</v>
      </c>
      <c r="C967" t="s">
        <v>22</v>
      </c>
      <c r="D967">
        <v>1</v>
      </c>
      <c r="E967">
        <v>31998</v>
      </c>
      <c r="F967">
        <v>31998</v>
      </c>
      <c r="G967" t="s">
        <v>23</v>
      </c>
      <c r="H967" t="s">
        <v>17</v>
      </c>
      <c r="I967" t="str">
        <f>TEXT(tblSales[[#This Row],[Date]],"mmm")</f>
        <v>Aug</v>
      </c>
    </row>
    <row r="968" spans="1:9" x14ac:dyDescent="0.3">
      <c r="A968" s="1">
        <v>45510</v>
      </c>
      <c r="B968" t="s">
        <v>1105</v>
      </c>
      <c r="C968" t="s">
        <v>13</v>
      </c>
      <c r="D968">
        <v>33</v>
      </c>
      <c r="E968">
        <v>30622</v>
      </c>
      <c r="F968">
        <v>1010526</v>
      </c>
      <c r="G968" t="s">
        <v>10</v>
      </c>
      <c r="H968" t="s">
        <v>15</v>
      </c>
      <c r="I968" t="str">
        <f>TEXT(tblSales[[#This Row],[Date]],"mmm")</f>
        <v>Aug</v>
      </c>
    </row>
    <row r="969" spans="1:9" x14ac:dyDescent="0.3">
      <c r="A969" s="1">
        <v>45529</v>
      </c>
      <c r="B969" t="s">
        <v>1110</v>
      </c>
      <c r="C969" t="s">
        <v>26</v>
      </c>
      <c r="D969">
        <v>38</v>
      </c>
      <c r="E969">
        <v>17131</v>
      </c>
      <c r="F969">
        <v>650978</v>
      </c>
      <c r="G969" t="s">
        <v>19</v>
      </c>
      <c r="H969" t="s">
        <v>15</v>
      </c>
      <c r="I969" t="str">
        <f>TEXT(tblSales[[#This Row],[Date]],"mmm")</f>
        <v>Aug</v>
      </c>
    </row>
    <row r="970" spans="1:9" x14ac:dyDescent="0.3">
      <c r="A970" s="1">
        <v>45517</v>
      </c>
      <c r="B970" t="s">
        <v>1143</v>
      </c>
      <c r="C970" t="s">
        <v>22</v>
      </c>
      <c r="D970">
        <v>16</v>
      </c>
      <c r="E970">
        <v>31257</v>
      </c>
      <c r="F970">
        <v>500112</v>
      </c>
      <c r="G970" t="s">
        <v>10</v>
      </c>
      <c r="H970" t="s">
        <v>30</v>
      </c>
      <c r="I970" t="str">
        <f>TEXT(tblSales[[#This Row],[Date]],"mmm")</f>
        <v>Aug</v>
      </c>
    </row>
    <row r="971" spans="1:9" x14ac:dyDescent="0.3">
      <c r="A971" s="1">
        <v>45531</v>
      </c>
      <c r="B971" t="s">
        <v>1153</v>
      </c>
      <c r="C971" t="s">
        <v>35</v>
      </c>
      <c r="D971">
        <v>3</v>
      </c>
      <c r="E971">
        <v>19967</v>
      </c>
      <c r="F971">
        <v>59901</v>
      </c>
      <c r="G971" t="s">
        <v>23</v>
      </c>
      <c r="H971" t="s">
        <v>15</v>
      </c>
      <c r="I971" t="str">
        <f>TEXT(tblSales[[#This Row],[Date]],"mmm")</f>
        <v>Aug</v>
      </c>
    </row>
    <row r="972" spans="1:9" x14ac:dyDescent="0.3">
      <c r="A972" s="1">
        <v>45511</v>
      </c>
      <c r="B972" t="s">
        <v>1155</v>
      </c>
      <c r="C972" t="s">
        <v>13</v>
      </c>
      <c r="D972">
        <v>26</v>
      </c>
      <c r="E972">
        <v>13548</v>
      </c>
      <c r="F972">
        <v>352248</v>
      </c>
      <c r="G972" t="s">
        <v>10</v>
      </c>
      <c r="H972" t="s">
        <v>11</v>
      </c>
      <c r="I972" t="str">
        <f>TEXT(tblSales[[#This Row],[Date]],"mmm")</f>
        <v>Aug</v>
      </c>
    </row>
    <row r="973" spans="1:9" x14ac:dyDescent="0.3">
      <c r="A973" s="1">
        <v>45525</v>
      </c>
      <c r="B973" t="s">
        <v>1159</v>
      </c>
      <c r="C973" t="s">
        <v>9</v>
      </c>
      <c r="D973">
        <v>32</v>
      </c>
      <c r="E973">
        <v>26028</v>
      </c>
      <c r="F973">
        <v>832896</v>
      </c>
      <c r="G973" t="s">
        <v>23</v>
      </c>
      <c r="H973" t="s">
        <v>30</v>
      </c>
      <c r="I973" t="str">
        <f>TEXT(tblSales[[#This Row],[Date]],"mmm")</f>
        <v>Aug</v>
      </c>
    </row>
    <row r="974" spans="1:9" x14ac:dyDescent="0.3">
      <c r="A974" s="1">
        <v>45517</v>
      </c>
      <c r="B974" t="s">
        <v>1164</v>
      </c>
      <c r="C974" t="s">
        <v>13</v>
      </c>
      <c r="D974">
        <v>8</v>
      </c>
      <c r="E974">
        <v>37855</v>
      </c>
      <c r="F974">
        <v>302840</v>
      </c>
      <c r="G974" t="s">
        <v>23</v>
      </c>
      <c r="H974" t="s">
        <v>11</v>
      </c>
      <c r="I974" t="str">
        <f>TEXT(tblSales[[#This Row],[Date]],"mmm")</f>
        <v>Aug</v>
      </c>
    </row>
    <row r="975" spans="1:9" x14ac:dyDescent="0.3">
      <c r="A975" s="1">
        <v>45520</v>
      </c>
      <c r="B975" t="s">
        <v>1179</v>
      </c>
      <c r="C975" t="s">
        <v>26</v>
      </c>
      <c r="D975">
        <v>37</v>
      </c>
      <c r="E975">
        <v>30503</v>
      </c>
      <c r="F975">
        <v>1128611</v>
      </c>
      <c r="G975" t="s">
        <v>19</v>
      </c>
      <c r="H975" t="s">
        <v>30</v>
      </c>
      <c r="I975" t="str">
        <f>TEXT(tblSales[[#This Row],[Date]],"mmm")</f>
        <v>Aug</v>
      </c>
    </row>
    <row r="976" spans="1:9" x14ac:dyDescent="0.3">
      <c r="A976" s="1">
        <v>45509</v>
      </c>
      <c r="B976" t="s">
        <v>1188</v>
      </c>
      <c r="C976" t="s">
        <v>22</v>
      </c>
      <c r="D976">
        <v>35</v>
      </c>
      <c r="E976">
        <v>26777</v>
      </c>
      <c r="F976">
        <v>937195</v>
      </c>
      <c r="G976" t="s">
        <v>23</v>
      </c>
      <c r="H976" t="s">
        <v>30</v>
      </c>
      <c r="I976" t="str">
        <f>TEXT(tblSales[[#This Row],[Date]],"mmm")</f>
        <v>Aug</v>
      </c>
    </row>
    <row r="977" spans="1:9" x14ac:dyDescent="0.3">
      <c r="A977" s="1">
        <v>45520</v>
      </c>
      <c r="B977" t="s">
        <v>1196</v>
      </c>
      <c r="C977" t="s">
        <v>35</v>
      </c>
      <c r="D977">
        <v>34</v>
      </c>
      <c r="E977">
        <v>43620</v>
      </c>
      <c r="F977">
        <v>1483080</v>
      </c>
      <c r="G977" t="s">
        <v>19</v>
      </c>
      <c r="H977" t="s">
        <v>27</v>
      </c>
      <c r="I977" t="str">
        <f>TEXT(tblSales[[#This Row],[Date]],"mmm")</f>
        <v>Aug</v>
      </c>
    </row>
    <row r="978" spans="1:9" x14ac:dyDescent="0.3">
      <c r="A978" s="1">
        <v>45528</v>
      </c>
      <c r="B978" t="s">
        <v>1210</v>
      </c>
      <c r="C978" t="s">
        <v>13</v>
      </c>
      <c r="D978">
        <v>9</v>
      </c>
      <c r="E978">
        <v>41436</v>
      </c>
      <c r="F978">
        <v>372924</v>
      </c>
      <c r="G978" t="s">
        <v>10</v>
      </c>
      <c r="H978" t="s">
        <v>11</v>
      </c>
      <c r="I978" t="str">
        <f>TEXT(tblSales[[#This Row],[Date]],"mmm")</f>
        <v>Aug</v>
      </c>
    </row>
    <row r="979" spans="1:9" x14ac:dyDescent="0.3">
      <c r="A979" s="1">
        <v>45511</v>
      </c>
      <c r="B979" t="s">
        <v>1214</v>
      </c>
      <c r="C979" t="s">
        <v>9</v>
      </c>
      <c r="D979">
        <v>20</v>
      </c>
      <c r="E979">
        <v>43930</v>
      </c>
      <c r="F979">
        <v>878600</v>
      </c>
      <c r="G979" t="s">
        <v>23</v>
      </c>
      <c r="H979" t="s">
        <v>27</v>
      </c>
      <c r="I979" t="str">
        <f>TEXT(tblSales[[#This Row],[Date]],"mmm")</f>
        <v>Aug</v>
      </c>
    </row>
    <row r="980" spans="1:9" x14ac:dyDescent="0.3">
      <c r="A980" s="1">
        <v>45514</v>
      </c>
      <c r="B980" t="s">
        <v>1223</v>
      </c>
      <c r="C980" t="s">
        <v>26</v>
      </c>
      <c r="D980">
        <v>8</v>
      </c>
      <c r="E980">
        <v>31156</v>
      </c>
      <c r="F980">
        <v>249248</v>
      </c>
      <c r="G980" t="s">
        <v>19</v>
      </c>
      <c r="H980" t="s">
        <v>27</v>
      </c>
      <c r="I980" t="str">
        <f>TEXT(tblSales[[#This Row],[Date]],"mmm")</f>
        <v>Aug</v>
      </c>
    </row>
    <row r="981" spans="1:9" x14ac:dyDescent="0.3">
      <c r="A981" s="1">
        <v>45522</v>
      </c>
      <c r="B981" t="s">
        <v>1226</v>
      </c>
      <c r="C981" t="s">
        <v>22</v>
      </c>
      <c r="D981">
        <v>6</v>
      </c>
      <c r="E981">
        <v>25748</v>
      </c>
      <c r="F981">
        <v>154488</v>
      </c>
      <c r="G981" t="s">
        <v>14</v>
      </c>
      <c r="H981" t="s">
        <v>30</v>
      </c>
      <c r="I981" t="str">
        <f>TEXT(tblSales[[#This Row],[Date]],"mmm")</f>
        <v>Aug</v>
      </c>
    </row>
    <row r="982" spans="1:9" x14ac:dyDescent="0.3">
      <c r="A982" s="1">
        <v>45533</v>
      </c>
      <c r="B982" t="s">
        <v>1228</v>
      </c>
      <c r="C982" t="s">
        <v>9</v>
      </c>
      <c r="D982">
        <v>37</v>
      </c>
      <c r="E982">
        <v>41589</v>
      </c>
      <c r="F982">
        <v>1538793</v>
      </c>
      <c r="G982" t="s">
        <v>19</v>
      </c>
      <c r="H982" t="s">
        <v>17</v>
      </c>
      <c r="I982" t="str">
        <f>TEXT(tblSales[[#This Row],[Date]],"mmm")</f>
        <v>Aug</v>
      </c>
    </row>
    <row r="983" spans="1:9" x14ac:dyDescent="0.3">
      <c r="A983" s="1">
        <v>45529</v>
      </c>
      <c r="B983" t="s">
        <v>1232</v>
      </c>
      <c r="C983" t="s">
        <v>22</v>
      </c>
      <c r="D983">
        <v>3</v>
      </c>
      <c r="E983">
        <v>39721</v>
      </c>
      <c r="F983">
        <v>119163</v>
      </c>
      <c r="G983" t="s">
        <v>10</v>
      </c>
      <c r="H983" t="s">
        <v>11</v>
      </c>
      <c r="I983" t="str">
        <f>TEXT(tblSales[[#This Row],[Date]],"mmm")</f>
        <v>Aug</v>
      </c>
    </row>
    <row r="984" spans="1:9" x14ac:dyDescent="0.3">
      <c r="A984" s="1">
        <v>45511</v>
      </c>
      <c r="B984" t="s">
        <v>1237</v>
      </c>
      <c r="C984" t="s">
        <v>9</v>
      </c>
      <c r="D984">
        <v>24</v>
      </c>
      <c r="E984">
        <v>21167</v>
      </c>
      <c r="F984">
        <v>508008</v>
      </c>
      <c r="G984" t="s">
        <v>23</v>
      </c>
      <c r="H984" t="s">
        <v>17</v>
      </c>
      <c r="I984" t="str">
        <f>TEXT(tblSales[[#This Row],[Date]],"mmm")</f>
        <v>Aug</v>
      </c>
    </row>
    <row r="985" spans="1:9" x14ac:dyDescent="0.3">
      <c r="A985" s="1">
        <v>45535</v>
      </c>
      <c r="B985" t="s">
        <v>1245</v>
      </c>
      <c r="C985" t="s">
        <v>35</v>
      </c>
      <c r="D985">
        <v>27</v>
      </c>
      <c r="E985">
        <v>40655</v>
      </c>
      <c r="F985">
        <v>1097685</v>
      </c>
      <c r="G985" t="s">
        <v>19</v>
      </c>
      <c r="H985" t="s">
        <v>15</v>
      </c>
      <c r="I985" t="str">
        <f>TEXT(tblSales[[#This Row],[Date]],"mmm")</f>
        <v>Aug</v>
      </c>
    </row>
    <row r="986" spans="1:9" x14ac:dyDescent="0.3">
      <c r="A986" s="1">
        <v>45518</v>
      </c>
      <c r="B986" t="s">
        <v>1248</v>
      </c>
      <c r="C986" t="s">
        <v>26</v>
      </c>
      <c r="D986">
        <v>27</v>
      </c>
      <c r="E986">
        <v>27705</v>
      </c>
      <c r="F986">
        <v>748035</v>
      </c>
      <c r="G986" t="s">
        <v>14</v>
      </c>
      <c r="H986" t="s">
        <v>17</v>
      </c>
      <c r="I986" t="str">
        <f>TEXT(tblSales[[#This Row],[Date]],"mmm")</f>
        <v>Aug</v>
      </c>
    </row>
    <row r="987" spans="1:9" x14ac:dyDescent="0.3">
      <c r="A987" s="1">
        <v>45520</v>
      </c>
      <c r="B987" t="s">
        <v>1257</v>
      </c>
      <c r="C987" t="s">
        <v>35</v>
      </c>
      <c r="D987">
        <v>29</v>
      </c>
      <c r="E987">
        <v>28056</v>
      </c>
      <c r="F987">
        <v>813624</v>
      </c>
      <c r="G987" t="s">
        <v>19</v>
      </c>
      <c r="H987" t="s">
        <v>15</v>
      </c>
      <c r="I987" t="str">
        <f>TEXT(tblSales[[#This Row],[Date]],"mmm")</f>
        <v>Aug</v>
      </c>
    </row>
    <row r="988" spans="1:9" x14ac:dyDescent="0.3">
      <c r="A988" s="1">
        <v>45529</v>
      </c>
      <c r="B988" t="s">
        <v>1265</v>
      </c>
      <c r="C988" t="s">
        <v>9</v>
      </c>
      <c r="D988">
        <v>17</v>
      </c>
      <c r="E988">
        <v>28016</v>
      </c>
      <c r="F988">
        <v>476272</v>
      </c>
      <c r="G988" t="s">
        <v>23</v>
      </c>
      <c r="H988" t="s">
        <v>11</v>
      </c>
      <c r="I988" t="str">
        <f>TEXT(tblSales[[#This Row],[Date]],"mmm")</f>
        <v>Aug</v>
      </c>
    </row>
    <row r="989" spans="1:9" x14ac:dyDescent="0.3">
      <c r="A989" s="1">
        <v>45528</v>
      </c>
      <c r="B989" t="s">
        <v>1266</v>
      </c>
      <c r="C989" t="s">
        <v>35</v>
      </c>
      <c r="D989">
        <v>29</v>
      </c>
      <c r="E989">
        <v>30679</v>
      </c>
      <c r="F989">
        <v>889691</v>
      </c>
      <c r="G989" t="s">
        <v>14</v>
      </c>
      <c r="H989" t="s">
        <v>27</v>
      </c>
      <c r="I989" t="str">
        <f>TEXT(tblSales[[#This Row],[Date]],"mmm")</f>
        <v>Aug</v>
      </c>
    </row>
    <row r="990" spans="1:9" x14ac:dyDescent="0.3">
      <c r="A990" s="1">
        <v>45523</v>
      </c>
      <c r="B990" t="s">
        <v>1296</v>
      </c>
      <c r="C990" t="s">
        <v>26</v>
      </c>
      <c r="D990">
        <v>23</v>
      </c>
      <c r="E990">
        <v>24795</v>
      </c>
      <c r="F990">
        <v>570285</v>
      </c>
      <c r="G990" t="s">
        <v>14</v>
      </c>
      <c r="H990" t="s">
        <v>11</v>
      </c>
      <c r="I990" t="str">
        <f>TEXT(tblSales[[#This Row],[Date]],"mmm")</f>
        <v>Aug</v>
      </c>
    </row>
    <row r="991" spans="1:9" x14ac:dyDescent="0.3">
      <c r="A991" s="1">
        <v>45525</v>
      </c>
      <c r="B991" t="s">
        <v>1308</v>
      </c>
      <c r="C991" t="s">
        <v>26</v>
      </c>
      <c r="D991">
        <v>26</v>
      </c>
      <c r="E991">
        <v>34568</v>
      </c>
      <c r="F991">
        <v>898768</v>
      </c>
      <c r="G991" t="s">
        <v>23</v>
      </c>
      <c r="H991" t="s">
        <v>17</v>
      </c>
      <c r="I991" t="str">
        <f>TEXT(tblSales[[#This Row],[Date]],"mmm")</f>
        <v>Aug</v>
      </c>
    </row>
    <row r="992" spans="1:9" x14ac:dyDescent="0.3">
      <c r="A992" s="1">
        <v>45525</v>
      </c>
      <c r="B992" t="s">
        <v>1331</v>
      </c>
      <c r="C992" t="s">
        <v>22</v>
      </c>
      <c r="D992">
        <v>19</v>
      </c>
      <c r="E992">
        <v>28595</v>
      </c>
      <c r="F992">
        <v>543305</v>
      </c>
      <c r="G992" t="s">
        <v>19</v>
      </c>
      <c r="H992" t="s">
        <v>27</v>
      </c>
      <c r="I992" t="str">
        <f>TEXT(tblSales[[#This Row],[Date]],"mmm")</f>
        <v>Aug</v>
      </c>
    </row>
    <row r="993" spans="1:9" x14ac:dyDescent="0.3">
      <c r="A993" s="1">
        <v>45517</v>
      </c>
      <c r="B993" t="s">
        <v>1340</v>
      </c>
      <c r="C993" t="s">
        <v>26</v>
      </c>
      <c r="D993">
        <v>11</v>
      </c>
      <c r="E993">
        <v>31494</v>
      </c>
      <c r="F993">
        <v>346434</v>
      </c>
      <c r="G993" t="s">
        <v>19</v>
      </c>
      <c r="H993" t="s">
        <v>30</v>
      </c>
      <c r="I993" t="str">
        <f>TEXT(tblSales[[#This Row],[Date]],"mmm")</f>
        <v>Aug</v>
      </c>
    </row>
    <row r="994" spans="1:9" x14ac:dyDescent="0.3">
      <c r="A994" s="1">
        <v>45530</v>
      </c>
      <c r="B994" t="s">
        <v>1346</v>
      </c>
      <c r="C994" t="s">
        <v>26</v>
      </c>
      <c r="D994">
        <v>8</v>
      </c>
      <c r="E994">
        <v>19521</v>
      </c>
      <c r="F994">
        <v>156168</v>
      </c>
      <c r="G994" t="s">
        <v>19</v>
      </c>
      <c r="H994" t="s">
        <v>30</v>
      </c>
      <c r="I994" t="str">
        <f>TEXT(tblSales[[#This Row],[Date]],"mmm")</f>
        <v>Aug</v>
      </c>
    </row>
    <row r="995" spans="1:9" x14ac:dyDescent="0.3">
      <c r="A995" s="1">
        <v>45524</v>
      </c>
      <c r="B995" t="s">
        <v>1361</v>
      </c>
      <c r="C995" t="s">
        <v>22</v>
      </c>
      <c r="D995">
        <v>26</v>
      </c>
      <c r="E995">
        <v>17819</v>
      </c>
      <c r="F995">
        <v>463294</v>
      </c>
      <c r="G995" t="s">
        <v>23</v>
      </c>
      <c r="H995" t="s">
        <v>27</v>
      </c>
      <c r="I995" t="str">
        <f>TEXT(tblSales[[#This Row],[Date]],"mmm")</f>
        <v>Aug</v>
      </c>
    </row>
    <row r="996" spans="1:9" x14ac:dyDescent="0.3">
      <c r="A996" s="1">
        <v>45517</v>
      </c>
      <c r="B996" t="s">
        <v>1372</v>
      </c>
      <c r="C996" t="s">
        <v>9</v>
      </c>
      <c r="D996">
        <v>25</v>
      </c>
      <c r="E996">
        <v>40309</v>
      </c>
      <c r="F996">
        <v>1007725</v>
      </c>
      <c r="G996" t="s">
        <v>14</v>
      </c>
      <c r="H996" t="s">
        <v>30</v>
      </c>
      <c r="I996" t="str">
        <f>TEXT(tblSales[[#This Row],[Date]],"mmm")</f>
        <v>Aug</v>
      </c>
    </row>
    <row r="997" spans="1:9" x14ac:dyDescent="0.3">
      <c r="A997" s="1">
        <v>45510</v>
      </c>
      <c r="B997" t="s">
        <v>1375</v>
      </c>
      <c r="C997" t="s">
        <v>13</v>
      </c>
      <c r="D997">
        <v>7</v>
      </c>
      <c r="E997">
        <v>17077</v>
      </c>
      <c r="F997">
        <v>119539</v>
      </c>
      <c r="G997" t="s">
        <v>14</v>
      </c>
      <c r="H997" t="s">
        <v>30</v>
      </c>
      <c r="I997" t="str">
        <f>TEXT(tblSales[[#This Row],[Date]],"mmm")</f>
        <v>Aug</v>
      </c>
    </row>
    <row r="998" spans="1:9" x14ac:dyDescent="0.3">
      <c r="A998" s="1">
        <v>45514</v>
      </c>
      <c r="B998" t="s">
        <v>1398</v>
      </c>
      <c r="C998" t="s">
        <v>13</v>
      </c>
      <c r="D998">
        <v>19</v>
      </c>
      <c r="E998">
        <v>16475</v>
      </c>
      <c r="F998">
        <v>313025</v>
      </c>
      <c r="G998" t="s">
        <v>19</v>
      </c>
      <c r="H998" t="s">
        <v>15</v>
      </c>
      <c r="I998" t="str">
        <f>TEXT(tblSales[[#This Row],[Date]],"mmm")</f>
        <v>Aug</v>
      </c>
    </row>
    <row r="999" spans="1:9" x14ac:dyDescent="0.3">
      <c r="A999" s="1">
        <v>45534</v>
      </c>
      <c r="B999" t="s">
        <v>1410</v>
      </c>
      <c r="C999" t="s">
        <v>26</v>
      </c>
      <c r="D999">
        <v>22</v>
      </c>
      <c r="E999">
        <v>42405</v>
      </c>
      <c r="F999">
        <v>932910</v>
      </c>
      <c r="G999" t="s">
        <v>14</v>
      </c>
      <c r="H999" t="s">
        <v>15</v>
      </c>
      <c r="I999" t="str">
        <f>TEXT(tblSales[[#This Row],[Date]],"mmm")</f>
        <v>Aug</v>
      </c>
    </row>
    <row r="1000" spans="1:9" x14ac:dyDescent="0.3">
      <c r="A1000" s="1">
        <v>45523</v>
      </c>
      <c r="B1000" t="s">
        <v>1418</v>
      </c>
      <c r="C1000" t="s">
        <v>9</v>
      </c>
      <c r="D1000">
        <v>2</v>
      </c>
      <c r="E1000">
        <v>30402</v>
      </c>
      <c r="F1000">
        <v>60804</v>
      </c>
      <c r="G1000" t="s">
        <v>23</v>
      </c>
      <c r="H1000" t="s">
        <v>15</v>
      </c>
      <c r="I1000" t="str">
        <f>TEXT(tblSales[[#This Row],[Date]],"mmm")</f>
        <v>Aug</v>
      </c>
    </row>
    <row r="1001" spans="1:9" x14ac:dyDescent="0.3">
      <c r="A1001" s="1">
        <v>45535</v>
      </c>
      <c r="B1001" t="s">
        <v>1437</v>
      </c>
      <c r="C1001" t="s">
        <v>35</v>
      </c>
      <c r="D1001">
        <v>4</v>
      </c>
      <c r="E1001">
        <v>26093</v>
      </c>
      <c r="F1001">
        <v>104372</v>
      </c>
      <c r="G1001" t="s">
        <v>23</v>
      </c>
      <c r="H1001" t="s">
        <v>17</v>
      </c>
      <c r="I1001" t="str">
        <f>TEXT(tblSales[[#This Row],[Date]],"mmm")</f>
        <v>Aug</v>
      </c>
    </row>
    <row r="1002" spans="1:9" x14ac:dyDescent="0.3">
      <c r="A1002" s="1">
        <v>45530</v>
      </c>
      <c r="B1002" t="s">
        <v>1440</v>
      </c>
      <c r="C1002" t="s">
        <v>13</v>
      </c>
      <c r="D1002">
        <v>30</v>
      </c>
      <c r="E1002">
        <v>34917</v>
      </c>
      <c r="F1002">
        <v>1047510</v>
      </c>
      <c r="G1002" t="s">
        <v>23</v>
      </c>
      <c r="H1002" t="s">
        <v>15</v>
      </c>
      <c r="I1002" t="str">
        <f>TEXT(tblSales[[#This Row],[Date]],"mmm")</f>
        <v>Aug</v>
      </c>
    </row>
    <row r="1003" spans="1:9" x14ac:dyDescent="0.3">
      <c r="A1003" s="1">
        <v>45528</v>
      </c>
      <c r="B1003" t="s">
        <v>1459</v>
      </c>
      <c r="C1003" t="s">
        <v>22</v>
      </c>
      <c r="D1003">
        <v>7</v>
      </c>
      <c r="E1003">
        <v>10769</v>
      </c>
      <c r="F1003">
        <v>75383</v>
      </c>
      <c r="G1003" t="s">
        <v>10</v>
      </c>
      <c r="H1003" t="s">
        <v>17</v>
      </c>
      <c r="I1003" t="str">
        <f>TEXT(tblSales[[#This Row],[Date]],"mmm")</f>
        <v>Aug</v>
      </c>
    </row>
    <row r="1004" spans="1:9" x14ac:dyDescent="0.3">
      <c r="A1004" s="1">
        <v>45530</v>
      </c>
      <c r="B1004" t="s">
        <v>1469</v>
      </c>
      <c r="C1004" t="s">
        <v>22</v>
      </c>
      <c r="D1004">
        <v>12</v>
      </c>
      <c r="E1004">
        <v>23313</v>
      </c>
      <c r="F1004">
        <v>279756</v>
      </c>
      <c r="G1004" t="s">
        <v>10</v>
      </c>
      <c r="H1004" t="s">
        <v>15</v>
      </c>
      <c r="I1004" t="str">
        <f>TEXT(tblSales[[#This Row],[Date]],"mmm")</f>
        <v>Aug</v>
      </c>
    </row>
    <row r="1005" spans="1:9" x14ac:dyDescent="0.3">
      <c r="A1005" s="1">
        <v>45516</v>
      </c>
      <c r="B1005" t="s">
        <v>1470</v>
      </c>
      <c r="C1005" t="s">
        <v>22</v>
      </c>
      <c r="D1005">
        <v>31</v>
      </c>
      <c r="E1005">
        <v>5221</v>
      </c>
      <c r="F1005">
        <v>161851</v>
      </c>
      <c r="G1005" t="s">
        <v>14</v>
      </c>
      <c r="H1005" t="s">
        <v>15</v>
      </c>
      <c r="I1005" t="str">
        <f>TEXT(tblSales[[#This Row],[Date]],"mmm")</f>
        <v>Aug</v>
      </c>
    </row>
    <row r="1006" spans="1:9" x14ac:dyDescent="0.3">
      <c r="A1006" s="1">
        <v>45531</v>
      </c>
      <c r="B1006" t="s">
        <v>1485</v>
      </c>
      <c r="C1006" t="s">
        <v>26</v>
      </c>
      <c r="D1006">
        <v>31</v>
      </c>
      <c r="E1006">
        <v>25736</v>
      </c>
      <c r="F1006">
        <v>797816</v>
      </c>
      <c r="G1006" t="s">
        <v>14</v>
      </c>
      <c r="H1006" t="s">
        <v>11</v>
      </c>
      <c r="I1006" t="str">
        <f>TEXT(tblSales[[#This Row],[Date]],"mmm")</f>
        <v>Aug</v>
      </c>
    </row>
    <row r="1007" spans="1:9" x14ac:dyDescent="0.3">
      <c r="A1007" s="1">
        <v>45513</v>
      </c>
      <c r="B1007" t="s">
        <v>1487</v>
      </c>
      <c r="C1007" t="s">
        <v>26</v>
      </c>
      <c r="D1007">
        <v>22</v>
      </c>
      <c r="E1007">
        <v>29106</v>
      </c>
      <c r="F1007">
        <v>640332</v>
      </c>
      <c r="G1007" t="s">
        <v>10</v>
      </c>
      <c r="H1007" t="s">
        <v>11</v>
      </c>
      <c r="I1007" t="str">
        <f>TEXT(tblSales[[#This Row],[Date]],"mmm")</f>
        <v>Aug</v>
      </c>
    </row>
    <row r="1008" spans="1:9" x14ac:dyDescent="0.3">
      <c r="A1008" s="1">
        <v>45505</v>
      </c>
      <c r="B1008" t="s">
        <v>1492</v>
      </c>
      <c r="C1008" t="s">
        <v>35</v>
      </c>
      <c r="D1008">
        <v>9</v>
      </c>
      <c r="E1008">
        <v>20964</v>
      </c>
      <c r="F1008">
        <v>188676</v>
      </c>
      <c r="G1008" t="s">
        <v>10</v>
      </c>
      <c r="H1008" t="s">
        <v>15</v>
      </c>
      <c r="I1008" t="str">
        <f>TEXT(tblSales[[#This Row],[Date]],"mmm")</f>
        <v>Aug</v>
      </c>
    </row>
    <row r="1009" spans="1:9" x14ac:dyDescent="0.3">
      <c r="A1009" s="1">
        <v>45505</v>
      </c>
      <c r="B1009" t="s">
        <v>1518</v>
      </c>
      <c r="C1009" t="s">
        <v>13</v>
      </c>
      <c r="D1009">
        <v>13</v>
      </c>
      <c r="E1009">
        <v>18321</v>
      </c>
      <c r="F1009">
        <v>238173</v>
      </c>
      <c r="G1009" t="s">
        <v>23</v>
      </c>
      <c r="H1009" t="s">
        <v>11</v>
      </c>
      <c r="I1009" t="str">
        <f>TEXT(tblSales[[#This Row],[Date]],"mmm")</f>
        <v>Aug</v>
      </c>
    </row>
    <row r="1010" spans="1:9" x14ac:dyDescent="0.3">
      <c r="A1010" s="1">
        <v>45558</v>
      </c>
      <c r="B1010" t="s">
        <v>89</v>
      </c>
      <c r="C1010" t="s">
        <v>9</v>
      </c>
      <c r="D1010">
        <v>21</v>
      </c>
      <c r="E1010">
        <v>41002</v>
      </c>
      <c r="F1010">
        <v>861042</v>
      </c>
      <c r="G1010" t="s">
        <v>23</v>
      </c>
      <c r="H1010" t="s">
        <v>15</v>
      </c>
      <c r="I1010" t="str">
        <f>TEXT(tblSales[[#This Row],[Date]],"mmm")</f>
        <v>Sep</v>
      </c>
    </row>
    <row r="1011" spans="1:9" x14ac:dyDescent="0.3">
      <c r="A1011" s="1">
        <v>45537</v>
      </c>
      <c r="B1011" t="s">
        <v>117</v>
      </c>
      <c r="C1011" t="s">
        <v>9</v>
      </c>
      <c r="D1011">
        <v>27</v>
      </c>
      <c r="E1011">
        <v>20363</v>
      </c>
      <c r="F1011">
        <v>549801</v>
      </c>
      <c r="G1011" t="s">
        <v>10</v>
      </c>
      <c r="H1011" t="s">
        <v>15</v>
      </c>
      <c r="I1011" t="str">
        <f>TEXT(tblSales[[#This Row],[Date]],"mmm")</f>
        <v>Sep</v>
      </c>
    </row>
    <row r="1012" spans="1:9" x14ac:dyDescent="0.3">
      <c r="A1012" s="1">
        <v>45565</v>
      </c>
      <c r="B1012" t="s">
        <v>158</v>
      </c>
      <c r="C1012" t="s">
        <v>26</v>
      </c>
      <c r="D1012">
        <v>27</v>
      </c>
      <c r="E1012">
        <v>18909</v>
      </c>
      <c r="F1012">
        <v>510543</v>
      </c>
      <c r="G1012" t="s">
        <v>10</v>
      </c>
      <c r="H1012" t="s">
        <v>30</v>
      </c>
      <c r="I1012" t="str">
        <f>TEXT(tblSales[[#This Row],[Date]],"mmm")</f>
        <v>Sep</v>
      </c>
    </row>
    <row r="1013" spans="1:9" x14ac:dyDescent="0.3">
      <c r="A1013" s="1">
        <v>45544</v>
      </c>
      <c r="B1013" t="s">
        <v>194</v>
      </c>
      <c r="C1013" t="s">
        <v>22</v>
      </c>
      <c r="D1013">
        <v>39</v>
      </c>
      <c r="E1013">
        <v>14665</v>
      </c>
      <c r="F1013">
        <v>571935</v>
      </c>
      <c r="G1013" t="s">
        <v>14</v>
      </c>
      <c r="H1013" t="s">
        <v>27</v>
      </c>
      <c r="I1013" t="str">
        <f>TEXT(tblSales[[#This Row],[Date]],"mmm")</f>
        <v>Sep</v>
      </c>
    </row>
    <row r="1014" spans="1:9" x14ac:dyDescent="0.3">
      <c r="A1014" s="1">
        <v>45552</v>
      </c>
      <c r="B1014" t="s">
        <v>201</v>
      </c>
      <c r="C1014" t="s">
        <v>22</v>
      </c>
      <c r="D1014">
        <v>39</v>
      </c>
      <c r="E1014">
        <v>20680</v>
      </c>
      <c r="F1014">
        <v>806520</v>
      </c>
      <c r="G1014" t="s">
        <v>23</v>
      </c>
      <c r="H1014" t="s">
        <v>11</v>
      </c>
      <c r="I1014" t="str">
        <f>TEXT(tblSales[[#This Row],[Date]],"mmm")</f>
        <v>Sep</v>
      </c>
    </row>
    <row r="1015" spans="1:9" x14ac:dyDescent="0.3">
      <c r="A1015" s="1">
        <v>45556</v>
      </c>
      <c r="B1015" t="s">
        <v>223</v>
      </c>
      <c r="C1015" t="s">
        <v>13</v>
      </c>
      <c r="D1015">
        <v>3</v>
      </c>
      <c r="E1015">
        <v>11747</v>
      </c>
      <c r="F1015">
        <v>35241</v>
      </c>
      <c r="G1015" t="s">
        <v>23</v>
      </c>
      <c r="H1015" t="s">
        <v>11</v>
      </c>
      <c r="I1015" t="str">
        <f>TEXT(tblSales[[#This Row],[Date]],"mmm")</f>
        <v>Sep</v>
      </c>
    </row>
    <row r="1016" spans="1:9" x14ac:dyDescent="0.3">
      <c r="A1016" s="1">
        <v>45541</v>
      </c>
      <c r="B1016" t="s">
        <v>233</v>
      </c>
      <c r="C1016" t="s">
        <v>22</v>
      </c>
      <c r="D1016">
        <v>35</v>
      </c>
      <c r="E1016">
        <v>7250</v>
      </c>
      <c r="F1016">
        <v>253750</v>
      </c>
      <c r="G1016" t="s">
        <v>19</v>
      </c>
      <c r="H1016" t="s">
        <v>17</v>
      </c>
      <c r="I1016" t="str">
        <f>TEXT(tblSales[[#This Row],[Date]],"mmm")</f>
        <v>Sep</v>
      </c>
    </row>
    <row r="1017" spans="1:9" x14ac:dyDescent="0.3">
      <c r="A1017" s="1">
        <v>45548</v>
      </c>
      <c r="B1017" t="s">
        <v>242</v>
      </c>
      <c r="C1017" t="s">
        <v>26</v>
      </c>
      <c r="D1017">
        <v>8</v>
      </c>
      <c r="E1017">
        <v>29550</v>
      </c>
      <c r="F1017">
        <v>236400</v>
      </c>
      <c r="G1017" t="s">
        <v>23</v>
      </c>
      <c r="H1017" t="s">
        <v>17</v>
      </c>
      <c r="I1017" t="str">
        <f>TEXT(tblSales[[#This Row],[Date]],"mmm")</f>
        <v>Sep</v>
      </c>
    </row>
    <row r="1018" spans="1:9" x14ac:dyDescent="0.3">
      <c r="A1018" s="1">
        <v>45551</v>
      </c>
      <c r="B1018" t="s">
        <v>243</v>
      </c>
      <c r="C1018" t="s">
        <v>22</v>
      </c>
      <c r="D1018">
        <v>10</v>
      </c>
      <c r="E1018">
        <v>28851</v>
      </c>
      <c r="F1018">
        <v>288510</v>
      </c>
      <c r="G1018" t="s">
        <v>19</v>
      </c>
      <c r="H1018" t="s">
        <v>15</v>
      </c>
      <c r="I1018" t="str">
        <f>TEXT(tblSales[[#This Row],[Date]],"mmm")</f>
        <v>Sep</v>
      </c>
    </row>
    <row r="1019" spans="1:9" x14ac:dyDescent="0.3">
      <c r="A1019" s="1">
        <v>45549</v>
      </c>
      <c r="B1019" t="s">
        <v>251</v>
      </c>
      <c r="C1019" t="s">
        <v>35</v>
      </c>
      <c r="D1019">
        <v>30</v>
      </c>
      <c r="E1019">
        <v>16622</v>
      </c>
      <c r="F1019">
        <v>498660</v>
      </c>
      <c r="G1019" t="s">
        <v>19</v>
      </c>
      <c r="H1019" t="s">
        <v>30</v>
      </c>
      <c r="I1019" t="str">
        <f>TEXT(tblSales[[#This Row],[Date]],"mmm")</f>
        <v>Sep</v>
      </c>
    </row>
    <row r="1020" spans="1:9" x14ac:dyDescent="0.3">
      <c r="A1020" s="1">
        <v>45551</v>
      </c>
      <c r="B1020" t="s">
        <v>257</v>
      </c>
      <c r="C1020" t="s">
        <v>26</v>
      </c>
      <c r="D1020">
        <v>9</v>
      </c>
      <c r="E1020">
        <v>29297</v>
      </c>
      <c r="F1020">
        <v>263673</v>
      </c>
      <c r="G1020" t="s">
        <v>19</v>
      </c>
      <c r="H1020" t="s">
        <v>11</v>
      </c>
      <c r="I1020" t="str">
        <f>TEXT(tblSales[[#This Row],[Date]],"mmm")</f>
        <v>Sep</v>
      </c>
    </row>
    <row r="1021" spans="1:9" x14ac:dyDescent="0.3">
      <c r="A1021" s="1">
        <v>45561</v>
      </c>
      <c r="B1021" t="s">
        <v>280</v>
      </c>
      <c r="C1021" t="s">
        <v>35</v>
      </c>
      <c r="D1021">
        <v>39</v>
      </c>
      <c r="E1021">
        <v>13391</v>
      </c>
      <c r="F1021">
        <v>522249</v>
      </c>
      <c r="G1021" t="s">
        <v>14</v>
      </c>
      <c r="H1021" t="s">
        <v>17</v>
      </c>
      <c r="I1021" t="str">
        <f>TEXT(tblSales[[#This Row],[Date]],"mmm")</f>
        <v>Sep</v>
      </c>
    </row>
    <row r="1022" spans="1:9" x14ac:dyDescent="0.3">
      <c r="A1022" s="1">
        <v>45557</v>
      </c>
      <c r="B1022" t="s">
        <v>291</v>
      </c>
      <c r="C1022" t="s">
        <v>26</v>
      </c>
      <c r="D1022">
        <v>37</v>
      </c>
      <c r="E1022">
        <v>11472</v>
      </c>
      <c r="F1022">
        <v>424464</v>
      </c>
      <c r="G1022" t="s">
        <v>10</v>
      </c>
      <c r="H1022" t="s">
        <v>27</v>
      </c>
      <c r="I1022" t="str">
        <f>TEXT(tblSales[[#This Row],[Date]],"mmm")</f>
        <v>Sep</v>
      </c>
    </row>
    <row r="1023" spans="1:9" x14ac:dyDescent="0.3">
      <c r="A1023" s="1">
        <v>45537</v>
      </c>
      <c r="B1023" t="s">
        <v>301</v>
      </c>
      <c r="C1023" t="s">
        <v>22</v>
      </c>
      <c r="D1023">
        <v>38</v>
      </c>
      <c r="E1023">
        <v>44403</v>
      </c>
      <c r="F1023">
        <v>1687314</v>
      </c>
      <c r="G1023" t="s">
        <v>14</v>
      </c>
      <c r="H1023" t="s">
        <v>15</v>
      </c>
      <c r="I1023" t="str">
        <f>TEXT(tblSales[[#This Row],[Date]],"mmm")</f>
        <v>Sep</v>
      </c>
    </row>
    <row r="1024" spans="1:9" x14ac:dyDescent="0.3">
      <c r="A1024" s="1">
        <v>45539</v>
      </c>
      <c r="B1024" t="s">
        <v>305</v>
      </c>
      <c r="C1024" t="s">
        <v>35</v>
      </c>
      <c r="D1024">
        <v>22</v>
      </c>
      <c r="E1024">
        <v>29159</v>
      </c>
      <c r="F1024">
        <v>641498</v>
      </c>
      <c r="G1024" t="s">
        <v>19</v>
      </c>
      <c r="H1024" t="s">
        <v>17</v>
      </c>
      <c r="I1024" t="str">
        <f>TEXT(tblSales[[#This Row],[Date]],"mmm")</f>
        <v>Sep</v>
      </c>
    </row>
    <row r="1025" spans="1:9" x14ac:dyDescent="0.3">
      <c r="A1025" s="1">
        <v>45554</v>
      </c>
      <c r="B1025" t="s">
        <v>308</v>
      </c>
      <c r="C1025" t="s">
        <v>26</v>
      </c>
      <c r="D1025">
        <v>18</v>
      </c>
      <c r="E1025">
        <v>8604</v>
      </c>
      <c r="F1025">
        <v>154872</v>
      </c>
      <c r="G1025" t="s">
        <v>19</v>
      </c>
      <c r="H1025" t="s">
        <v>27</v>
      </c>
      <c r="I1025" t="str">
        <f>TEXT(tblSales[[#This Row],[Date]],"mmm")</f>
        <v>Sep</v>
      </c>
    </row>
    <row r="1026" spans="1:9" x14ac:dyDescent="0.3">
      <c r="A1026" s="1">
        <v>45549</v>
      </c>
      <c r="B1026" t="s">
        <v>341</v>
      </c>
      <c r="C1026" t="s">
        <v>26</v>
      </c>
      <c r="D1026">
        <v>33</v>
      </c>
      <c r="E1026">
        <v>12716</v>
      </c>
      <c r="F1026">
        <v>419628</v>
      </c>
      <c r="G1026" t="s">
        <v>10</v>
      </c>
      <c r="H1026" t="s">
        <v>27</v>
      </c>
      <c r="I1026" t="str">
        <f>TEXT(tblSales[[#This Row],[Date]],"mmm")</f>
        <v>Sep</v>
      </c>
    </row>
    <row r="1027" spans="1:9" x14ac:dyDescent="0.3">
      <c r="A1027" s="1">
        <v>45554</v>
      </c>
      <c r="B1027" t="s">
        <v>349</v>
      </c>
      <c r="C1027" t="s">
        <v>13</v>
      </c>
      <c r="D1027">
        <v>26</v>
      </c>
      <c r="E1027">
        <v>15559</v>
      </c>
      <c r="F1027">
        <v>404534</v>
      </c>
      <c r="G1027" t="s">
        <v>23</v>
      </c>
      <c r="H1027" t="s">
        <v>30</v>
      </c>
      <c r="I1027" t="str">
        <f>TEXT(tblSales[[#This Row],[Date]],"mmm")</f>
        <v>Sep</v>
      </c>
    </row>
    <row r="1028" spans="1:9" x14ac:dyDescent="0.3">
      <c r="A1028" s="1">
        <v>45538</v>
      </c>
      <c r="B1028" t="s">
        <v>383</v>
      </c>
      <c r="C1028" t="s">
        <v>26</v>
      </c>
      <c r="D1028">
        <v>22</v>
      </c>
      <c r="E1028">
        <v>27130</v>
      </c>
      <c r="F1028">
        <v>596860</v>
      </c>
      <c r="G1028" t="s">
        <v>19</v>
      </c>
      <c r="H1028" t="s">
        <v>11</v>
      </c>
      <c r="I1028" t="str">
        <f>TEXT(tblSales[[#This Row],[Date]],"mmm")</f>
        <v>Sep</v>
      </c>
    </row>
    <row r="1029" spans="1:9" x14ac:dyDescent="0.3">
      <c r="A1029" s="1">
        <v>45537</v>
      </c>
      <c r="B1029" t="s">
        <v>412</v>
      </c>
      <c r="C1029" t="s">
        <v>9</v>
      </c>
      <c r="D1029">
        <v>33</v>
      </c>
      <c r="E1029">
        <v>25432</v>
      </c>
      <c r="F1029">
        <v>839256</v>
      </c>
      <c r="G1029" t="s">
        <v>19</v>
      </c>
      <c r="H1029" t="s">
        <v>11</v>
      </c>
      <c r="I1029" t="str">
        <f>TEXT(tblSales[[#This Row],[Date]],"mmm")</f>
        <v>Sep</v>
      </c>
    </row>
    <row r="1030" spans="1:9" x14ac:dyDescent="0.3">
      <c r="A1030" s="1">
        <v>45541</v>
      </c>
      <c r="B1030" t="s">
        <v>414</v>
      </c>
      <c r="C1030" t="s">
        <v>26</v>
      </c>
      <c r="D1030">
        <v>38</v>
      </c>
      <c r="E1030">
        <v>30443</v>
      </c>
      <c r="F1030">
        <v>1156834</v>
      </c>
      <c r="G1030" t="s">
        <v>10</v>
      </c>
      <c r="H1030" t="s">
        <v>11</v>
      </c>
      <c r="I1030" t="str">
        <f>TEXT(tblSales[[#This Row],[Date]],"mmm")</f>
        <v>Sep</v>
      </c>
    </row>
    <row r="1031" spans="1:9" x14ac:dyDescent="0.3">
      <c r="A1031" s="1">
        <v>45559</v>
      </c>
      <c r="B1031" t="s">
        <v>417</v>
      </c>
      <c r="C1031" t="s">
        <v>9</v>
      </c>
      <c r="D1031">
        <v>24</v>
      </c>
      <c r="E1031">
        <v>16775</v>
      </c>
      <c r="F1031">
        <v>402600</v>
      </c>
      <c r="G1031" t="s">
        <v>14</v>
      </c>
      <c r="H1031" t="s">
        <v>17</v>
      </c>
      <c r="I1031" t="str">
        <f>TEXT(tblSales[[#This Row],[Date]],"mmm")</f>
        <v>Sep</v>
      </c>
    </row>
    <row r="1032" spans="1:9" x14ac:dyDescent="0.3">
      <c r="A1032" s="1">
        <v>45559</v>
      </c>
      <c r="B1032" t="s">
        <v>418</v>
      </c>
      <c r="C1032" t="s">
        <v>9</v>
      </c>
      <c r="D1032">
        <v>18</v>
      </c>
      <c r="E1032">
        <v>21709</v>
      </c>
      <c r="F1032">
        <v>390762</v>
      </c>
      <c r="G1032" t="s">
        <v>19</v>
      </c>
      <c r="H1032" t="s">
        <v>11</v>
      </c>
      <c r="I1032" t="str">
        <f>TEXT(tblSales[[#This Row],[Date]],"mmm")</f>
        <v>Sep</v>
      </c>
    </row>
    <row r="1033" spans="1:9" x14ac:dyDescent="0.3">
      <c r="A1033" s="1">
        <v>45558</v>
      </c>
      <c r="B1033" t="s">
        <v>419</v>
      </c>
      <c r="C1033" t="s">
        <v>26</v>
      </c>
      <c r="D1033">
        <v>33</v>
      </c>
      <c r="E1033">
        <v>7240</v>
      </c>
      <c r="F1033">
        <v>238920</v>
      </c>
      <c r="G1033" t="s">
        <v>10</v>
      </c>
      <c r="H1033" t="s">
        <v>11</v>
      </c>
      <c r="I1033" t="str">
        <f>TEXT(tblSales[[#This Row],[Date]],"mmm")</f>
        <v>Sep</v>
      </c>
    </row>
    <row r="1034" spans="1:9" x14ac:dyDescent="0.3">
      <c r="A1034" s="1">
        <v>45563</v>
      </c>
      <c r="B1034" t="s">
        <v>429</v>
      </c>
      <c r="C1034" t="s">
        <v>13</v>
      </c>
      <c r="D1034">
        <v>36</v>
      </c>
      <c r="E1034">
        <v>19336</v>
      </c>
      <c r="F1034">
        <v>696096</v>
      </c>
      <c r="G1034" t="s">
        <v>19</v>
      </c>
      <c r="H1034" t="s">
        <v>30</v>
      </c>
      <c r="I1034" t="str">
        <f>TEXT(tblSales[[#This Row],[Date]],"mmm")</f>
        <v>Sep</v>
      </c>
    </row>
    <row r="1035" spans="1:9" x14ac:dyDescent="0.3">
      <c r="A1035" s="1">
        <v>45553</v>
      </c>
      <c r="B1035" t="s">
        <v>445</v>
      </c>
      <c r="C1035" t="s">
        <v>9</v>
      </c>
      <c r="D1035">
        <v>23</v>
      </c>
      <c r="E1035">
        <v>37106</v>
      </c>
      <c r="F1035">
        <v>853438</v>
      </c>
      <c r="G1035" t="s">
        <v>14</v>
      </c>
      <c r="H1035" t="s">
        <v>11</v>
      </c>
      <c r="I1035" t="str">
        <f>TEXT(tblSales[[#This Row],[Date]],"mmm")</f>
        <v>Sep</v>
      </c>
    </row>
    <row r="1036" spans="1:9" x14ac:dyDescent="0.3">
      <c r="A1036" s="1">
        <v>45548</v>
      </c>
      <c r="B1036" t="s">
        <v>464</v>
      </c>
      <c r="C1036" t="s">
        <v>9</v>
      </c>
      <c r="D1036">
        <v>17</v>
      </c>
      <c r="E1036">
        <v>38769</v>
      </c>
      <c r="F1036">
        <v>659073</v>
      </c>
      <c r="G1036" t="s">
        <v>10</v>
      </c>
      <c r="H1036" t="s">
        <v>30</v>
      </c>
      <c r="I1036" t="str">
        <f>TEXT(tblSales[[#This Row],[Date]],"mmm")</f>
        <v>Sep</v>
      </c>
    </row>
    <row r="1037" spans="1:9" x14ac:dyDescent="0.3">
      <c r="A1037" s="1">
        <v>45563</v>
      </c>
      <c r="B1037" t="s">
        <v>471</v>
      </c>
      <c r="C1037" t="s">
        <v>13</v>
      </c>
      <c r="D1037">
        <v>16</v>
      </c>
      <c r="E1037">
        <v>16559</v>
      </c>
      <c r="F1037">
        <v>264944</v>
      </c>
      <c r="G1037" t="s">
        <v>23</v>
      </c>
      <c r="H1037" t="s">
        <v>17</v>
      </c>
      <c r="I1037" t="str">
        <f>TEXT(tblSales[[#This Row],[Date]],"mmm")</f>
        <v>Sep</v>
      </c>
    </row>
    <row r="1038" spans="1:9" x14ac:dyDescent="0.3">
      <c r="A1038" s="1">
        <v>45543</v>
      </c>
      <c r="B1038" t="s">
        <v>488</v>
      </c>
      <c r="C1038" t="s">
        <v>35</v>
      </c>
      <c r="D1038">
        <v>20</v>
      </c>
      <c r="E1038">
        <v>21207</v>
      </c>
      <c r="F1038">
        <v>424140</v>
      </c>
      <c r="G1038" t="s">
        <v>14</v>
      </c>
      <c r="H1038" t="s">
        <v>11</v>
      </c>
      <c r="I1038" t="str">
        <f>TEXT(tblSales[[#This Row],[Date]],"mmm")</f>
        <v>Sep</v>
      </c>
    </row>
    <row r="1039" spans="1:9" x14ac:dyDescent="0.3">
      <c r="A1039" s="1">
        <v>45549</v>
      </c>
      <c r="B1039" t="s">
        <v>493</v>
      </c>
      <c r="C1039" t="s">
        <v>26</v>
      </c>
      <c r="D1039">
        <v>23</v>
      </c>
      <c r="E1039">
        <v>31795</v>
      </c>
      <c r="F1039">
        <v>731285</v>
      </c>
      <c r="G1039" t="s">
        <v>10</v>
      </c>
      <c r="H1039" t="s">
        <v>15</v>
      </c>
      <c r="I1039" t="str">
        <f>TEXT(tblSales[[#This Row],[Date]],"mmm")</f>
        <v>Sep</v>
      </c>
    </row>
    <row r="1040" spans="1:9" x14ac:dyDescent="0.3">
      <c r="A1040" s="1">
        <v>45557</v>
      </c>
      <c r="B1040" t="s">
        <v>498</v>
      </c>
      <c r="C1040" t="s">
        <v>13</v>
      </c>
      <c r="D1040">
        <v>39</v>
      </c>
      <c r="E1040">
        <v>17054</v>
      </c>
      <c r="F1040">
        <v>665106</v>
      </c>
      <c r="G1040" t="s">
        <v>10</v>
      </c>
      <c r="H1040" t="s">
        <v>15</v>
      </c>
      <c r="I1040" t="str">
        <f>TEXT(tblSales[[#This Row],[Date]],"mmm")</f>
        <v>Sep</v>
      </c>
    </row>
    <row r="1041" spans="1:9" x14ac:dyDescent="0.3">
      <c r="A1041" s="1">
        <v>45554</v>
      </c>
      <c r="B1041" t="s">
        <v>501</v>
      </c>
      <c r="C1041" t="s">
        <v>26</v>
      </c>
      <c r="D1041">
        <v>18</v>
      </c>
      <c r="E1041">
        <v>42195</v>
      </c>
      <c r="F1041">
        <v>759510</v>
      </c>
      <c r="G1041" t="s">
        <v>19</v>
      </c>
      <c r="H1041" t="s">
        <v>15</v>
      </c>
      <c r="I1041" t="str">
        <f>TEXT(tblSales[[#This Row],[Date]],"mmm")</f>
        <v>Sep</v>
      </c>
    </row>
    <row r="1042" spans="1:9" x14ac:dyDescent="0.3">
      <c r="A1042" s="1">
        <v>45542</v>
      </c>
      <c r="B1042" t="s">
        <v>502</v>
      </c>
      <c r="C1042" t="s">
        <v>22</v>
      </c>
      <c r="D1042">
        <v>7</v>
      </c>
      <c r="E1042">
        <v>14786</v>
      </c>
      <c r="F1042">
        <v>103502</v>
      </c>
      <c r="G1042" t="s">
        <v>23</v>
      </c>
      <c r="H1042" t="s">
        <v>11</v>
      </c>
      <c r="I1042" t="str">
        <f>TEXT(tblSales[[#This Row],[Date]],"mmm")</f>
        <v>Sep</v>
      </c>
    </row>
    <row r="1043" spans="1:9" x14ac:dyDescent="0.3">
      <c r="A1043" s="1">
        <v>45559</v>
      </c>
      <c r="B1043" t="s">
        <v>504</v>
      </c>
      <c r="C1043" t="s">
        <v>26</v>
      </c>
      <c r="D1043">
        <v>26</v>
      </c>
      <c r="E1043">
        <v>42831</v>
      </c>
      <c r="F1043">
        <v>1113606</v>
      </c>
      <c r="G1043" t="s">
        <v>14</v>
      </c>
      <c r="H1043" t="s">
        <v>15</v>
      </c>
      <c r="I1043" t="str">
        <f>TEXT(tblSales[[#This Row],[Date]],"mmm")</f>
        <v>Sep</v>
      </c>
    </row>
    <row r="1044" spans="1:9" x14ac:dyDescent="0.3">
      <c r="A1044" s="1">
        <v>45547</v>
      </c>
      <c r="B1044" t="s">
        <v>505</v>
      </c>
      <c r="C1044" t="s">
        <v>13</v>
      </c>
      <c r="D1044">
        <v>28</v>
      </c>
      <c r="E1044">
        <v>35066</v>
      </c>
      <c r="F1044">
        <v>981848</v>
      </c>
      <c r="G1044" t="s">
        <v>10</v>
      </c>
      <c r="H1044" t="s">
        <v>11</v>
      </c>
      <c r="I1044" t="str">
        <f>TEXT(tblSales[[#This Row],[Date]],"mmm")</f>
        <v>Sep</v>
      </c>
    </row>
    <row r="1045" spans="1:9" x14ac:dyDescent="0.3">
      <c r="A1045" s="1">
        <v>45560</v>
      </c>
      <c r="B1045" t="s">
        <v>508</v>
      </c>
      <c r="C1045" t="s">
        <v>9</v>
      </c>
      <c r="D1045">
        <v>2</v>
      </c>
      <c r="E1045">
        <v>32379</v>
      </c>
      <c r="F1045">
        <v>64758</v>
      </c>
      <c r="G1045" t="s">
        <v>19</v>
      </c>
      <c r="H1045" t="s">
        <v>17</v>
      </c>
      <c r="I1045" t="str">
        <f>TEXT(tblSales[[#This Row],[Date]],"mmm")</f>
        <v>Sep</v>
      </c>
    </row>
    <row r="1046" spans="1:9" x14ac:dyDescent="0.3">
      <c r="A1046" s="1">
        <v>45554</v>
      </c>
      <c r="B1046" t="s">
        <v>546</v>
      </c>
      <c r="C1046" t="s">
        <v>35</v>
      </c>
      <c r="D1046">
        <v>5</v>
      </c>
      <c r="E1046">
        <v>29275</v>
      </c>
      <c r="F1046">
        <v>146375</v>
      </c>
      <c r="G1046" t="s">
        <v>19</v>
      </c>
      <c r="H1046" t="s">
        <v>17</v>
      </c>
      <c r="I1046" t="str">
        <f>TEXT(tblSales[[#This Row],[Date]],"mmm")</f>
        <v>Sep</v>
      </c>
    </row>
    <row r="1047" spans="1:9" x14ac:dyDescent="0.3">
      <c r="A1047" s="1">
        <v>45551</v>
      </c>
      <c r="B1047" t="s">
        <v>568</v>
      </c>
      <c r="C1047" t="s">
        <v>26</v>
      </c>
      <c r="D1047">
        <v>4</v>
      </c>
      <c r="E1047">
        <v>27726</v>
      </c>
      <c r="F1047">
        <v>110904</v>
      </c>
      <c r="G1047" t="s">
        <v>14</v>
      </c>
      <c r="H1047" t="s">
        <v>11</v>
      </c>
      <c r="I1047" t="str">
        <f>TEXT(tblSales[[#This Row],[Date]],"mmm")</f>
        <v>Sep</v>
      </c>
    </row>
    <row r="1048" spans="1:9" x14ac:dyDescent="0.3">
      <c r="A1048" s="1">
        <v>45545</v>
      </c>
      <c r="B1048" t="s">
        <v>609</v>
      </c>
      <c r="C1048" t="s">
        <v>13</v>
      </c>
      <c r="D1048">
        <v>15</v>
      </c>
      <c r="E1048">
        <v>8068</v>
      </c>
      <c r="F1048">
        <v>121020</v>
      </c>
      <c r="G1048" t="s">
        <v>19</v>
      </c>
      <c r="H1048" t="s">
        <v>17</v>
      </c>
      <c r="I1048" t="str">
        <f>TEXT(tblSales[[#This Row],[Date]],"mmm")</f>
        <v>Sep</v>
      </c>
    </row>
    <row r="1049" spans="1:9" x14ac:dyDescent="0.3">
      <c r="A1049" s="1">
        <v>45555</v>
      </c>
      <c r="B1049" t="s">
        <v>617</v>
      </c>
      <c r="C1049" t="s">
        <v>9</v>
      </c>
      <c r="D1049">
        <v>11</v>
      </c>
      <c r="E1049">
        <v>35310</v>
      </c>
      <c r="F1049">
        <v>388410</v>
      </c>
      <c r="G1049" t="s">
        <v>23</v>
      </c>
      <c r="H1049" t="s">
        <v>11</v>
      </c>
      <c r="I1049" t="str">
        <f>TEXT(tblSales[[#This Row],[Date]],"mmm")</f>
        <v>Sep</v>
      </c>
    </row>
    <row r="1050" spans="1:9" x14ac:dyDescent="0.3">
      <c r="A1050" s="1">
        <v>45552</v>
      </c>
      <c r="B1050" t="s">
        <v>629</v>
      </c>
      <c r="C1050" t="s">
        <v>9</v>
      </c>
      <c r="D1050">
        <v>23</v>
      </c>
      <c r="E1050">
        <v>24744</v>
      </c>
      <c r="F1050">
        <v>569112</v>
      </c>
      <c r="G1050" t="s">
        <v>14</v>
      </c>
      <c r="H1050" t="s">
        <v>27</v>
      </c>
      <c r="I1050" t="str">
        <f>TEXT(tblSales[[#This Row],[Date]],"mmm")</f>
        <v>Sep</v>
      </c>
    </row>
    <row r="1051" spans="1:9" x14ac:dyDescent="0.3">
      <c r="A1051" s="1">
        <v>45545</v>
      </c>
      <c r="B1051" t="s">
        <v>642</v>
      </c>
      <c r="C1051" t="s">
        <v>26</v>
      </c>
      <c r="D1051">
        <v>18</v>
      </c>
      <c r="E1051">
        <v>16855</v>
      </c>
      <c r="F1051">
        <v>303390</v>
      </c>
      <c r="G1051" t="s">
        <v>10</v>
      </c>
      <c r="H1051" t="s">
        <v>11</v>
      </c>
      <c r="I1051" t="str">
        <f>TEXT(tblSales[[#This Row],[Date]],"mmm")</f>
        <v>Sep</v>
      </c>
    </row>
    <row r="1052" spans="1:9" x14ac:dyDescent="0.3">
      <c r="A1052" s="1">
        <v>45557</v>
      </c>
      <c r="B1052" t="s">
        <v>655</v>
      </c>
      <c r="C1052" t="s">
        <v>9</v>
      </c>
      <c r="D1052">
        <v>4</v>
      </c>
      <c r="E1052">
        <v>44864</v>
      </c>
      <c r="F1052">
        <v>179456</v>
      </c>
      <c r="G1052" t="s">
        <v>14</v>
      </c>
      <c r="H1052" t="s">
        <v>30</v>
      </c>
      <c r="I1052" t="str">
        <f>TEXT(tblSales[[#This Row],[Date]],"mmm")</f>
        <v>Sep</v>
      </c>
    </row>
    <row r="1053" spans="1:9" x14ac:dyDescent="0.3">
      <c r="A1053" s="1">
        <v>45558</v>
      </c>
      <c r="B1053" t="s">
        <v>656</v>
      </c>
      <c r="C1053" t="s">
        <v>9</v>
      </c>
      <c r="D1053">
        <v>34</v>
      </c>
      <c r="E1053">
        <v>27042</v>
      </c>
      <c r="F1053">
        <v>919428</v>
      </c>
      <c r="G1053" t="s">
        <v>14</v>
      </c>
      <c r="H1053" t="s">
        <v>15</v>
      </c>
      <c r="I1053" t="str">
        <f>TEXT(tblSales[[#This Row],[Date]],"mmm")</f>
        <v>Sep</v>
      </c>
    </row>
    <row r="1054" spans="1:9" x14ac:dyDescent="0.3">
      <c r="A1054" s="1">
        <v>45561</v>
      </c>
      <c r="B1054" t="s">
        <v>677</v>
      </c>
      <c r="C1054" t="s">
        <v>13</v>
      </c>
      <c r="D1054">
        <v>24</v>
      </c>
      <c r="E1054">
        <v>20749</v>
      </c>
      <c r="F1054">
        <v>497976</v>
      </c>
      <c r="G1054" t="s">
        <v>10</v>
      </c>
      <c r="H1054" t="s">
        <v>11</v>
      </c>
      <c r="I1054" t="str">
        <f>TEXT(tblSales[[#This Row],[Date]],"mmm")</f>
        <v>Sep</v>
      </c>
    </row>
    <row r="1055" spans="1:9" x14ac:dyDescent="0.3">
      <c r="A1055" s="1">
        <v>45553</v>
      </c>
      <c r="B1055" t="s">
        <v>688</v>
      </c>
      <c r="C1055" t="s">
        <v>35</v>
      </c>
      <c r="D1055">
        <v>39</v>
      </c>
      <c r="E1055">
        <v>14018</v>
      </c>
      <c r="F1055">
        <v>546702</v>
      </c>
      <c r="G1055" t="s">
        <v>19</v>
      </c>
      <c r="H1055" t="s">
        <v>27</v>
      </c>
      <c r="I1055" t="str">
        <f>TEXT(tblSales[[#This Row],[Date]],"mmm")</f>
        <v>Sep</v>
      </c>
    </row>
    <row r="1056" spans="1:9" x14ac:dyDescent="0.3">
      <c r="A1056" s="1">
        <v>45540</v>
      </c>
      <c r="B1056" t="s">
        <v>701</v>
      </c>
      <c r="C1056" t="s">
        <v>9</v>
      </c>
      <c r="D1056">
        <v>22</v>
      </c>
      <c r="E1056">
        <v>21271</v>
      </c>
      <c r="F1056">
        <v>467962</v>
      </c>
      <c r="G1056" t="s">
        <v>23</v>
      </c>
      <c r="H1056" t="s">
        <v>11</v>
      </c>
      <c r="I1056" t="str">
        <f>TEXT(tblSales[[#This Row],[Date]],"mmm")</f>
        <v>Sep</v>
      </c>
    </row>
    <row r="1057" spans="1:9" x14ac:dyDescent="0.3">
      <c r="A1057" s="1">
        <v>45563</v>
      </c>
      <c r="B1057" t="s">
        <v>704</v>
      </c>
      <c r="C1057" t="s">
        <v>13</v>
      </c>
      <c r="D1057">
        <v>25</v>
      </c>
      <c r="E1057">
        <v>8907</v>
      </c>
      <c r="F1057">
        <v>222675</v>
      </c>
      <c r="G1057" t="s">
        <v>19</v>
      </c>
      <c r="H1057" t="s">
        <v>11</v>
      </c>
      <c r="I1057" t="str">
        <f>TEXT(tblSales[[#This Row],[Date]],"mmm")</f>
        <v>Sep</v>
      </c>
    </row>
    <row r="1058" spans="1:9" x14ac:dyDescent="0.3">
      <c r="A1058" s="1">
        <v>45557</v>
      </c>
      <c r="B1058" t="s">
        <v>713</v>
      </c>
      <c r="C1058" t="s">
        <v>22</v>
      </c>
      <c r="D1058">
        <v>11</v>
      </c>
      <c r="E1058">
        <v>44071</v>
      </c>
      <c r="F1058">
        <v>484781</v>
      </c>
      <c r="G1058" t="s">
        <v>23</v>
      </c>
      <c r="H1058" t="s">
        <v>11</v>
      </c>
      <c r="I1058" t="str">
        <f>TEXT(tblSales[[#This Row],[Date]],"mmm")</f>
        <v>Sep</v>
      </c>
    </row>
    <row r="1059" spans="1:9" x14ac:dyDescent="0.3">
      <c r="A1059" s="1">
        <v>45559</v>
      </c>
      <c r="B1059" t="s">
        <v>714</v>
      </c>
      <c r="C1059" t="s">
        <v>26</v>
      </c>
      <c r="D1059">
        <v>28</v>
      </c>
      <c r="E1059">
        <v>26693</v>
      </c>
      <c r="F1059">
        <v>747404</v>
      </c>
      <c r="G1059" t="s">
        <v>14</v>
      </c>
      <c r="H1059" t="s">
        <v>11</v>
      </c>
      <c r="I1059" t="str">
        <f>TEXT(tblSales[[#This Row],[Date]],"mmm")</f>
        <v>Sep</v>
      </c>
    </row>
    <row r="1060" spans="1:9" x14ac:dyDescent="0.3">
      <c r="A1060" s="1">
        <v>45541</v>
      </c>
      <c r="B1060" t="s">
        <v>729</v>
      </c>
      <c r="C1060" t="s">
        <v>13</v>
      </c>
      <c r="D1060">
        <v>29</v>
      </c>
      <c r="E1060">
        <v>10436</v>
      </c>
      <c r="F1060">
        <v>302644</v>
      </c>
      <c r="G1060" t="s">
        <v>14</v>
      </c>
      <c r="H1060" t="s">
        <v>30</v>
      </c>
      <c r="I1060" t="str">
        <f>TEXT(tblSales[[#This Row],[Date]],"mmm")</f>
        <v>Sep</v>
      </c>
    </row>
    <row r="1061" spans="1:9" x14ac:dyDescent="0.3">
      <c r="A1061" s="1">
        <v>45545</v>
      </c>
      <c r="B1061" t="s">
        <v>731</v>
      </c>
      <c r="C1061" t="s">
        <v>35</v>
      </c>
      <c r="D1061">
        <v>29</v>
      </c>
      <c r="E1061">
        <v>44163</v>
      </c>
      <c r="F1061">
        <v>1280727</v>
      </c>
      <c r="G1061" t="s">
        <v>23</v>
      </c>
      <c r="H1061" t="s">
        <v>30</v>
      </c>
      <c r="I1061" t="str">
        <f>TEXT(tblSales[[#This Row],[Date]],"mmm")</f>
        <v>Sep</v>
      </c>
    </row>
    <row r="1062" spans="1:9" x14ac:dyDescent="0.3">
      <c r="A1062" s="1">
        <v>45563</v>
      </c>
      <c r="B1062" t="s">
        <v>750</v>
      </c>
      <c r="C1062" t="s">
        <v>22</v>
      </c>
      <c r="D1062">
        <v>34</v>
      </c>
      <c r="E1062">
        <v>14485</v>
      </c>
      <c r="F1062">
        <v>492490</v>
      </c>
      <c r="G1062" t="s">
        <v>19</v>
      </c>
      <c r="H1062" t="s">
        <v>30</v>
      </c>
      <c r="I1062" t="str">
        <f>TEXT(tblSales[[#This Row],[Date]],"mmm")</f>
        <v>Sep</v>
      </c>
    </row>
    <row r="1063" spans="1:9" x14ac:dyDescent="0.3">
      <c r="A1063" s="1">
        <v>45538</v>
      </c>
      <c r="B1063" t="s">
        <v>774</v>
      </c>
      <c r="C1063" t="s">
        <v>22</v>
      </c>
      <c r="D1063">
        <v>35</v>
      </c>
      <c r="E1063">
        <v>36089</v>
      </c>
      <c r="F1063">
        <v>1263115</v>
      </c>
      <c r="G1063" t="s">
        <v>10</v>
      </c>
      <c r="H1063" t="s">
        <v>27</v>
      </c>
      <c r="I1063" t="str">
        <f>TEXT(tblSales[[#This Row],[Date]],"mmm")</f>
        <v>Sep</v>
      </c>
    </row>
    <row r="1064" spans="1:9" x14ac:dyDescent="0.3">
      <c r="A1064" s="1">
        <v>45537</v>
      </c>
      <c r="B1064" t="s">
        <v>782</v>
      </c>
      <c r="C1064" t="s">
        <v>26</v>
      </c>
      <c r="D1064">
        <v>29</v>
      </c>
      <c r="E1064">
        <v>35236</v>
      </c>
      <c r="F1064">
        <v>1021844</v>
      </c>
      <c r="G1064" t="s">
        <v>19</v>
      </c>
      <c r="H1064" t="s">
        <v>11</v>
      </c>
      <c r="I1064" t="str">
        <f>TEXT(tblSales[[#This Row],[Date]],"mmm")</f>
        <v>Sep</v>
      </c>
    </row>
    <row r="1065" spans="1:9" x14ac:dyDescent="0.3">
      <c r="A1065" s="1">
        <v>45538</v>
      </c>
      <c r="B1065" t="s">
        <v>784</v>
      </c>
      <c r="C1065" t="s">
        <v>26</v>
      </c>
      <c r="D1065">
        <v>40</v>
      </c>
      <c r="E1065">
        <v>40358</v>
      </c>
      <c r="F1065">
        <v>1614320</v>
      </c>
      <c r="G1065" t="s">
        <v>19</v>
      </c>
      <c r="H1065" t="s">
        <v>30</v>
      </c>
      <c r="I1065" t="str">
        <f>TEXT(tblSales[[#This Row],[Date]],"mmm")</f>
        <v>Sep</v>
      </c>
    </row>
    <row r="1066" spans="1:9" x14ac:dyDescent="0.3">
      <c r="A1066" s="1">
        <v>45554</v>
      </c>
      <c r="B1066" t="s">
        <v>801</v>
      </c>
      <c r="C1066" t="s">
        <v>9</v>
      </c>
      <c r="D1066">
        <v>39</v>
      </c>
      <c r="E1066">
        <v>31925</v>
      </c>
      <c r="F1066">
        <v>1245075</v>
      </c>
      <c r="G1066" t="s">
        <v>14</v>
      </c>
      <c r="H1066" t="s">
        <v>30</v>
      </c>
      <c r="I1066" t="str">
        <f>TEXT(tblSales[[#This Row],[Date]],"mmm")</f>
        <v>Sep</v>
      </c>
    </row>
    <row r="1067" spans="1:9" x14ac:dyDescent="0.3">
      <c r="A1067" s="1">
        <v>45538</v>
      </c>
      <c r="B1067" t="s">
        <v>837</v>
      </c>
      <c r="C1067" t="s">
        <v>9</v>
      </c>
      <c r="D1067">
        <v>38</v>
      </c>
      <c r="E1067">
        <v>25375</v>
      </c>
      <c r="F1067">
        <v>964250</v>
      </c>
      <c r="G1067" t="s">
        <v>19</v>
      </c>
      <c r="H1067" t="s">
        <v>30</v>
      </c>
      <c r="I1067" t="str">
        <f>TEXT(tblSales[[#This Row],[Date]],"mmm")</f>
        <v>Sep</v>
      </c>
    </row>
    <row r="1068" spans="1:9" x14ac:dyDescent="0.3">
      <c r="A1068" s="1">
        <v>45564</v>
      </c>
      <c r="B1068" t="s">
        <v>839</v>
      </c>
      <c r="C1068" t="s">
        <v>35</v>
      </c>
      <c r="D1068">
        <v>20</v>
      </c>
      <c r="E1068">
        <v>20752</v>
      </c>
      <c r="F1068">
        <v>415040</v>
      </c>
      <c r="G1068" t="s">
        <v>10</v>
      </c>
      <c r="H1068" t="s">
        <v>30</v>
      </c>
      <c r="I1068" t="str">
        <f>TEXT(tblSales[[#This Row],[Date]],"mmm")</f>
        <v>Sep</v>
      </c>
    </row>
    <row r="1069" spans="1:9" x14ac:dyDescent="0.3">
      <c r="A1069" s="1">
        <v>45555</v>
      </c>
      <c r="B1069" t="s">
        <v>840</v>
      </c>
      <c r="C1069" t="s">
        <v>13</v>
      </c>
      <c r="D1069">
        <v>4</v>
      </c>
      <c r="E1069">
        <v>5580</v>
      </c>
      <c r="F1069">
        <v>22320</v>
      </c>
      <c r="G1069" t="s">
        <v>10</v>
      </c>
      <c r="H1069" t="s">
        <v>11</v>
      </c>
      <c r="I1069" t="str">
        <f>TEXT(tblSales[[#This Row],[Date]],"mmm")</f>
        <v>Sep</v>
      </c>
    </row>
    <row r="1070" spans="1:9" x14ac:dyDescent="0.3">
      <c r="A1070" s="1">
        <v>45555</v>
      </c>
      <c r="B1070" t="s">
        <v>845</v>
      </c>
      <c r="C1070" t="s">
        <v>9</v>
      </c>
      <c r="D1070">
        <v>8</v>
      </c>
      <c r="E1070">
        <v>30034</v>
      </c>
      <c r="F1070">
        <v>240272</v>
      </c>
      <c r="G1070" t="s">
        <v>10</v>
      </c>
      <c r="H1070" t="s">
        <v>17</v>
      </c>
      <c r="I1070" t="str">
        <f>TEXT(tblSales[[#This Row],[Date]],"mmm")</f>
        <v>Sep</v>
      </c>
    </row>
    <row r="1071" spans="1:9" x14ac:dyDescent="0.3">
      <c r="A1071" s="1">
        <v>45538</v>
      </c>
      <c r="B1071" t="s">
        <v>849</v>
      </c>
      <c r="C1071" t="s">
        <v>26</v>
      </c>
      <c r="D1071">
        <v>21</v>
      </c>
      <c r="E1071">
        <v>20033</v>
      </c>
      <c r="F1071">
        <v>420693</v>
      </c>
      <c r="G1071" t="s">
        <v>19</v>
      </c>
      <c r="H1071" t="s">
        <v>30</v>
      </c>
      <c r="I1071" t="str">
        <f>TEXT(tblSales[[#This Row],[Date]],"mmm")</f>
        <v>Sep</v>
      </c>
    </row>
    <row r="1072" spans="1:9" x14ac:dyDescent="0.3">
      <c r="A1072" s="1">
        <v>45565</v>
      </c>
      <c r="B1072" t="s">
        <v>859</v>
      </c>
      <c r="C1072" t="s">
        <v>9</v>
      </c>
      <c r="D1072">
        <v>34</v>
      </c>
      <c r="E1072">
        <v>33509</v>
      </c>
      <c r="F1072">
        <v>1139306</v>
      </c>
      <c r="G1072" t="s">
        <v>10</v>
      </c>
      <c r="H1072" t="s">
        <v>15</v>
      </c>
      <c r="I1072" t="str">
        <f>TEXT(tblSales[[#This Row],[Date]],"mmm")</f>
        <v>Sep</v>
      </c>
    </row>
    <row r="1073" spans="1:9" x14ac:dyDescent="0.3">
      <c r="A1073" s="1">
        <v>45560</v>
      </c>
      <c r="B1073" t="s">
        <v>860</v>
      </c>
      <c r="C1073" t="s">
        <v>26</v>
      </c>
      <c r="D1073">
        <v>20</v>
      </c>
      <c r="E1073">
        <v>29163</v>
      </c>
      <c r="F1073">
        <v>583260</v>
      </c>
      <c r="G1073" t="s">
        <v>19</v>
      </c>
      <c r="H1073" t="s">
        <v>30</v>
      </c>
      <c r="I1073" t="str">
        <f>TEXT(tblSales[[#This Row],[Date]],"mmm")</f>
        <v>Sep</v>
      </c>
    </row>
    <row r="1074" spans="1:9" x14ac:dyDescent="0.3">
      <c r="A1074" s="1">
        <v>45549</v>
      </c>
      <c r="B1074" t="s">
        <v>884</v>
      </c>
      <c r="C1074" t="s">
        <v>9</v>
      </c>
      <c r="D1074">
        <v>39</v>
      </c>
      <c r="E1074">
        <v>26661</v>
      </c>
      <c r="F1074">
        <v>1039779</v>
      </c>
      <c r="G1074" t="s">
        <v>23</v>
      </c>
      <c r="H1074" t="s">
        <v>15</v>
      </c>
      <c r="I1074" t="str">
        <f>TEXT(tblSales[[#This Row],[Date]],"mmm")</f>
        <v>Sep</v>
      </c>
    </row>
    <row r="1075" spans="1:9" x14ac:dyDescent="0.3">
      <c r="A1075" s="1">
        <v>45560</v>
      </c>
      <c r="B1075" t="s">
        <v>893</v>
      </c>
      <c r="C1075" t="s">
        <v>22</v>
      </c>
      <c r="D1075">
        <v>8</v>
      </c>
      <c r="E1075">
        <v>8658</v>
      </c>
      <c r="F1075">
        <v>69264</v>
      </c>
      <c r="G1075" t="s">
        <v>10</v>
      </c>
      <c r="H1075" t="s">
        <v>27</v>
      </c>
      <c r="I1075" t="str">
        <f>TEXT(tblSales[[#This Row],[Date]],"mmm")</f>
        <v>Sep</v>
      </c>
    </row>
    <row r="1076" spans="1:9" x14ac:dyDescent="0.3">
      <c r="A1076" s="1">
        <v>45538</v>
      </c>
      <c r="B1076" t="s">
        <v>903</v>
      </c>
      <c r="C1076" t="s">
        <v>35</v>
      </c>
      <c r="D1076">
        <v>32</v>
      </c>
      <c r="E1076">
        <v>30172</v>
      </c>
      <c r="F1076">
        <v>965504</v>
      </c>
      <c r="G1076" t="s">
        <v>19</v>
      </c>
      <c r="H1076" t="s">
        <v>30</v>
      </c>
      <c r="I1076" t="str">
        <f>TEXT(tblSales[[#This Row],[Date]],"mmm")</f>
        <v>Sep</v>
      </c>
    </row>
    <row r="1077" spans="1:9" x14ac:dyDescent="0.3">
      <c r="A1077" s="1">
        <v>45539</v>
      </c>
      <c r="B1077" t="s">
        <v>918</v>
      </c>
      <c r="C1077" t="s">
        <v>26</v>
      </c>
      <c r="D1077">
        <v>24</v>
      </c>
      <c r="E1077">
        <v>36392</v>
      </c>
      <c r="F1077">
        <v>873408</v>
      </c>
      <c r="G1077" t="s">
        <v>19</v>
      </c>
      <c r="H1077" t="s">
        <v>15</v>
      </c>
      <c r="I1077" t="str">
        <f>TEXT(tblSales[[#This Row],[Date]],"mmm")</f>
        <v>Sep</v>
      </c>
    </row>
    <row r="1078" spans="1:9" x14ac:dyDescent="0.3">
      <c r="A1078" s="1">
        <v>45536</v>
      </c>
      <c r="B1078" t="s">
        <v>948</v>
      </c>
      <c r="C1078" t="s">
        <v>26</v>
      </c>
      <c r="D1078">
        <v>4</v>
      </c>
      <c r="E1078">
        <v>17649</v>
      </c>
      <c r="F1078">
        <v>70596</v>
      </c>
      <c r="G1078" t="s">
        <v>10</v>
      </c>
      <c r="H1078" t="s">
        <v>17</v>
      </c>
      <c r="I1078" t="str">
        <f>TEXT(tblSales[[#This Row],[Date]],"mmm")</f>
        <v>Sep</v>
      </c>
    </row>
    <row r="1079" spans="1:9" x14ac:dyDescent="0.3">
      <c r="A1079" s="1">
        <v>45562</v>
      </c>
      <c r="B1079" t="s">
        <v>949</v>
      </c>
      <c r="C1079" t="s">
        <v>22</v>
      </c>
      <c r="D1079">
        <v>19</v>
      </c>
      <c r="E1079">
        <v>38624</v>
      </c>
      <c r="F1079">
        <v>733856</v>
      </c>
      <c r="G1079" t="s">
        <v>10</v>
      </c>
      <c r="H1079" t="s">
        <v>30</v>
      </c>
      <c r="I1079" t="str">
        <f>TEXT(tblSales[[#This Row],[Date]],"mmm")</f>
        <v>Sep</v>
      </c>
    </row>
    <row r="1080" spans="1:9" x14ac:dyDescent="0.3">
      <c r="A1080" s="1">
        <v>45546</v>
      </c>
      <c r="B1080" t="s">
        <v>954</v>
      </c>
      <c r="C1080" t="s">
        <v>35</v>
      </c>
      <c r="D1080">
        <v>33</v>
      </c>
      <c r="E1080">
        <v>20608</v>
      </c>
      <c r="F1080">
        <v>680064</v>
      </c>
      <c r="G1080" t="s">
        <v>19</v>
      </c>
      <c r="H1080" t="s">
        <v>27</v>
      </c>
      <c r="I1080" t="str">
        <f>TEXT(tblSales[[#This Row],[Date]],"mmm")</f>
        <v>Sep</v>
      </c>
    </row>
    <row r="1081" spans="1:9" x14ac:dyDescent="0.3">
      <c r="A1081" s="1">
        <v>45561</v>
      </c>
      <c r="B1081" t="s">
        <v>1014</v>
      </c>
      <c r="C1081" t="s">
        <v>9</v>
      </c>
      <c r="D1081">
        <v>36</v>
      </c>
      <c r="E1081">
        <v>8219</v>
      </c>
      <c r="F1081">
        <v>295884</v>
      </c>
      <c r="G1081" t="s">
        <v>19</v>
      </c>
      <c r="H1081" t="s">
        <v>15</v>
      </c>
      <c r="I1081" t="str">
        <f>TEXT(tblSales[[#This Row],[Date]],"mmm")</f>
        <v>Sep</v>
      </c>
    </row>
    <row r="1082" spans="1:9" x14ac:dyDescent="0.3">
      <c r="A1082" s="1">
        <v>45539</v>
      </c>
      <c r="B1082" t="s">
        <v>1031</v>
      </c>
      <c r="C1082" t="s">
        <v>26</v>
      </c>
      <c r="D1082">
        <v>33</v>
      </c>
      <c r="E1082">
        <v>29352</v>
      </c>
      <c r="F1082">
        <v>968616</v>
      </c>
      <c r="G1082" t="s">
        <v>23</v>
      </c>
      <c r="H1082" t="s">
        <v>15</v>
      </c>
      <c r="I1082" t="str">
        <f>TEXT(tblSales[[#This Row],[Date]],"mmm")</f>
        <v>Sep</v>
      </c>
    </row>
    <row r="1083" spans="1:9" x14ac:dyDescent="0.3">
      <c r="A1083" s="1">
        <v>45549</v>
      </c>
      <c r="B1083" t="s">
        <v>1033</v>
      </c>
      <c r="C1083" t="s">
        <v>22</v>
      </c>
      <c r="D1083">
        <v>7</v>
      </c>
      <c r="E1083">
        <v>9974</v>
      </c>
      <c r="F1083">
        <v>69818</v>
      </c>
      <c r="G1083" t="s">
        <v>19</v>
      </c>
      <c r="H1083" t="s">
        <v>27</v>
      </c>
      <c r="I1083" t="str">
        <f>TEXT(tblSales[[#This Row],[Date]],"mmm")</f>
        <v>Sep</v>
      </c>
    </row>
    <row r="1084" spans="1:9" x14ac:dyDescent="0.3">
      <c r="A1084" s="1">
        <v>45547</v>
      </c>
      <c r="B1084" t="s">
        <v>1046</v>
      </c>
      <c r="C1084" t="s">
        <v>26</v>
      </c>
      <c r="D1084">
        <v>16</v>
      </c>
      <c r="E1084">
        <v>30816</v>
      </c>
      <c r="F1084">
        <v>493056</v>
      </c>
      <c r="G1084" t="s">
        <v>14</v>
      </c>
      <c r="H1084" t="s">
        <v>30</v>
      </c>
      <c r="I1084" t="str">
        <f>TEXT(tblSales[[#This Row],[Date]],"mmm")</f>
        <v>Sep</v>
      </c>
    </row>
    <row r="1085" spans="1:9" x14ac:dyDescent="0.3">
      <c r="A1085" s="1">
        <v>45563</v>
      </c>
      <c r="B1085" t="s">
        <v>1057</v>
      </c>
      <c r="C1085" t="s">
        <v>35</v>
      </c>
      <c r="D1085">
        <v>19</v>
      </c>
      <c r="E1085">
        <v>41028</v>
      </c>
      <c r="F1085">
        <v>779532</v>
      </c>
      <c r="G1085" t="s">
        <v>14</v>
      </c>
      <c r="H1085" t="s">
        <v>27</v>
      </c>
      <c r="I1085" t="str">
        <f>TEXT(tblSales[[#This Row],[Date]],"mmm")</f>
        <v>Sep</v>
      </c>
    </row>
    <row r="1086" spans="1:9" x14ac:dyDescent="0.3">
      <c r="A1086" s="1">
        <v>45556</v>
      </c>
      <c r="B1086" t="s">
        <v>1069</v>
      </c>
      <c r="C1086" t="s">
        <v>22</v>
      </c>
      <c r="D1086">
        <v>32</v>
      </c>
      <c r="E1086">
        <v>6365</v>
      </c>
      <c r="F1086">
        <v>203680</v>
      </c>
      <c r="G1086" t="s">
        <v>10</v>
      </c>
      <c r="H1086" t="s">
        <v>11</v>
      </c>
      <c r="I1086" t="str">
        <f>TEXT(tblSales[[#This Row],[Date]],"mmm")</f>
        <v>Sep</v>
      </c>
    </row>
    <row r="1087" spans="1:9" x14ac:dyDescent="0.3">
      <c r="A1087" s="1">
        <v>45553</v>
      </c>
      <c r="B1087" t="s">
        <v>1073</v>
      </c>
      <c r="C1087" t="s">
        <v>26</v>
      </c>
      <c r="D1087">
        <v>9</v>
      </c>
      <c r="E1087">
        <v>6551</v>
      </c>
      <c r="F1087">
        <v>58959</v>
      </c>
      <c r="G1087" t="s">
        <v>19</v>
      </c>
      <c r="H1087" t="s">
        <v>15</v>
      </c>
      <c r="I1087" t="str">
        <f>TEXT(tblSales[[#This Row],[Date]],"mmm")</f>
        <v>Sep</v>
      </c>
    </row>
    <row r="1088" spans="1:9" x14ac:dyDescent="0.3">
      <c r="A1088" s="1">
        <v>45565</v>
      </c>
      <c r="B1088" t="s">
        <v>1084</v>
      </c>
      <c r="C1088" t="s">
        <v>22</v>
      </c>
      <c r="D1088">
        <v>36</v>
      </c>
      <c r="E1088">
        <v>43126</v>
      </c>
      <c r="F1088">
        <v>1552536</v>
      </c>
      <c r="G1088" t="s">
        <v>23</v>
      </c>
      <c r="H1088" t="s">
        <v>30</v>
      </c>
      <c r="I1088" t="str">
        <f>TEXT(tblSales[[#This Row],[Date]],"mmm")</f>
        <v>Sep</v>
      </c>
    </row>
    <row r="1089" spans="1:9" x14ac:dyDescent="0.3">
      <c r="A1089" s="1">
        <v>45542</v>
      </c>
      <c r="B1089" t="s">
        <v>1087</v>
      </c>
      <c r="C1089" t="s">
        <v>26</v>
      </c>
      <c r="D1089">
        <v>21</v>
      </c>
      <c r="E1089">
        <v>32332</v>
      </c>
      <c r="F1089">
        <v>678972</v>
      </c>
      <c r="G1089" t="s">
        <v>14</v>
      </c>
      <c r="H1089" t="s">
        <v>17</v>
      </c>
      <c r="I1089" t="str">
        <f>TEXT(tblSales[[#This Row],[Date]],"mmm")</f>
        <v>Sep</v>
      </c>
    </row>
    <row r="1090" spans="1:9" x14ac:dyDescent="0.3">
      <c r="A1090" s="1">
        <v>45542</v>
      </c>
      <c r="B1090" t="s">
        <v>1095</v>
      </c>
      <c r="C1090" t="s">
        <v>26</v>
      </c>
      <c r="D1090">
        <v>40</v>
      </c>
      <c r="E1090">
        <v>6713</v>
      </c>
      <c r="F1090">
        <v>268520</v>
      </c>
      <c r="G1090" t="s">
        <v>23</v>
      </c>
      <c r="H1090" t="s">
        <v>17</v>
      </c>
      <c r="I1090" t="str">
        <f>TEXT(tblSales[[#This Row],[Date]],"mmm")</f>
        <v>Sep</v>
      </c>
    </row>
    <row r="1091" spans="1:9" x14ac:dyDescent="0.3">
      <c r="A1091" s="1">
        <v>45543</v>
      </c>
      <c r="B1091" t="s">
        <v>1101</v>
      </c>
      <c r="C1091" t="s">
        <v>26</v>
      </c>
      <c r="D1091">
        <v>24</v>
      </c>
      <c r="E1091">
        <v>24348</v>
      </c>
      <c r="F1091">
        <v>584352</v>
      </c>
      <c r="G1091" t="s">
        <v>10</v>
      </c>
      <c r="H1091" t="s">
        <v>15</v>
      </c>
      <c r="I1091" t="str">
        <f>TEXT(tblSales[[#This Row],[Date]],"mmm")</f>
        <v>Sep</v>
      </c>
    </row>
    <row r="1092" spans="1:9" x14ac:dyDescent="0.3">
      <c r="A1092" s="1">
        <v>45562</v>
      </c>
      <c r="B1092" t="s">
        <v>1106</v>
      </c>
      <c r="C1092" t="s">
        <v>13</v>
      </c>
      <c r="D1092">
        <v>16</v>
      </c>
      <c r="E1092">
        <v>23552</v>
      </c>
      <c r="F1092">
        <v>376832</v>
      </c>
      <c r="G1092" t="s">
        <v>10</v>
      </c>
      <c r="H1092" t="s">
        <v>27</v>
      </c>
      <c r="I1092" t="str">
        <f>TEXT(tblSales[[#This Row],[Date]],"mmm")</f>
        <v>Sep</v>
      </c>
    </row>
    <row r="1093" spans="1:9" x14ac:dyDescent="0.3">
      <c r="A1093" s="1">
        <v>45538</v>
      </c>
      <c r="B1093" t="s">
        <v>1121</v>
      </c>
      <c r="C1093" t="s">
        <v>22</v>
      </c>
      <c r="D1093">
        <v>26</v>
      </c>
      <c r="E1093">
        <v>12133</v>
      </c>
      <c r="F1093">
        <v>315458</v>
      </c>
      <c r="G1093" t="s">
        <v>14</v>
      </c>
      <c r="H1093" t="s">
        <v>11</v>
      </c>
      <c r="I1093" t="str">
        <f>TEXT(tblSales[[#This Row],[Date]],"mmm")</f>
        <v>Sep</v>
      </c>
    </row>
    <row r="1094" spans="1:9" x14ac:dyDescent="0.3">
      <c r="A1094" s="1">
        <v>45538</v>
      </c>
      <c r="B1094" t="s">
        <v>1131</v>
      </c>
      <c r="C1094" t="s">
        <v>9</v>
      </c>
      <c r="D1094">
        <v>14</v>
      </c>
      <c r="E1094">
        <v>12188</v>
      </c>
      <c r="F1094">
        <v>170632</v>
      </c>
      <c r="G1094" t="s">
        <v>14</v>
      </c>
      <c r="H1094" t="s">
        <v>11</v>
      </c>
      <c r="I1094" t="str">
        <f>TEXT(tblSales[[#This Row],[Date]],"mmm")</f>
        <v>Sep</v>
      </c>
    </row>
    <row r="1095" spans="1:9" x14ac:dyDescent="0.3">
      <c r="A1095" s="1">
        <v>45560</v>
      </c>
      <c r="B1095" t="s">
        <v>1139</v>
      </c>
      <c r="C1095" t="s">
        <v>22</v>
      </c>
      <c r="D1095">
        <v>1</v>
      </c>
      <c r="E1095">
        <v>9611</v>
      </c>
      <c r="F1095">
        <v>9611</v>
      </c>
      <c r="G1095" t="s">
        <v>14</v>
      </c>
      <c r="H1095" t="s">
        <v>30</v>
      </c>
      <c r="I1095" t="str">
        <f>TEXT(tblSales[[#This Row],[Date]],"mmm")</f>
        <v>Sep</v>
      </c>
    </row>
    <row r="1096" spans="1:9" x14ac:dyDescent="0.3">
      <c r="A1096" s="1">
        <v>45563</v>
      </c>
      <c r="B1096" t="s">
        <v>1150</v>
      </c>
      <c r="C1096" t="s">
        <v>13</v>
      </c>
      <c r="D1096">
        <v>28</v>
      </c>
      <c r="E1096">
        <v>34214</v>
      </c>
      <c r="F1096">
        <v>957992</v>
      </c>
      <c r="G1096" t="s">
        <v>14</v>
      </c>
      <c r="H1096" t="s">
        <v>30</v>
      </c>
      <c r="I1096" t="str">
        <f>TEXT(tblSales[[#This Row],[Date]],"mmm")</f>
        <v>Sep</v>
      </c>
    </row>
    <row r="1097" spans="1:9" x14ac:dyDescent="0.3">
      <c r="A1097" s="1">
        <v>45554</v>
      </c>
      <c r="B1097" t="s">
        <v>1151</v>
      </c>
      <c r="C1097" t="s">
        <v>22</v>
      </c>
      <c r="D1097">
        <v>7</v>
      </c>
      <c r="E1097">
        <v>12387</v>
      </c>
      <c r="F1097">
        <v>86709</v>
      </c>
      <c r="G1097" t="s">
        <v>10</v>
      </c>
      <c r="H1097" t="s">
        <v>15</v>
      </c>
      <c r="I1097" t="str">
        <f>TEXT(tblSales[[#This Row],[Date]],"mmm")</f>
        <v>Sep</v>
      </c>
    </row>
    <row r="1098" spans="1:9" x14ac:dyDescent="0.3">
      <c r="A1098" s="1">
        <v>45561</v>
      </c>
      <c r="B1098" t="s">
        <v>1156</v>
      </c>
      <c r="C1098" t="s">
        <v>35</v>
      </c>
      <c r="D1098">
        <v>14</v>
      </c>
      <c r="E1098">
        <v>10617</v>
      </c>
      <c r="F1098">
        <v>148638</v>
      </c>
      <c r="G1098" t="s">
        <v>14</v>
      </c>
      <c r="H1098" t="s">
        <v>15</v>
      </c>
      <c r="I1098" t="str">
        <f>TEXT(tblSales[[#This Row],[Date]],"mmm")</f>
        <v>Sep</v>
      </c>
    </row>
    <row r="1099" spans="1:9" x14ac:dyDescent="0.3">
      <c r="A1099" s="1">
        <v>45548</v>
      </c>
      <c r="B1099" t="s">
        <v>1161</v>
      </c>
      <c r="C1099" t="s">
        <v>22</v>
      </c>
      <c r="D1099">
        <v>19</v>
      </c>
      <c r="E1099">
        <v>11013</v>
      </c>
      <c r="F1099">
        <v>209247</v>
      </c>
      <c r="G1099" t="s">
        <v>23</v>
      </c>
      <c r="H1099" t="s">
        <v>15</v>
      </c>
      <c r="I1099" t="str">
        <f>TEXT(tblSales[[#This Row],[Date]],"mmm")</f>
        <v>Sep</v>
      </c>
    </row>
    <row r="1100" spans="1:9" x14ac:dyDescent="0.3">
      <c r="A1100" s="1">
        <v>45543</v>
      </c>
      <c r="B1100" t="s">
        <v>1170</v>
      </c>
      <c r="C1100" t="s">
        <v>13</v>
      </c>
      <c r="D1100">
        <v>24</v>
      </c>
      <c r="E1100">
        <v>32525</v>
      </c>
      <c r="F1100">
        <v>780600</v>
      </c>
      <c r="G1100" t="s">
        <v>19</v>
      </c>
      <c r="H1100" t="s">
        <v>11</v>
      </c>
      <c r="I1100" t="str">
        <f>TEXT(tblSales[[#This Row],[Date]],"mmm")</f>
        <v>Sep</v>
      </c>
    </row>
    <row r="1101" spans="1:9" x14ac:dyDescent="0.3">
      <c r="A1101" s="1">
        <v>45556</v>
      </c>
      <c r="B1101" t="s">
        <v>1177</v>
      </c>
      <c r="C1101" t="s">
        <v>26</v>
      </c>
      <c r="D1101">
        <v>3</v>
      </c>
      <c r="E1101">
        <v>28327</v>
      </c>
      <c r="F1101">
        <v>84981</v>
      </c>
      <c r="G1101" t="s">
        <v>23</v>
      </c>
      <c r="H1101" t="s">
        <v>30</v>
      </c>
      <c r="I1101" t="str">
        <f>TEXT(tblSales[[#This Row],[Date]],"mmm")</f>
        <v>Sep</v>
      </c>
    </row>
    <row r="1102" spans="1:9" x14ac:dyDescent="0.3">
      <c r="A1102" s="1">
        <v>45551</v>
      </c>
      <c r="B1102" t="s">
        <v>1224</v>
      </c>
      <c r="C1102" t="s">
        <v>13</v>
      </c>
      <c r="D1102">
        <v>32</v>
      </c>
      <c r="E1102">
        <v>21089</v>
      </c>
      <c r="F1102">
        <v>674848</v>
      </c>
      <c r="G1102" t="s">
        <v>23</v>
      </c>
      <c r="H1102" t="s">
        <v>27</v>
      </c>
      <c r="I1102" t="str">
        <f>TEXT(tblSales[[#This Row],[Date]],"mmm")</f>
        <v>Sep</v>
      </c>
    </row>
    <row r="1103" spans="1:9" x14ac:dyDescent="0.3">
      <c r="A1103" s="1">
        <v>45544</v>
      </c>
      <c r="B1103" t="s">
        <v>1243</v>
      </c>
      <c r="C1103" t="s">
        <v>26</v>
      </c>
      <c r="D1103">
        <v>30</v>
      </c>
      <c r="E1103">
        <v>18930</v>
      </c>
      <c r="F1103">
        <v>567900</v>
      </c>
      <c r="G1103" t="s">
        <v>10</v>
      </c>
      <c r="H1103" t="s">
        <v>17</v>
      </c>
      <c r="I1103" t="str">
        <f>TEXT(tblSales[[#This Row],[Date]],"mmm")</f>
        <v>Sep</v>
      </c>
    </row>
    <row r="1104" spans="1:9" x14ac:dyDescent="0.3">
      <c r="A1104" s="1">
        <v>45538</v>
      </c>
      <c r="B1104" t="s">
        <v>1246</v>
      </c>
      <c r="C1104" t="s">
        <v>26</v>
      </c>
      <c r="D1104">
        <v>26</v>
      </c>
      <c r="E1104">
        <v>35796</v>
      </c>
      <c r="F1104">
        <v>930696</v>
      </c>
      <c r="G1104" t="s">
        <v>14</v>
      </c>
      <c r="H1104" t="s">
        <v>27</v>
      </c>
      <c r="I1104" t="str">
        <f>TEXT(tblSales[[#This Row],[Date]],"mmm")</f>
        <v>Sep</v>
      </c>
    </row>
    <row r="1105" spans="1:9" x14ac:dyDescent="0.3">
      <c r="A1105" s="1">
        <v>45559</v>
      </c>
      <c r="B1105" t="s">
        <v>1267</v>
      </c>
      <c r="C1105" t="s">
        <v>35</v>
      </c>
      <c r="D1105">
        <v>26</v>
      </c>
      <c r="E1105">
        <v>41047</v>
      </c>
      <c r="F1105">
        <v>1067222</v>
      </c>
      <c r="G1105" t="s">
        <v>23</v>
      </c>
      <c r="H1105" t="s">
        <v>30</v>
      </c>
      <c r="I1105" t="str">
        <f>TEXT(tblSales[[#This Row],[Date]],"mmm")</f>
        <v>Sep</v>
      </c>
    </row>
    <row r="1106" spans="1:9" x14ac:dyDescent="0.3">
      <c r="A1106" s="1">
        <v>45551</v>
      </c>
      <c r="B1106" t="s">
        <v>1271</v>
      </c>
      <c r="C1106" t="s">
        <v>13</v>
      </c>
      <c r="D1106">
        <v>25</v>
      </c>
      <c r="E1106">
        <v>15315</v>
      </c>
      <c r="F1106">
        <v>382875</v>
      </c>
      <c r="G1106" t="s">
        <v>14</v>
      </c>
      <c r="H1106" t="s">
        <v>11</v>
      </c>
      <c r="I1106" t="str">
        <f>TEXT(tblSales[[#This Row],[Date]],"mmm")</f>
        <v>Sep</v>
      </c>
    </row>
    <row r="1107" spans="1:9" x14ac:dyDescent="0.3">
      <c r="A1107" s="1">
        <v>45549</v>
      </c>
      <c r="B1107" t="s">
        <v>1276</v>
      </c>
      <c r="C1107" t="s">
        <v>13</v>
      </c>
      <c r="D1107">
        <v>23</v>
      </c>
      <c r="E1107">
        <v>38308</v>
      </c>
      <c r="F1107">
        <v>881084</v>
      </c>
      <c r="G1107" t="s">
        <v>14</v>
      </c>
      <c r="H1107" t="s">
        <v>30</v>
      </c>
      <c r="I1107" t="str">
        <f>TEXT(tblSales[[#This Row],[Date]],"mmm")</f>
        <v>Sep</v>
      </c>
    </row>
    <row r="1108" spans="1:9" x14ac:dyDescent="0.3">
      <c r="A1108" s="1">
        <v>45564</v>
      </c>
      <c r="B1108" t="s">
        <v>1279</v>
      </c>
      <c r="C1108" t="s">
        <v>9</v>
      </c>
      <c r="D1108">
        <v>39</v>
      </c>
      <c r="E1108">
        <v>35320</v>
      </c>
      <c r="F1108">
        <v>1377480</v>
      </c>
      <c r="G1108" t="s">
        <v>10</v>
      </c>
      <c r="H1108" t="s">
        <v>17</v>
      </c>
      <c r="I1108" t="str">
        <f>TEXT(tblSales[[#This Row],[Date]],"mmm")</f>
        <v>Sep</v>
      </c>
    </row>
    <row r="1109" spans="1:9" x14ac:dyDescent="0.3">
      <c r="A1109" s="1">
        <v>45549</v>
      </c>
      <c r="B1109" t="s">
        <v>1301</v>
      </c>
      <c r="C1109" t="s">
        <v>35</v>
      </c>
      <c r="D1109">
        <v>13</v>
      </c>
      <c r="E1109">
        <v>27547</v>
      </c>
      <c r="F1109">
        <v>358111</v>
      </c>
      <c r="G1109" t="s">
        <v>23</v>
      </c>
      <c r="H1109" t="s">
        <v>15</v>
      </c>
      <c r="I1109" t="str">
        <f>TEXT(tblSales[[#This Row],[Date]],"mmm")</f>
        <v>Sep</v>
      </c>
    </row>
    <row r="1110" spans="1:9" x14ac:dyDescent="0.3">
      <c r="A1110" s="1">
        <v>45554</v>
      </c>
      <c r="B1110" t="s">
        <v>1304</v>
      </c>
      <c r="C1110" t="s">
        <v>13</v>
      </c>
      <c r="D1110">
        <v>34</v>
      </c>
      <c r="E1110">
        <v>28751</v>
      </c>
      <c r="F1110">
        <v>977534</v>
      </c>
      <c r="G1110" t="s">
        <v>10</v>
      </c>
      <c r="H1110" t="s">
        <v>17</v>
      </c>
      <c r="I1110" t="str">
        <f>TEXT(tblSales[[#This Row],[Date]],"mmm")</f>
        <v>Sep</v>
      </c>
    </row>
    <row r="1111" spans="1:9" x14ac:dyDescent="0.3">
      <c r="A1111" s="1">
        <v>45554</v>
      </c>
      <c r="B1111" t="s">
        <v>1309</v>
      </c>
      <c r="C1111" t="s">
        <v>13</v>
      </c>
      <c r="D1111">
        <v>12</v>
      </c>
      <c r="E1111">
        <v>23249</v>
      </c>
      <c r="F1111">
        <v>278988</v>
      </c>
      <c r="G1111" t="s">
        <v>23</v>
      </c>
      <c r="H1111" t="s">
        <v>30</v>
      </c>
      <c r="I1111" t="str">
        <f>TEXT(tblSales[[#This Row],[Date]],"mmm")</f>
        <v>Sep</v>
      </c>
    </row>
    <row r="1112" spans="1:9" x14ac:dyDescent="0.3">
      <c r="A1112" s="1">
        <v>45536</v>
      </c>
      <c r="B1112" t="s">
        <v>1324</v>
      </c>
      <c r="C1112" t="s">
        <v>22</v>
      </c>
      <c r="D1112">
        <v>8</v>
      </c>
      <c r="E1112">
        <v>38486</v>
      </c>
      <c r="F1112">
        <v>307888</v>
      </c>
      <c r="G1112" t="s">
        <v>14</v>
      </c>
      <c r="H1112" t="s">
        <v>15</v>
      </c>
      <c r="I1112" t="str">
        <f>TEXT(tblSales[[#This Row],[Date]],"mmm")</f>
        <v>Sep</v>
      </c>
    </row>
    <row r="1113" spans="1:9" x14ac:dyDescent="0.3">
      <c r="A1113" s="1">
        <v>45550</v>
      </c>
      <c r="B1113" t="s">
        <v>1326</v>
      </c>
      <c r="C1113" t="s">
        <v>26</v>
      </c>
      <c r="D1113">
        <v>20</v>
      </c>
      <c r="E1113">
        <v>21675</v>
      </c>
      <c r="F1113">
        <v>433500</v>
      </c>
      <c r="G1113" t="s">
        <v>19</v>
      </c>
      <c r="H1113" t="s">
        <v>27</v>
      </c>
      <c r="I1113" t="str">
        <f>TEXT(tblSales[[#This Row],[Date]],"mmm")</f>
        <v>Sep</v>
      </c>
    </row>
    <row r="1114" spans="1:9" x14ac:dyDescent="0.3">
      <c r="A1114" s="1">
        <v>45551</v>
      </c>
      <c r="B1114" t="s">
        <v>1334</v>
      </c>
      <c r="C1114" t="s">
        <v>22</v>
      </c>
      <c r="D1114">
        <v>38</v>
      </c>
      <c r="E1114">
        <v>25418</v>
      </c>
      <c r="F1114">
        <v>965884</v>
      </c>
      <c r="G1114" t="s">
        <v>23</v>
      </c>
      <c r="H1114" t="s">
        <v>17</v>
      </c>
      <c r="I1114" t="str">
        <f>TEXT(tblSales[[#This Row],[Date]],"mmm")</f>
        <v>Sep</v>
      </c>
    </row>
    <row r="1115" spans="1:9" x14ac:dyDescent="0.3">
      <c r="A1115" s="1">
        <v>45564</v>
      </c>
      <c r="B1115" t="s">
        <v>1344</v>
      </c>
      <c r="C1115" t="s">
        <v>22</v>
      </c>
      <c r="D1115">
        <v>23</v>
      </c>
      <c r="E1115">
        <v>42282</v>
      </c>
      <c r="F1115">
        <v>972486</v>
      </c>
      <c r="G1115" t="s">
        <v>14</v>
      </c>
      <c r="H1115" t="s">
        <v>27</v>
      </c>
      <c r="I1115" t="str">
        <f>TEXT(tblSales[[#This Row],[Date]],"mmm")</f>
        <v>Sep</v>
      </c>
    </row>
    <row r="1116" spans="1:9" x14ac:dyDescent="0.3">
      <c r="A1116" s="1">
        <v>45543</v>
      </c>
      <c r="B1116" t="s">
        <v>1365</v>
      </c>
      <c r="C1116" t="s">
        <v>22</v>
      </c>
      <c r="D1116">
        <v>32</v>
      </c>
      <c r="E1116">
        <v>39668</v>
      </c>
      <c r="F1116">
        <v>1269376</v>
      </c>
      <c r="G1116" t="s">
        <v>23</v>
      </c>
      <c r="H1116" t="s">
        <v>15</v>
      </c>
      <c r="I1116" t="str">
        <f>TEXT(tblSales[[#This Row],[Date]],"mmm")</f>
        <v>Sep</v>
      </c>
    </row>
    <row r="1117" spans="1:9" x14ac:dyDescent="0.3">
      <c r="A1117" s="1">
        <v>45565</v>
      </c>
      <c r="B1117" t="s">
        <v>1366</v>
      </c>
      <c r="C1117" t="s">
        <v>35</v>
      </c>
      <c r="D1117">
        <v>14</v>
      </c>
      <c r="E1117">
        <v>40478</v>
      </c>
      <c r="F1117">
        <v>566692</v>
      </c>
      <c r="G1117" t="s">
        <v>14</v>
      </c>
      <c r="H1117" t="s">
        <v>15</v>
      </c>
      <c r="I1117" t="str">
        <f>TEXT(tblSales[[#This Row],[Date]],"mmm")</f>
        <v>Sep</v>
      </c>
    </row>
    <row r="1118" spans="1:9" x14ac:dyDescent="0.3">
      <c r="A1118" s="1">
        <v>45539</v>
      </c>
      <c r="B1118" t="s">
        <v>1369</v>
      </c>
      <c r="C1118" t="s">
        <v>9</v>
      </c>
      <c r="D1118">
        <v>30</v>
      </c>
      <c r="E1118">
        <v>24123</v>
      </c>
      <c r="F1118">
        <v>723690</v>
      </c>
      <c r="G1118" t="s">
        <v>10</v>
      </c>
      <c r="H1118" t="s">
        <v>11</v>
      </c>
      <c r="I1118" t="str">
        <f>TEXT(tblSales[[#This Row],[Date]],"mmm")</f>
        <v>Sep</v>
      </c>
    </row>
    <row r="1119" spans="1:9" x14ac:dyDescent="0.3">
      <c r="A1119" s="1">
        <v>45562</v>
      </c>
      <c r="B1119" t="s">
        <v>1371</v>
      </c>
      <c r="C1119" t="s">
        <v>13</v>
      </c>
      <c r="D1119">
        <v>24</v>
      </c>
      <c r="E1119">
        <v>12791</v>
      </c>
      <c r="F1119">
        <v>306984</v>
      </c>
      <c r="G1119" t="s">
        <v>19</v>
      </c>
      <c r="H1119" t="s">
        <v>15</v>
      </c>
      <c r="I1119" t="str">
        <f>TEXT(tblSales[[#This Row],[Date]],"mmm")</f>
        <v>Sep</v>
      </c>
    </row>
    <row r="1120" spans="1:9" x14ac:dyDescent="0.3">
      <c r="A1120" s="1">
        <v>45537</v>
      </c>
      <c r="B1120" t="s">
        <v>1389</v>
      </c>
      <c r="C1120" t="s">
        <v>13</v>
      </c>
      <c r="D1120">
        <v>10</v>
      </c>
      <c r="E1120">
        <v>38173</v>
      </c>
      <c r="F1120">
        <v>381730</v>
      </c>
      <c r="G1120" t="s">
        <v>23</v>
      </c>
      <c r="H1120" t="s">
        <v>30</v>
      </c>
      <c r="I1120" t="str">
        <f>TEXT(tblSales[[#This Row],[Date]],"mmm")</f>
        <v>Sep</v>
      </c>
    </row>
    <row r="1121" spans="1:9" x14ac:dyDescent="0.3">
      <c r="A1121" s="1">
        <v>45560</v>
      </c>
      <c r="B1121" t="s">
        <v>1399</v>
      </c>
      <c r="C1121" t="s">
        <v>22</v>
      </c>
      <c r="D1121">
        <v>27</v>
      </c>
      <c r="E1121">
        <v>14332</v>
      </c>
      <c r="F1121">
        <v>386964</v>
      </c>
      <c r="G1121" t="s">
        <v>23</v>
      </c>
      <c r="H1121" t="s">
        <v>30</v>
      </c>
      <c r="I1121" t="str">
        <f>TEXT(tblSales[[#This Row],[Date]],"mmm")</f>
        <v>Sep</v>
      </c>
    </row>
    <row r="1122" spans="1:9" x14ac:dyDescent="0.3">
      <c r="A1122" s="1">
        <v>45563</v>
      </c>
      <c r="B1122" t="s">
        <v>1406</v>
      </c>
      <c r="C1122" t="s">
        <v>26</v>
      </c>
      <c r="D1122">
        <v>31</v>
      </c>
      <c r="E1122">
        <v>23316</v>
      </c>
      <c r="F1122">
        <v>722796</v>
      </c>
      <c r="G1122" t="s">
        <v>23</v>
      </c>
      <c r="H1122" t="s">
        <v>11</v>
      </c>
      <c r="I1122" t="str">
        <f>TEXT(tblSales[[#This Row],[Date]],"mmm")</f>
        <v>Sep</v>
      </c>
    </row>
    <row r="1123" spans="1:9" x14ac:dyDescent="0.3">
      <c r="A1123" s="1">
        <v>45543</v>
      </c>
      <c r="B1123" t="s">
        <v>1412</v>
      </c>
      <c r="C1123" t="s">
        <v>9</v>
      </c>
      <c r="D1123">
        <v>13</v>
      </c>
      <c r="E1123">
        <v>41356</v>
      </c>
      <c r="F1123">
        <v>537628</v>
      </c>
      <c r="G1123" t="s">
        <v>19</v>
      </c>
      <c r="H1123" t="s">
        <v>11</v>
      </c>
      <c r="I1123" t="str">
        <f>TEXT(tblSales[[#This Row],[Date]],"mmm")</f>
        <v>Sep</v>
      </c>
    </row>
    <row r="1124" spans="1:9" x14ac:dyDescent="0.3">
      <c r="A1124" s="1">
        <v>45556</v>
      </c>
      <c r="B1124" t="s">
        <v>1426</v>
      </c>
      <c r="C1124" t="s">
        <v>9</v>
      </c>
      <c r="D1124">
        <v>9</v>
      </c>
      <c r="E1124">
        <v>44603</v>
      </c>
      <c r="F1124">
        <v>401427</v>
      </c>
      <c r="G1124" t="s">
        <v>10</v>
      </c>
      <c r="H1124" t="s">
        <v>27</v>
      </c>
      <c r="I1124" t="str">
        <f>TEXT(tblSales[[#This Row],[Date]],"mmm")</f>
        <v>Sep</v>
      </c>
    </row>
    <row r="1125" spans="1:9" x14ac:dyDescent="0.3">
      <c r="A1125" s="1">
        <v>45556</v>
      </c>
      <c r="B1125" t="s">
        <v>1430</v>
      </c>
      <c r="C1125" t="s">
        <v>35</v>
      </c>
      <c r="D1125">
        <v>26</v>
      </c>
      <c r="E1125">
        <v>22767</v>
      </c>
      <c r="F1125">
        <v>591942</v>
      </c>
      <c r="G1125" t="s">
        <v>10</v>
      </c>
      <c r="H1125" t="s">
        <v>11</v>
      </c>
      <c r="I1125" t="str">
        <f>TEXT(tblSales[[#This Row],[Date]],"mmm")</f>
        <v>Sep</v>
      </c>
    </row>
    <row r="1126" spans="1:9" x14ac:dyDescent="0.3">
      <c r="A1126" s="1">
        <v>45559</v>
      </c>
      <c r="B1126" t="s">
        <v>1444</v>
      </c>
      <c r="C1126" t="s">
        <v>22</v>
      </c>
      <c r="D1126">
        <v>16</v>
      </c>
      <c r="E1126">
        <v>27130</v>
      </c>
      <c r="F1126">
        <v>434080</v>
      </c>
      <c r="G1126" t="s">
        <v>10</v>
      </c>
      <c r="H1126" t="s">
        <v>27</v>
      </c>
      <c r="I1126" t="str">
        <f>TEXT(tblSales[[#This Row],[Date]],"mmm")</f>
        <v>Sep</v>
      </c>
    </row>
    <row r="1127" spans="1:9" x14ac:dyDescent="0.3">
      <c r="A1127" s="1">
        <v>45557</v>
      </c>
      <c r="B1127" t="s">
        <v>1466</v>
      </c>
      <c r="C1127" t="s">
        <v>9</v>
      </c>
      <c r="D1127">
        <v>10</v>
      </c>
      <c r="E1127">
        <v>17521</v>
      </c>
      <c r="F1127">
        <v>175210</v>
      </c>
      <c r="G1127" t="s">
        <v>10</v>
      </c>
      <c r="H1127" t="s">
        <v>30</v>
      </c>
      <c r="I1127" t="str">
        <f>TEXT(tblSales[[#This Row],[Date]],"mmm")</f>
        <v>Sep</v>
      </c>
    </row>
    <row r="1128" spans="1:9" x14ac:dyDescent="0.3">
      <c r="A1128" s="1">
        <v>45538</v>
      </c>
      <c r="B1128" t="s">
        <v>1495</v>
      </c>
      <c r="C1128" t="s">
        <v>22</v>
      </c>
      <c r="D1128">
        <v>10</v>
      </c>
      <c r="E1128">
        <v>40715</v>
      </c>
      <c r="F1128">
        <v>407150</v>
      </c>
      <c r="G1128" t="s">
        <v>23</v>
      </c>
      <c r="H1128" t="s">
        <v>27</v>
      </c>
      <c r="I1128" t="str">
        <f>TEXT(tblSales[[#This Row],[Date]],"mmm")</f>
        <v>Sep</v>
      </c>
    </row>
    <row r="1129" spans="1:9" x14ac:dyDescent="0.3">
      <c r="A1129" s="1">
        <v>45546</v>
      </c>
      <c r="B1129" t="s">
        <v>1499</v>
      </c>
      <c r="C1129" t="s">
        <v>22</v>
      </c>
      <c r="D1129">
        <v>18</v>
      </c>
      <c r="E1129">
        <v>15991</v>
      </c>
      <c r="F1129">
        <v>287838</v>
      </c>
      <c r="G1129" t="s">
        <v>14</v>
      </c>
      <c r="H1129" t="s">
        <v>27</v>
      </c>
      <c r="I1129" t="str">
        <f>TEXT(tblSales[[#This Row],[Date]],"mmm")</f>
        <v>Sep</v>
      </c>
    </row>
    <row r="1130" spans="1:9" x14ac:dyDescent="0.3">
      <c r="A1130" s="1">
        <v>45558</v>
      </c>
      <c r="B1130" t="s">
        <v>1503</v>
      </c>
      <c r="C1130" t="s">
        <v>13</v>
      </c>
      <c r="D1130">
        <v>34</v>
      </c>
      <c r="E1130">
        <v>13966</v>
      </c>
      <c r="F1130">
        <v>474844</v>
      </c>
      <c r="G1130" t="s">
        <v>23</v>
      </c>
      <c r="H1130" t="s">
        <v>17</v>
      </c>
      <c r="I1130" t="str">
        <f>TEXT(tblSales[[#This Row],[Date]],"mmm")</f>
        <v>Sep</v>
      </c>
    </row>
    <row r="1131" spans="1:9" x14ac:dyDescent="0.3">
      <c r="A1131" s="1">
        <v>45543</v>
      </c>
      <c r="B1131" t="s">
        <v>1504</v>
      </c>
      <c r="C1131" t="s">
        <v>35</v>
      </c>
      <c r="D1131">
        <v>14</v>
      </c>
      <c r="E1131">
        <v>6940</v>
      </c>
      <c r="F1131">
        <v>97160</v>
      </c>
      <c r="G1131" t="s">
        <v>19</v>
      </c>
      <c r="H1131" t="s">
        <v>11</v>
      </c>
      <c r="I1131" t="str">
        <f>TEXT(tblSales[[#This Row],[Date]],"mmm")</f>
        <v>Sep</v>
      </c>
    </row>
    <row r="1132" spans="1:9" x14ac:dyDescent="0.3">
      <c r="A1132" s="1">
        <v>45562</v>
      </c>
      <c r="B1132" t="s">
        <v>1505</v>
      </c>
      <c r="C1132" t="s">
        <v>9</v>
      </c>
      <c r="D1132">
        <v>32</v>
      </c>
      <c r="E1132">
        <v>43709</v>
      </c>
      <c r="F1132">
        <v>1398688</v>
      </c>
      <c r="G1132" t="s">
        <v>14</v>
      </c>
      <c r="H1132" t="s">
        <v>15</v>
      </c>
      <c r="I1132" t="str">
        <f>TEXT(tblSales[[#This Row],[Date]],"mmm")</f>
        <v>Sep</v>
      </c>
    </row>
    <row r="1133" spans="1:9" x14ac:dyDescent="0.3">
      <c r="A1133" s="1">
        <v>45543</v>
      </c>
      <c r="B1133" t="s">
        <v>1515</v>
      </c>
      <c r="C1133" t="s">
        <v>13</v>
      </c>
      <c r="D1133">
        <v>36</v>
      </c>
      <c r="E1133">
        <v>14540</v>
      </c>
      <c r="F1133">
        <v>523440</v>
      </c>
      <c r="G1133" t="s">
        <v>23</v>
      </c>
      <c r="H1133" t="s">
        <v>17</v>
      </c>
      <c r="I1133" t="str">
        <f>TEXT(tblSales[[#This Row],[Date]],"mmm")</f>
        <v>Sep</v>
      </c>
    </row>
    <row r="1134" spans="1:9" x14ac:dyDescent="0.3">
      <c r="A1134" s="1">
        <v>45577</v>
      </c>
      <c r="B1134" t="s">
        <v>33</v>
      </c>
      <c r="C1134" t="s">
        <v>9</v>
      </c>
      <c r="D1134">
        <v>33</v>
      </c>
      <c r="E1134">
        <v>22211</v>
      </c>
      <c r="F1134">
        <v>732963</v>
      </c>
      <c r="G1134" t="s">
        <v>14</v>
      </c>
      <c r="H1134" t="s">
        <v>17</v>
      </c>
      <c r="I1134" t="str">
        <f>TEXT(tblSales[[#This Row],[Date]],"mmm")</f>
        <v>Oct</v>
      </c>
    </row>
    <row r="1135" spans="1:9" x14ac:dyDescent="0.3">
      <c r="A1135" s="1">
        <v>45575</v>
      </c>
      <c r="B1135" t="s">
        <v>52</v>
      </c>
      <c r="C1135" t="s">
        <v>35</v>
      </c>
      <c r="D1135">
        <v>29</v>
      </c>
      <c r="E1135">
        <v>41486</v>
      </c>
      <c r="F1135">
        <v>1203094</v>
      </c>
      <c r="G1135" t="s">
        <v>14</v>
      </c>
      <c r="H1135" t="s">
        <v>30</v>
      </c>
      <c r="I1135" t="str">
        <f>TEXT(tblSales[[#This Row],[Date]],"mmm")</f>
        <v>Oct</v>
      </c>
    </row>
    <row r="1136" spans="1:9" x14ac:dyDescent="0.3">
      <c r="A1136" s="1">
        <v>45596</v>
      </c>
      <c r="B1136" t="s">
        <v>54</v>
      </c>
      <c r="C1136" t="s">
        <v>35</v>
      </c>
      <c r="D1136">
        <v>10</v>
      </c>
      <c r="E1136">
        <v>43467</v>
      </c>
      <c r="F1136">
        <v>434670</v>
      </c>
      <c r="G1136" t="s">
        <v>14</v>
      </c>
      <c r="H1136" t="s">
        <v>15</v>
      </c>
      <c r="I1136" t="str">
        <f>TEXT(tblSales[[#This Row],[Date]],"mmm")</f>
        <v>Oct</v>
      </c>
    </row>
    <row r="1137" spans="1:9" x14ac:dyDescent="0.3">
      <c r="A1137" s="1">
        <v>45591</v>
      </c>
      <c r="B1137" t="s">
        <v>58</v>
      </c>
      <c r="C1137" t="s">
        <v>9</v>
      </c>
      <c r="D1137">
        <v>6</v>
      </c>
      <c r="E1137">
        <v>42297</v>
      </c>
      <c r="F1137">
        <v>253782</v>
      </c>
      <c r="G1137" t="s">
        <v>10</v>
      </c>
      <c r="H1137" t="s">
        <v>11</v>
      </c>
      <c r="I1137" t="str">
        <f>TEXT(tblSales[[#This Row],[Date]],"mmm")</f>
        <v>Oct</v>
      </c>
    </row>
    <row r="1138" spans="1:9" x14ac:dyDescent="0.3">
      <c r="A1138" s="1">
        <v>45579</v>
      </c>
      <c r="B1138" t="s">
        <v>67</v>
      </c>
      <c r="C1138" t="s">
        <v>26</v>
      </c>
      <c r="D1138">
        <v>18</v>
      </c>
      <c r="E1138">
        <v>33069</v>
      </c>
      <c r="F1138">
        <v>595242</v>
      </c>
      <c r="G1138" t="s">
        <v>19</v>
      </c>
      <c r="H1138" t="s">
        <v>27</v>
      </c>
      <c r="I1138" t="str">
        <f>TEXT(tblSales[[#This Row],[Date]],"mmm")</f>
        <v>Oct</v>
      </c>
    </row>
    <row r="1139" spans="1:9" x14ac:dyDescent="0.3">
      <c r="A1139" s="1">
        <v>45584</v>
      </c>
      <c r="B1139" t="s">
        <v>84</v>
      </c>
      <c r="C1139" t="s">
        <v>13</v>
      </c>
      <c r="D1139">
        <v>37</v>
      </c>
      <c r="E1139">
        <v>17262</v>
      </c>
      <c r="F1139">
        <v>638694</v>
      </c>
      <c r="G1139" t="s">
        <v>23</v>
      </c>
      <c r="H1139" t="s">
        <v>11</v>
      </c>
      <c r="I1139" t="str">
        <f>TEXT(tblSales[[#This Row],[Date]],"mmm")</f>
        <v>Oct</v>
      </c>
    </row>
    <row r="1140" spans="1:9" x14ac:dyDescent="0.3">
      <c r="A1140" s="1">
        <v>45567</v>
      </c>
      <c r="B1140" t="s">
        <v>124</v>
      </c>
      <c r="C1140" t="s">
        <v>13</v>
      </c>
      <c r="D1140">
        <v>32</v>
      </c>
      <c r="E1140">
        <v>35266</v>
      </c>
      <c r="F1140">
        <v>1128512</v>
      </c>
      <c r="G1140" t="s">
        <v>19</v>
      </c>
      <c r="H1140" t="s">
        <v>15</v>
      </c>
      <c r="I1140" t="str">
        <f>TEXT(tblSales[[#This Row],[Date]],"mmm")</f>
        <v>Oct</v>
      </c>
    </row>
    <row r="1141" spans="1:9" x14ac:dyDescent="0.3">
      <c r="A1141" s="1">
        <v>45595</v>
      </c>
      <c r="B1141" t="s">
        <v>133</v>
      </c>
      <c r="C1141" t="s">
        <v>26</v>
      </c>
      <c r="D1141">
        <v>13</v>
      </c>
      <c r="E1141">
        <v>43667</v>
      </c>
      <c r="F1141">
        <v>567671</v>
      </c>
      <c r="G1141" t="s">
        <v>10</v>
      </c>
      <c r="H1141" t="s">
        <v>30</v>
      </c>
      <c r="I1141" t="str">
        <f>TEXT(tblSales[[#This Row],[Date]],"mmm")</f>
        <v>Oct</v>
      </c>
    </row>
    <row r="1142" spans="1:9" x14ac:dyDescent="0.3">
      <c r="A1142" s="1">
        <v>45575</v>
      </c>
      <c r="B1142" t="s">
        <v>139</v>
      </c>
      <c r="C1142" t="s">
        <v>26</v>
      </c>
      <c r="D1142">
        <v>5</v>
      </c>
      <c r="E1142">
        <v>14074</v>
      </c>
      <c r="F1142">
        <v>70370</v>
      </c>
      <c r="G1142" t="s">
        <v>23</v>
      </c>
      <c r="H1142" t="s">
        <v>30</v>
      </c>
      <c r="I1142" t="str">
        <f>TEXT(tblSales[[#This Row],[Date]],"mmm")</f>
        <v>Oct</v>
      </c>
    </row>
    <row r="1143" spans="1:9" x14ac:dyDescent="0.3">
      <c r="A1143" s="1">
        <v>45596</v>
      </c>
      <c r="B1143" t="s">
        <v>142</v>
      </c>
      <c r="C1143" t="s">
        <v>26</v>
      </c>
      <c r="D1143">
        <v>27</v>
      </c>
      <c r="E1143">
        <v>12062</v>
      </c>
      <c r="F1143">
        <v>325674</v>
      </c>
      <c r="G1143" t="s">
        <v>23</v>
      </c>
      <c r="H1143" t="s">
        <v>11</v>
      </c>
      <c r="I1143" t="str">
        <f>TEXT(tblSales[[#This Row],[Date]],"mmm")</f>
        <v>Oct</v>
      </c>
    </row>
    <row r="1144" spans="1:9" x14ac:dyDescent="0.3">
      <c r="A1144" s="1">
        <v>45571</v>
      </c>
      <c r="B1144" t="s">
        <v>146</v>
      </c>
      <c r="C1144" t="s">
        <v>35</v>
      </c>
      <c r="D1144">
        <v>28</v>
      </c>
      <c r="E1144">
        <v>17731</v>
      </c>
      <c r="F1144">
        <v>496468</v>
      </c>
      <c r="G1144" t="s">
        <v>14</v>
      </c>
      <c r="H1144" t="s">
        <v>17</v>
      </c>
      <c r="I1144" t="str">
        <f>TEXT(tblSales[[#This Row],[Date]],"mmm")</f>
        <v>Oct</v>
      </c>
    </row>
    <row r="1145" spans="1:9" x14ac:dyDescent="0.3">
      <c r="A1145" s="1">
        <v>45578</v>
      </c>
      <c r="B1145" t="s">
        <v>156</v>
      </c>
      <c r="C1145" t="s">
        <v>22</v>
      </c>
      <c r="D1145">
        <v>34</v>
      </c>
      <c r="E1145">
        <v>15034</v>
      </c>
      <c r="F1145">
        <v>511156</v>
      </c>
      <c r="G1145" t="s">
        <v>14</v>
      </c>
      <c r="H1145" t="s">
        <v>17</v>
      </c>
      <c r="I1145" t="str">
        <f>TEXT(tblSales[[#This Row],[Date]],"mmm")</f>
        <v>Oct</v>
      </c>
    </row>
    <row r="1146" spans="1:9" x14ac:dyDescent="0.3">
      <c r="A1146" s="1">
        <v>45575</v>
      </c>
      <c r="B1146" t="s">
        <v>161</v>
      </c>
      <c r="C1146" t="s">
        <v>13</v>
      </c>
      <c r="D1146">
        <v>24</v>
      </c>
      <c r="E1146">
        <v>44358</v>
      </c>
      <c r="F1146">
        <v>1064592</v>
      </c>
      <c r="G1146" t="s">
        <v>10</v>
      </c>
      <c r="H1146" t="s">
        <v>15</v>
      </c>
      <c r="I1146" t="str">
        <f>TEXT(tblSales[[#This Row],[Date]],"mmm")</f>
        <v>Oct</v>
      </c>
    </row>
    <row r="1147" spans="1:9" x14ac:dyDescent="0.3">
      <c r="A1147" s="1">
        <v>45590</v>
      </c>
      <c r="B1147" t="s">
        <v>170</v>
      </c>
      <c r="C1147" t="s">
        <v>22</v>
      </c>
      <c r="D1147">
        <v>32</v>
      </c>
      <c r="E1147">
        <v>36447</v>
      </c>
      <c r="F1147">
        <v>1166304</v>
      </c>
      <c r="G1147" t="s">
        <v>19</v>
      </c>
      <c r="H1147" t="s">
        <v>30</v>
      </c>
      <c r="I1147" t="str">
        <f>TEXT(tblSales[[#This Row],[Date]],"mmm")</f>
        <v>Oct</v>
      </c>
    </row>
    <row r="1148" spans="1:9" x14ac:dyDescent="0.3">
      <c r="A1148" s="1">
        <v>45576</v>
      </c>
      <c r="B1148" t="s">
        <v>171</v>
      </c>
      <c r="C1148" t="s">
        <v>22</v>
      </c>
      <c r="D1148">
        <v>11</v>
      </c>
      <c r="E1148">
        <v>33015</v>
      </c>
      <c r="F1148">
        <v>363165</v>
      </c>
      <c r="G1148" t="s">
        <v>19</v>
      </c>
      <c r="H1148" t="s">
        <v>27</v>
      </c>
      <c r="I1148" t="str">
        <f>TEXT(tblSales[[#This Row],[Date]],"mmm")</f>
        <v>Oct</v>
      </c>
    </row>
    <row r="1149" spans="1:9" x14ac:dyDescent="0.3">
      <c r="A1149" s="1">
        <v>45575</v>
      </c>
      <c r="B1149" t="s">
        <v>173</v>
      </c>
      <c r="C1149" t="s">
        <v>22</v>
      </c>
      <c r="D1149">
        <v>4</v>
      </c>
      <c r="E1149">
        <v>43700</v>
      </c>
      <c r="F1149">
        <v>174800</v>
      </c>
      <c r="G1149" t="s">
        <v>19</v>
      </c>
      <c r="H1149" t="s">
        <v>30</v>
      </c>
      <c r="I1149" t="str">
        <f>TEXT(tblSales[[#This Row],[Date]],"mmm")</f>
        <v>Oct</v>
      </c>
    </row>
    <row r="1150" spans="1:9" x14ac:dyDescent="0.3">
      <c r="A1150" s="1">
        <v>45596</v>
      </c>
      <c r="B1150" t="s">
        <v>175</v>
      </c>
      <c r="C1150" t="s">
        <v>35</v>
      </c>
      <c r="D1150">
        <v>36</v>
      </c>
      <c r="E1150">
        <v>44152</v>
      </c>
      <c r="F1150">
        <v>1589472</v>
      </c>
      <c r="G1150" t="s">
        <v>14</v>
      </c>
      <c r="H1150" t="s">
        <v>27</v>
      </c>
      <c r="I1150" t="str">
        <f>TEXT(tblSales[[#This Row],[Date]],"mmm")</f>
        <v>Oct</v>
      </c>
    </row>
    <row r="1151" spans="1:9" x14ac:dyDescent="0.3">
      <c r="A1151" s="1">
        <v>45588</v>
      </c>
      <c r="B1151" t="s">
        <v>183</v>
      </c>
      <c r="C1151" t="s">
        <v>26</v>
      </c>
      <c r="D1151">
        <v>36</v>
      </c>
      <c r="E1151">
        <v>41203</v>
      </c>
      <c r="F1151">
        <v>1483308</v>
      </c>
      <c r="G1151" t="s">
        <v>10</v>
      </c>
      <c r="H1151" t="s">
        <v>15</v>
      </c>
      <c r="I1151" t="str">
        <f>TEXT(tblSales[[#This Row],[Date]],"mmm")</f>
        <v>Oct</v>
      </c>
    </row>
    <row r="1152" spans="1:9" x14ac:dyDescent="0.3">
      <c r="A1152" s="1">
        <v>45592</v>
      </c>
      <c r="B1152" t="s">
        <v>184</v>
      </c>
      <c r="C1152" t="s">
        <v>22</v>
      </c>
      <c r="D1152">
        <v>38</v>
      </c>
      <c r="E1152">
        <v>23536</v>
      </c>
      <c r="F1152">
        <v>894368</v>
      </c>
      <c r="G1152" t="s">
        <v>23</v>
      </c>
      <c r="H1152" t="s">
        <v>27</v>
      </c>
      <c r="I1152" t="str">
        <f>TEXT(tblSales[[#This Row],[Date]],"mmm")</f>
        <v>Oct</v>
      </c>
    </row>
    <row r="1153" spans="1:9" x14ac:dyDescent="0.3">
      <c r="A1153" s="1">
        <v>45574</v>
      </c>
      <c r="B1153" t="s">
        <v>186</v>
      </c>
      <c r="C1153" t="s">
        <v>13</v>
      </c>
      <c r="D1153">
        <v>31</v>
      </c>
      <c r="E1153">
        <v>43984</v>
      </c>
      <c r="F1153">
        <v>1363504</v>
      </c>
      <c r="G1153" t="s">
        <v>23</v>
      </c>
      <c r="H1153" t="s">
        <v>30</v>
      </c>
      <c r="I1153" t="str">
        <f>TEXT(tblSales[[#This Row],[Date]],"mmm")</f>
        <v>Oct</v>
      </c>
    </row>
    <row r="1154" spans="1:9" x14ac:dyDescent="0.3">
      <c r="A1154" s="1">
        <v>45593</v>
      </c>
      <c r="B1154" t="s">
        <v>200</v>
      </c>
      <c r="C1154" t="s">
        <v>35</v>
      </c>
      <c r="D1154">
        <v>14</v>
      </c>
      <c r="E1154">
        <v>12025</v>
      </c>
      <c r="F1154">
        <v>168350</v>
      </c>
      <c r="G1154" t="s">
        <v>19</v>
      </c>
      <c r="H1154" t="s">
        <v>11</v>
      </c>
      <c r="I1154" t="str">
        <f>TEXT(tblSales[[#This Row],[Date]],"mmm")</f>
        <v>Oct</v>
      </c>
    </row>
    <row r="1155" spans="1:9" x14ac:dyDescent="0.3">
      <c r="A1155" s="1">
        <v>45592</v>
      </c>
      <c r="B1155" t="s">
        <v>224</v>
      </c>
      <c r="C1155" t="s">
        <v>35</v>
      </c>
      <c r="D1155">
        <v>18</v>
      </c>
      <c r="E1155">
        <v>7464</v>
      </c>
      <c r="F1155">
        <v>134352</v>
      </c>
      <c r="G1155" t="s">
        <v>10</v>
      </c>
      <c r="H1155" t="s">
        <v>15</v>
      </c>
      <c r="I1155" t="str">
        <f>TEXT(tblSales[[#This Row],[Date]],"mmm")</f>
        <v>Oct</v>
      </c>
    </row>
    <row r="1156" spans="1:9" x14ac:dyDescent="0.3">
      <c r="A1156" s="1">
        <v>45590</v>
      </c>
      <c r="B1156" t="s">
        <v>240</v>
      </c>
      <c r="C1156" t="s">
        <v>35</v>
      </c>
      <c r="D1156">
        <v>8</v>
      </c>
      <c r="E1156">
        <v>36237</v>
      </c>
      <c r="F1156">
        <v>289896</v>
      </c>
      <c r="G1156" t="s">
        <v>10</v>
      </c>
      <c r="H1156" t="s">
        <v>27</v>
      </c>
      <c r="I1156" t="str">
        <f>TEXT(tblSales[[#This Row],[Date]],"mmm")</f>
        <v>Oct</v>
      </c>
    </row>
    <row r="1157" spans="1:9" x14ac:dyDescent="0.3">
      <c r="A1157" s="1">
        <v>45585</v>
      </c>
      <c r="B1157" t="s">
        <v>248</v>
      </c>
      <c r="C1157" t="s">
        <v>22</v>
      </c>
      <c r="D1157">
        <v>35</v>
      </c>
      <c r="E1157">
        <v>10048</v>
      </c>
      <c r="F1157">
        <v>351680</v>
      </c>
      <c r="G1157" t="s">
        <v>23</v>
      </c>
      <c r="H1157" t="s">
        <v>17</v>
      </c>
      <c r="I1157" t="str">
        <f>TEXT(tblSales[[#This Row],[Date]],"mmm")</f>
        <v>Oct</v>
      </c>
    </row>
    <row r="1158" spans="1:9" x14ac:dyDescent="0.3">
      <c r="A1158" s="1">
        <v>45590</v>
      </c>
      <c r="B1158" t="s">
        <v>279</v>
      </c>
      <c r="C1158" t="s">
        <v>26</v>
      </c>
      <c r="D1158">
        <v>35</v>
      </c>
      <c r="E1158">
        <v>14806</v>
      </c>
      <c r="F1158">
        <v>518210</v>
      </c>
      <c r="G1158" t="s">
        <v>14</v>
      </c>
      <c r="H1158" t="s">
        <v>30</v>
      </c>
      <c r="I1158" t="str">
        <f>TEXT(tblSales[[#This Row],[Date]],"mmm")</f>
        <v>Oct</v>
      </c>
    </row>
    <row r="1159" spans="1:9" x14ac:dyDescent="0.3">
      <c r="A1159" s="1">
        <v>45589</v>
      </c>
      <c r="B1159" t="s">
        <v>284</v>
      </c>
      <c r="C1159" t="s">
        <v>22</v>
      </c>
      <c r="D1159">
        <v>8</v>
      </c>
      <c r="E1159">
        <v>20009</v>
      </c>
      <c r="F1159">
        <v>160072</v>
      </c>
      <c r="G1159" t="s">
        <v>10</v>
      </c>
      <c r="H1159" t="s">
        <v>17</v>
      </c>
      <c r="I1159" t="str">
        <f>TEXT(tblSales[[#This Row],[Date]],"mmm")</f>
        <v>Oct</v>
      </c>
    </row>
    <row r="1160" spans="1:9" x14ac:dyDescent="0.3">
      <c r="A1160" s="1">
        <v>45575</v>
      </c>
      <c r="B1160" t="s">
        <v>293</v>
      </c>
      <c r="C1160" t="s">
        <v>35</v>
      </c>
      <c r="D1160">
        <v>7</v>
      </c>
      <c r="E1160">
        <v>7781</v>
      </c>
      <c r="F1160">
        <v>54467</v>
      </c>
      <c r="G1160" t="s">
        <v>19</v>
      </c>
      <c r="H1160" t="s">
        <v>17</v>
      </c>
      <c r="I1160" t="str">
        <f>TEXT(tblSales[[#This Row],[Date]],"mmm")</f>
        <v>Oct</v>
      </c>
    </row>
    <row r="1161" spans="1:9" x14ac:dyDescent="0.3">
      <c r="A1161" s="1">
        <v>45577</v>
      </c>
      <c r="B1161" t="s">
        <v>299</v>
      </c>
      <c r="C1161" t="s">
        <v>13</v>
      </c>
      <c r="D1161">
        <v>11</v>
      </c>
      <c r="E1161">
        <v>19201</v>
      </c>
      <c r="F1161">
        <v>211211</v>
      </c>
      <c r="G1161" t="s">
        <v>10</v>
      </c>
      <c r="H1161" t="s">
        <v>30</v>
      </c>
      <c r="I1161" t="str">
        <f>TEXT(tblSales[[#This Row],[Date]],"mmm")</f>
        <v>Oct</v>
      </c>
    </row>
    <row r="1162" spans="1:9" x14ac:dyDescent="0.3">
      <c r="A1162" s="1">
        <v>45578</v>
      </c>
      <c r="B1162" t="s">
        <v>304</v>
      </c>
      <c r="C1162" t="s">
        <v>26</v>
      </c>
      <c r="D1162">
        <v>2</v>
      </c>
      <c r="E1162">
        <v>30413</v>
      </c>
      <c r="F1162">
        <v>60826</v>
      </c>
      <c r="G1162" t="s">
        <v>14</v>
      </c>
      <c r="H1162" t="s">
        <v>17</v>
      </c>
      <c r="I1162" t="str">
        <f>TEXT(tblSales[[#This Row],[Date]],"mmm")</f>
        <v>Oct</v>
      </c>
    </row>
    <row r="1163" spans="1:9" x14ac:dyDescent="0.3">
      <c r="A1163" s="1">
        <v>45573</v>
      </c>
      <c r="B1163" t="s">
        <v>309</v>
      </c>
      <c r="C1163" t="s">
        <v>9</v>
      </c>
      <c r="D1163">
        <v>4</v>
      </c>
      <c r="E1163">
        <v>26100</v>
      </c>
      <c r="F1163">
        <v>104400</v>
      </c>
      <c r="G1163" t="s">
        <v>19</v>
      </c>
      <c r="H1163" t="s">
        <v>30</v>
      </c>
      <c r="I1163" t="str">
        <f>TEXT(tblSales[[#This Row],[Date]],"mmm")</f>
        <v>Oct</v>
      </c>
    </row>
    <row r="1164" spans="1:9" x14ac:dyDescent="0.3">
      <c r="A1164" s="1">
        <v>45584</v>
      </c>
      <c r="B1164" t="s">
        <v>312</v>
      </c>
      <c r="C1164" t="s">
        <v>26</v>
      </c>
      <c r="D1164">
        <v>9</v>
      </c>
      <c r="E1164">
        <v>41794</v>
      </c>
      <c r="F1164">
        <v>376146</v>
      </c>
      <c r="G1164" t="s">
        <v>14</v>
      </c>
      <c r="H1164" t="s">
        <v>27</v>
      </c>
      <c r="I1164" t="str">
        <f>TEXT(tblSales[[#This Row],[Date]],"mmm")</f>
        <v>Oct</v>
      </c>
    </row>
    <row r="1165" spans="1:9" x14ac:dyDescent="0.3">
      <c r="A1165" s="1">
        <v>45595</v>
      </c>
      <c r="B1165" t="s">
        <v>321</v>
      </c>
      <c r="C1165" t="s">
        <v>26</v>
      </c>
      <c r="D1165">
        <v>10</v>
      </c>
      <c r="E1165">
        <v>15650</v>
      </c>
      <c r="F1165">
        <v>156500</v>
      </c>
      <c r="G1165" t="s">
        <v>19</v>
      </c>
      <c r="H1165" t="s">
        <v>11</v>
      </c>
      <c r="I1165" t="str">
        <f>TEXT(tblSales[[#This Row],[Date]],"mmm")</f>
        <v>Oct</v>
      </c>
    </row>
    <row r="1166" spans="1:9" x14ac:dyDescent="0.3">
      <c r="A1166" s="1">
        <v>45585</v>
      </c>
      <c r="B1166" t="s">
        <v>337</v>
      </c>
      <c r="C1166" t="s">
        <v>9</v>
      </c>
      <c r="D1166">
        <v>6</v>
      </c>
      <c r="E1166">
        <v>43147</v>
      </c>
      <c r="F1166">
        <v>258882</v>
      </c>
      <c r="G1166" t="s">
        <v>10</v>
      </c>
      <c r="H1166" t="s">
        <v>30</v>
      </c>
      <c r="I1166" t="str">
        <f>TEXT(tblSales[[#This Row],[Date]],"mmm")</f>
        <v>Oct</v>
      </c>
    </row>
    <row r="1167" spans="1:9" x14ac:dyDescent="0.3">
      <c r="A1167" s="1">
        <v>45589</v>
      </c>
      <c r="B1167" t="s">
        <v>344</v>
      </c>
      <c r="C1167" t="s">
        <v>13</v>
      </c>
      <c r="D1167">
        <v>28</v>
      </c>
      <c r="E1167">
        <v>19949</v>
      </c>
      <c r="F1167">
        <v>558572</v>
      </c>
      <c r="G1167" t="s">
        <v>14</v>
      </c>
      <c r="H1167" t="s">
        <v>11</v>
      </c>
      <c r="I1167" t="str">
        <f>TEXT(tblSales[[#This Row],[Date]],"mmm")</f>
        <v>Oct</v>
      </c>
    </row>
    <row r="1168" spans="1:9" x14ac:dyDescent="0.3">
      <c r="A1168" s="1">
        <v>45580</v>
      </c>
      <c r="B1168" t="s">
        <v>374</v>
      </c>
      <c r="C1168" t="s">
        <v>22</v>
      </c>
      <c r="D1168">
        <v>17</v>
      </c>
      <c r="E1168">
        <v>38320</v>
      </c>
      <c r="F1168">
        <v>651440</v>
      </c>
      <c r="G1168" t="s">
        <v>14</v>
      </c>
      <c r="H1168" t="s">
        <v>27</v>
      </c>
      <c r="I1168" t="str">
        <f>TEXT(tblSales[[#This Row],[Date]],"mmm")</f>
        <v>Oct</v>
      </c>
    </row>
    <row r="1169" spans="1:9" x14ac:dyDescent="0.3">
      <c r="A1169" s="1">
        <v>45580</v>
      </c>
      <c r="B1169" t="s">
        <v>388</v>
      </c>
      <c r="C1169" t="s">
        <v>22</v>
      </c>
      <c r="D1169">
        <v>40</v>
      </c>
      <c r="E1169">
        <v>20833</v>
      </c>
      <c r="F1169">
        <v>833320</v>
      </c>
      <c r="G1169" t="s">
        <v>23</v>
      </c>
      <c r="H1169" t="s">
        <v>17</v>
      </c>
      <c r="I1169" t="str">
        <f>TEXT(tblSales[[#This Row],[Date]],"mmm")</f>
        <v>Oct</v>
      </c>
    </row>
    <row r="1170" spans="1:9" x14ac:dyDescent="0.3">
      <c r="A1170" s="1">
        <v>45572</v>
      </c>
      <c r="B1170" t="s">
        <v>395</v>
      </c>
      <c r="C1170" t="s">
        <v>26</v>
      </c>
      <c r="D1170">
        <v>6</v>
      </c>
      <c r="E1170">
        <v>19861</v>
      </c>
      <c r="F1170">
        <v>119166</v>
      </c>
      <c r="G1170" t="s">
        <v>23</v>
      </c>
      <c r="H1170" t="s">
        <v>11</v>
      </c>
      <c r="I1170" t="str">
        <f>TEXT(tblSales[[#This Row],[Date]],"mmm")</f>
        <v>Oct</v>
      </c>
    </row>
    <row r="1171" spans="1:9" x14ac:dyDescent="0.3">
      <c r="A1171" s="1">
        <v>45596</v>
      </c>
      <c r="B1171" t="s">
        <v>434</v>
      </c>
      <c r="C1171" t="s">
        <v>9</v>
      </c>
      <c r="D1171">
        <v>21</v>
      </c>
      <c r="E1171">
        <v>29183</v>
      </c>
      <c r="F1171">
        <v>612843</v>
      </c>
      <c r="G1171" t="s">
        <v>23</v>
      </c>
      <c r="H1171" t="s">
        <v>27</v>
      </c>
      <c r="I1171" t="str">
        <f>TEXT(tblSales[[#This Row],[Date]],"mmm")</f>
        <v>Oct</v>
      </c>
    </row>
    <row r="1172" spans="1:9" x14ac:dyDescent="0.3">
      <c r="A1172" s="1">
        <v>45573</v>
      </c>
      <c r="B1172" t="s">
        <v>435</v>
      </c>
      <c r="C1172" t="s">
        <v>13</v>
      </c>
      <c r="D1172">
        <v>28</v>
      </c>
      <c r="E1172">
        <v>20593</v>
      </c>
      <c r="F1172">
        <v>576604</v>
      </c>
      <c r="G1172" t="s">
        <v>14</v>
      </c>
      <c r="H1172" t="s">
        <v>11</v>
      </c>
      <c r="I1172" t="str">
        <f>TEXT(tblSales[[#This Row],[Date]],"mmm")</f>
        <v>Oct</v>
      </c>
    </row>
    <row r="1173" spans="1:9" x14ac:dyDescent="0.3">
      <c r="A1173" s="1">
        <v>45596</v>
      </c>
      <c r="B1173" t="s">
        <v>449</v>
      </c>
      <c r="C1173" t="s">
        <v>9</v>
      </c>
      <c r="D1173">
        <v>16</v>
      </c>
      <c r="E1173">
        <v>7307</v>
      </c>
      <c r="F1173">
        <v>116912</v>
      </c>
      <c r="G1173" t="s">
        <v>19</v>
      </c>
      <c r="H1173" t="s">
        <v>27</v>
      </c>
      <c r="I1173" t="str">
        <f>TEXT(tblSales[[#This Row],[Date]],"mmm")</f>
        <v>Oct</v>
      </c>
    </row>
    <row r="1174" spans="1:9" x14ac:dyDescent="0.3">
      <c r="A1174" s="1">
        <v>45567</v>
      </c>
      <c r="B1174" t="s">
        <v>451</v>
      </c>
      <c r="C1174" t="s">
        <v>35</v>
      </c>
      <c r="D1174">
        <v>4</v>
      </c>
      <c r="E1174">
        <v>28084</v>
      </c>
      <c r="F1174">
        <v>112336</v>
      </c>
      <c r="G1174" t="s">
        <v>14</v>
      </c>
      <c r="H1174" t="s">
        <v>11</v>
      </c>
      <c r="I1174" t="str">
        <f>TEXT(tblSales[[#This Row],[Date]],"mmm")</f>
        <v>Oct</v>
      </c>
    </row>
    <row r="1175" spans="1:9" x14ac:dyDescent="0.3">
      <c r="A1175" s="1">
        <v>45579</v>
      </c>
      <c r="B1175" t="s">
        <v>489</v>
      </c>
      <c r="C1175" t="s">
        <v>13</v>
      </c>
      <c r="D1175">
        <v>19</v>
      </c>
      <c r="E1175">
        <v>23474</v>
      </c>
      <c r="F1175">
        <v>446006</v>
      </c>
      <c r="G1175" t="s">
        <v>19</v>
      </c>
      <c r="H1175" t="s">
        <v>15</v>
      </c>
      <c r="I1175" t="str">
        <f>TEXT(tblSales[[#This Row],[Date]],"mmm")</f>
        <v>Oct</v>
      </c>
    </row>
    <row r="1176" spans="1:9" x14ac:dyDescent="0.3">
      <c r="A1176" s="1">
        <v>45567</v>
      </c>
      <c r="B1176" t="s">
        <v>494</v>
      </c>
      <c r="C1176" t="s">
        <v>26</v>
      </c>
      <c r="D1176">
        <v>4</v>
      </c>
      <c r="E1176">
        <v>28859</v>
      </c>
      <c r="F1176">
        <v>115436</v>
      </c>
      <c r="G1176" t="s">
        <v>19</v>
      </c>
      <c r="H1176" t="s">
        <v>11</v>
      </c>
      <c r="I1176" t="str">
        <f>TEXT(tblSales[[#This Row],[Date]],"mmm")</f>
        <v>Oct</v>
      </c>
    </row>
    <row r="1177" spans="1:9" x14ac:dyDescent="0.3">
      <c r="A1177" s="1">
        <v>45567</v>
      </c>
      <c r="B1177" t="s">
        <v>495</v>
      </c>
      <c r="C1177" t="s">
        <v>35</v>
      </c>
      <c r="D1177">
        <v>34</v>
      </c>
      <c r="E1177">
        <v>21054</v>
      </c>
      <c r="F1177">
        <v>715836</v>
      </c>
      <c r="G1177" t="s">
        <v>19</v>
      </c>
      <c r="H1177" t="s">
        <v>27</v>
      </c>
      <c r="I1177" t="str">
        <f>TEXT(tblSales[[#This Row],[Date]],"mmm")</f>
        <v>Oct</v>
      </c>
    </row>
    <row r="1178" spans="1:9" x14ac:dyDescent="0.3">
      <c r="A1178" s="1">
        <v>45581</v>
      </c>
      <c r="B1178" t="s">
        <v>503</v>
      </c>
      <c r="C1178" t="s">
        <v>26</v>
      </c>
      <c r="D1178">
        <v>10</v>
      </c>
      <c r="E1178">
        <v>14220</v>
      </c>
      <c r="F1178">
        <v>142200</v>
      </c>
      <c r="G1178" t="s">
        <v>19</v>
      </c>
      <c r="H1178" t="s">
        <v>30</v>
      </c>
      <c r="I1178" t="str">
        <f>TEXT(tblSales[[#This Row],[Date]],"mmm")</f>
        <v>Oct</v>
      </c>
    </row>
    <row r="1179" spans="1:9" x14ac:dyDescent="0.3">
      <c r="A1179" s="1">
        <v>45568</v>
      </c>
      <c r="B1179" t="s">
        <v>548</v>
      </c>
      <c r="C1179" t="s">
        <v>26</v>
      </c>
      <c r="D1179">
        <v>40</v>
      </c>
      <c r="E1179">
        <v>17008</v>
      </c>
      <c r="F1179">
        <v>680320</v>
      </c>
      <c r="G1179" t="s">
        <v>14</v>
      </c>
      <c r="H1179" t="s">
        <v>27</v>
      </c>
      <c r="I1179" t="str">
        <f>TEXT(tblSales[[#This Row],[Date]],"mmm")</f>
        <v>Oct</v>
      </c>
    </row>
    <row r="1180" spans="1:9" x14ac:dyDescent="0.3">
      <c r="A1180" s="1">
        <v>45589</v>
      </c>
      <c r="B1180" t="s">
        <v>554</v>
      </c>
      <c r="C1180" t="s">
        <v>35</v>
      </c>
      <c r="D1180">
        <v>36</v>
      </c>
      <c r="E1180">
        <v>34789</v>
      </c>
      <c r="F1180">
        <v>1252404</v>
      </c>
      <c r="G1180" t="s">
        <v>10</v>
      </c>
      <c r="H1180" t="s">
        <v>30</v>
      </c>
      <c r="I1180" t="str">
        <f>TEXT(tblSales[[#This Row],[Date]],"mmm")</f>
        <v>Oct</v>
      </c>
    </row>
    <row r="1181" spans="1:9" x14ac:dyDescent="0.3">
      <c r="A1181" s="1">
        <v>45568</v>
      </c>
      <c r="B1181" t="s">
        <v>555</v>
      </c>
      <c r="C1181" t="s">
        <v>26</v>
      </c>
      <c r="D1181">
        <v>35</v>
      </c>
      <c r="E1181">
        <v>24261</v>
      </c>
      <c r="F1181">
        <v>849135</v>
      </c>
      <c r="G1181" t="s">
        <v>19</v>
      </c>
      <c r="H1181" t="s">
        <v>11</v>
      </c>
      <c r="I1181" t="str">
        <f>TEXT(tblSales[[#This Row],[Date]],"mmm")</f>
        <v>Oct</v>
      </c>
    </row>
    <row r="1182" spans="1:9" x14ac:dyDescent="0.3">
      <c r="A1182" s="1">
        <v>45578</v>
      </c>
      <c r="B1182" t="s">
        <v>560</v>
      </c>
      <c r="C1182" t="s">
        <v>13</v>
      </c>
      <c r="D1182">
        <v>39</v>
      </c>
      <c r="E1182">
        <v>33487</v>
      </c>
      <c r="F1182">
        <v>1305993</v>
      </c>
      <c r="G1182" t="s">
        <v>19</v>
      </c>
      <c r="H1182" t="s">
        <v>11</v>
      </c>
      <c r="I1182" t="str">
        <f>TEXT(tblSales[[#This Row],[Date]],"mmm")</f>
        <v>Oct</v>
      </c>
    </row>
    <row r="1183" spans="1:9" x14ac:dyDescent="0.3">
      <c r="A1183" s="1">
        <v>45595</v>
      </c>
      <c r="B1183" t="s">
        <v>578</v>
      </c>
      <c r="C1183" t="s">
        <v>22</v>
      </c>
      <c r="D1183">
        <v>31</v>
      </c>
      <c r="E1183">
        <v>36216</v>
      </c>
      <c r="F1183">
        <v>1122696</v>
      </c>
      <c r="G1183" t="s">
        <v>14</v>
      </c>
      <c r="H1183" t="s">
        <v>17</v>
      </c>
      <c r="I1183" t="str">
        <f>TEXT(tblSales[[#This Row],[Date]],"mmm")</f>
        <v>Oct</v>
      </c>
    </row>
    <row r="1184" spans="1:9" x14ac:dyDescent="0.3">
      <c r="A1184" s="1">
        <v>45593</v>
      </c>
      <c r="B1184" t="s">
        <v>593</v>
      </c>
      <c r="C1184" t="s">
        <v>9</v>
      </c>
      <c r="D1184">
        <v>39</v>
      </c>
      <c r="E1184">
        <v>27630</v>
      </c>
      <c r="F1184">
        <v>1077570</v>
      </c>
      <c r="G1184" t="s">
        <v>23</v>
      </c>
      <c r="H1184" t="s">
        <v>15</v>
      </c>
      <c r="I1184" t="str">
        <f>TEXT(tblSales[[#This Row],[Date]],"mmm")</f>
        <v>Oct</v>
      </c>
    </row>
    <row r="1185" spans="1:9" x14ac:dyDescent="0.3">
      <c r="A1185" s="1">
        <v>45582</v>
      </c>
      <c r="B1185" t="s">
        <v>595</v>
      </c>
      <c r="C1185" t="s">
        <v>35</v>
      </c>
      <c r="D1185">
        <v>34</v>
      </c>
      <c r="E1185">
        <v>9574</v>
      </c>
      <c r="F1185">
        <v>325516</v>
      </c>
      <c r="G1185" t="s">
        <v>14</v>
      </c>
      <c r="H1185" t="s">
        <v>27</v>
      </c>
      <c r="I1185" t="str">
        <f>TEXT(tblSales[[#This Row],[Date]],"mmm")</f>
        <v>Oct</v>
      </c>
    </row>
    <row r="1186" spans="1:9" x14ac:dyDescent="0.3">
      <c r="A1186" s="1">
        <v>45568</v>
      </c>
      <c r="B1186" t="s">
        <v>597</v>
      </c>
      <c r="C1186" t="s">
        <v>13</v>
      </c>
      <c r="D1186">
        <v>10</v>
      </c>
      <c r="E1186">
        <v>33288</v>
      </c>
      <c r="F1186">
        <v>332880</v>
      </c>
      <c r="G1186" t="s">
        <v>10</v>
      </c>
      <c r="H1186" t="s">
        <v>15</v>
      </c>
      <c r="I1186" t="str">
        <f>TEXT(tblSales[[#This Row],[Date]],"mmm")</f>
        <v>Oct</v>
      </c>
    </row>
    <row r="1187" spans="1:9" x14ac:dyDescent="0.3">
      <c r="A1187" s="1">
        <v>45579</v>
      </c>
      <c r="B1187" t="s">
        <v>602</v>
      </c>
      <c r="C1187" t="s">
        <v>13</v>
      </c>
      <c r="D1187">
        <v>1</v>
      </c>
      <c r="E1187">
        <v>42914</v>
      </c>
      <c r="F1187">
        <v>42914</v>
      </c>
      <c r="G1187" t="s">
        <v>19</v>
      </c>
      <c r="H1187" t="s">
        <v>17</v>
      </c>
      <c r="I1187" t="str">
        <f>TEXT(tblSales[[#This Row],[Date]],"mmm")</f>
        <v>Oct</v>
      </c>
    </row>
    <row r="1188" spans="1:9" x14ac:dyDescent="0.3">
      <c r="A1188" s="1">
        <v>45587</v>
      </c>
      <c r="B1188" t="s">
        <v>604</v>
      </c>
      <c r="C1188" t="s">
        <v>9</v>
      </c>
      <c r="D1188">
        <v>23</v>
      </c>
      <c r="E1188">
        <v>21782</v>
      </c>
      <c r="F1188">
        <v>500986</v>
      </c>
      <c r="G1188" t="s">
        <v>19</v>
      </c>
      <c r="H1188" t="s">
        <v>11</v>
      </c>
      <c r="I1188" t="str">
        <f>TEXT(tblSales[[#This Row],[Date]],"mmm")</f>
        <v>Oct</v>
      </c>
    </row>
    <row r="1189" spans="1:9" x14ac:dyDescent="0.3">
      <c r="A1189" s="1">
        <v>45569</v>
      </c>
      <c r="B1189" t="s">
        <v>608</v>
      </c>
      <c r="C1189" t="s">
        <v>26</v>
      </c>
      <c r="D1189">
        <v>2</v>
      </c>
      <c r="E1189">
        <v>38835</v>
      </c>
      <c r="F1189">
        <v>77670</v>
      </c>
      <c r="G1189" t="s">
        <v>19</v>
      </c>
      <c r="H1189" t="s">
        <v>17</v>
      </c>
      <c r="I1189" t="str">
        <f>TEXT(tblSales[[#This Row],[Date]],"mmm")</f>
        <v>Oct</v>
      </c>
    </row>
    <row r="1190" spans="1:9" x14ac:dyDescent="0.3">
      <c r="A1190" s="1">
        <v>45576</v>
      </c>
      <c r="B1190" t="s">
        <v>618</v>
      </c>
      <c r="C1190" t="s">
        <v>9</v>
      </c>
      <c r="D1190">
        <v>16</v>
      </c>
      <c r="E1190">
        <v>20484</v>
      </c>
      <c r="F1190">
        <v>327744</v>
      </c>
      <c r="G1190" t="s">
        <v>10</v>
      </c>
      <c r="H1190" t="s">
        <v>15</v>
      </c>
      <c r="I1190" t="str">
        <f>TEXT(tblSales[[#This Row],[Date]],"mmm")</f>
        <v>Oct</v>
      </c>
    </row>
    <row r="1191" spans="1:9" x14ac:dyDescent="0.3">
      <c r="A1191" s="1">
        <v>45586</v>
      </c>
      <c r="B1191" t="s">
        <v>630</v>
      </c>
      <c r="C1191" t="s">
        <v>26</v>
      </c>
      <c r="D1191">
        <v>19</v>
      </c>
      <c r="E1191">
        <v>23571</v>
      </c>
      <c r="F1191">
        <v>447849</v>
      </c>
      <c r="G1191" t="s">
        <v>23</v>
      </c>
      <c r="H1191" t="s">
        <v>11</v>
      </c>
      <c r="I1191" t="str">
        <f>TEXT(tblSales[[#This Row],[Date]],"mmm")</f>
        <v>Oct</v>
      </c>
    </row>
    <row r="1192" spans="1:9" x14ac:dyDescent="0.3">
      <c r="A1192" s="1">
        <v>45572</v>
      </c>
      <c r="B1192" t="s">
        <v>633</v>
      </c>
      <c r="C1192" t="s">
        <v>35</v>
      </c>
      <c r="D1192">
        <v>2</v>
      </c>
      <c r="E1192">
        <v>9853</v>
      </c>
      <c r="F1192">
        <v>19706</v>
      </c>
      <c r="G1192" t="s">
        <v>23</v>
      </c>
      <c r="H1192" t="s">
        <v>15</v>
      </c>
      <c r="I1192" t="str">
        <f>TEXT(tblSales[[#This Row],[Date]],"mmm")</f>
        <v>Oct</v>
      </c>
    </row>
    <row r="1193" spans="1:9" x14ac:dyDescent="0.3">
      <c r="A1193" s="1">
        <v>45590</v>
      </c>
      <c r="B1193" t="s">
        <v>637</v>
      </c>
      <c r="C1193" t="s">
        <v>13</v>
      </c>
      <c r="D1193">
        <v>10</v>
      </c>
      <c r="E1193">
        <v>17049</v>
      </c>
      <c r="F1193">
        <v>170490</v>
      </c>
      <c r="G1193" t="s">
        <v>19</v>
      </c>
      <c r="H1193" t="s">
        <v>27</v>
      </c>
      <c r="I1193" t="str">
        <f>TEXT(tblSales[[#This Row],[Date]],"mmm")</f>
        <v>Oct</v>
      </c>
    </row>
    <row r="1194" spans="1:9" x14ac:dyDescent="0.3">
      <c r="A1194" s="1">
        <v>45591</v>
      </c>
      <c r="B1194" t="s">
        <v>640</v>
      </c>
      <c r="C1194" t="s">
        <v>9</v>
      </c>
      <c r="D1194">
        <v>28</v>
      </c>
      <c r="E1194">
        <v>30700</v>
      </c>
      <c r="F1194">
        <v>859600</v>
      </c>
      <c r="G1194" t="s">
        <v>23</v>
      </c>
      <c r="H1194" t="s">
        <v>27</v>
      </c>
      <c r="I1194" t="str">
        <f>TEXT(tblSales[[#This Row],[Date]],"mmm")</f>
        <v>Oct</v>
      </c>
    </row>
    <row r="1195" spans="1:9" x14ac:dyDescent="0.3">
      <c r="A1195" s="1">
        <v>45589</v>
      </c>
      <c r="B1195" t="s">
        <v>650</v>
      </c>
      <c r="C1195" t="s">
        <v>9</v>
      </c>
      <c r="D1195">
        <v>30</v>
      </c>
      <c r="E1195">
        <v>22404</v>
      </c>
      <c r="F1195">
        <v>672120</v>
      </c>
      <c r="G1195" t="s">
        <v>23</v>
      </c>
      <c r="H1195" t="s">
        <v>30</v>
      </c>
      <c r="I1195" t="str">
        <f>TEXT(tblSales[[#This Row],[Date]],"mmm")</f>
        <v>Oct</v>
      </c>
    </row>
    <row r="1196" spans="1:9" x14ac:dyDescent="0.3">
      <c r="A1196" s="1">
        <v>45593</v>
      </c>
      <c r="B1196" t="s">
        <v>689</v>
      </c>
      <c r="C1196" t="s">
        <v>26</v>
      </c>
      <c r="D1196">
        <v>8</v>
      </c>
      <c r="E1196">
        <v>6442</v>
      </c>
      <c r="F1196">
        <v>51536</v>
      </c>
      <c r="G1196" t="s">
        <v>19</v>
      </c>
      <c r="H1196" t="s">
        <v>17</v>
      </c>
      <c r="I1196" t="str">
        <f>TEXT(tblSales[[#This Row],[Date]],"mmm")</f>
        <v>Oct</v>
      </c>
    </row>
    <row r="1197" spans="1:9" x14ac:dyDescent="0.3">
      <c r="A1197" s="1">
        <v>45589</v>
      </c>
      <c r="B1197" t="s">
        <v>709</v>
      </c>
      <c r="C1197" t="s">
        <v>13</v>
      </c>
      <c r="D1197">
        <v>19</v>
      </c>
      <c r="E1197">
        <v>10665</v>
      </c>
      <c r="F1197">
        <v>202635</v>
      </c>
      <c r="G1197" t="s">
        <v>23</v>
      </c>
      <c r="H1197" t="s">
        <v>17</v>
      </c>
      <c r="I1197" t="str">
        <f>TEXT(tblSales[[#This Row],[Date]],"mmm")</f>
        <v>Oct</v>
      </c>
    </row>
    <row r="1198" spans="1:9" x14ac:dyDescent="0.3">
      <c r="A1198" s="1">
        <v>45596</v>
      </c>
      <c r="B1198" t="s">
        <v>718</v>
      </c>
      <c r="C1198" t="s">
        <v>9</v>
      </c>
      <c r="D1198">
        <v>32</v>
      </c>
      <c r="E1198">
        <v>8036</v>
      </c>
      <c r="F1198">
        <v>257152</v>
      </c>
      <c r="G1198" t="s">
        <v>10</v>
      </c>
      <c r="H1198" t="s">
        <v>17</v>
      </c>
      <c r="I1198" t="str">
        <f>TEXT(tblSales[[#This Row],[Date]],"mmm")</f>
        <v>Oct</v>
      </c>
    </row>
    <row r="1199" spans="1:9" x14ac:dyDescent="0.3">
      <c r="A1199" s="1">
        <v>45580</v>
      </c>
      <c r="B1199" t="s">
        <v>738</v>
      </c>
      <c r="C1199" t="s">
        <v>22</v>
      </c>
      <c r="D1199">
        <v>31</v>
      </c>
      <c r="E1199">
        <v>35066</v>
      </c>
      <c r="F1199">
        <v>1087046</v>
      </c>
      <c r="G1199" t="s">
        <v>19</v>
      </c>
      <c r="H1199" t="s">
        <v>17</v>
      </c>
      <c r="I1199" t="str">
        <f>TEXT(tblSales[[#This Row],[Date]],"mmm")</f>
        <v>Oct</v>
      </c>
    </row>
    <row r="1200" spans="1:9" x14ac:dyDescent="0.3">
      <c r="A1200" s="1">
        <v>45569</v>
      </c>
      <c r="B1200" t="s">
        <v>739</v>
      </c>
      <c r="C1200" t="s">
        <v>35</v>
      </c>
      <c r="D1200">
        <v>1</v>
      </c>
      <c r="E1200">
        <v>42587</v>
      </c>
      <c r="F1200">
        <v>42587</v>
      </c>
      <c r="G1200" t="s">
        <v>19</v>
      </c>
      <c r="H1200" t="s">
        <v>30</v>
      </c>
      <c r="I1200" t="str">
        <f>TEXT(tblSales[[#This Row],[Date]],"mmm")</f>
        <v>Oct</v>
      </c>
    </row>
    <row r="1201" spans="1:9" x14ac:dyDescent="0.3">
      <c r="A1201" s="1">
        <v>45579</v>
      </c>
      <c r="B1201" t="s">
        <v>746</v>
      </c>
      <c r="C1201" t="s">
        <v>9</v>
      </c>
      <c r="D1201">
        <v>11</v>
      </c>
      <c r="E1201">
        <v>25030</v>
      </c>
      <c r="F1201">
        <v>275330</v>
      </c>
      <c r="G1201" t="s">
        <v>19</v>
      </c>
      <c r="H1201" t="s">
        <v>11</v>
      </c>
      <c r="I1201" t="str">
        <f>TEXT(tblSales[[#This Row],[Date]],"mmm")</f>
        <v>Oct</v>
      </c>
    </row>
    <row r="1202" spans="1:9" x14ac:dyDescent="0.3">
      <c r="A1202" s="1">
        <v>45583</v>
      </c>
      <c r="B1202" t="s">
        <v>781</v>
      </c>
      <c r="C1202" t="s">
        <v>35</v>
      </c>
      <c r="D1202">
        <v>34</v>
      </c>
      <c r="E1202">
        <v>9200</v>
      </c>
      <c r="F1202">
        <v>312800</v>
      </c>
      <c r="G1202" t="s">
        <v>14</v>
      </c>
      <c r="H1202" t="s">
        <v>15</v>
      </c>
      <c r="I1202" t="str">
        <f>TEXT(tblSales[[#This Row],[Date]],"mmm")</f>
        <v>Oct</v>
      </c>
    </row>
    <row r="1203" spans="1:9" x14ac:dyDescent="0.3">
      <c r="A1203" s="1">
        <v>45577</v>
      </c>
      <c r="B1203" t="s">
        <v>807</v>
      </c>
      <c r="C1203" t="s">
        <v>35</v>
      </c>
      <c r="D1203">
        <v>7</v>
      </c>
      <c r="E1203">
        <v>26474</v>
      </c>
      <c r="F1203">
        <v>185318</v>
      </c>
      <c r="G1203" t="s">
        <v>10</v>
      </c>
      <c r="H1203" t="s">
        <v>27</v>
      </c>
      <c r="I1203" t="str">
        <f>TEXT(tblSales[[#This Row],[Date]],"mmm")</f>
        <v>Oct</v>
      </c>
    </row>
    <row r="1204" spans="1:9" x14ac:dyDescent="0.3">
      <c r="A1204" s="1">
        <v>45566</v>
      </c>
      <c r="B1204" t="s">
        <v>823</v>
      </c>
      <c r="C1204" t="s">
        <v>26</v>
      </c>
      <c r="D1204">
        <v>39</v>
      </c>
      <c r="E1204">
        <v>20344</v>
      </c>
      <c r="F1204">
        <v>793416</v>
      </c>
      <c r="G1204" t="s">
        <v>10</v>
      </c>
      <c r="H1204" t="s">
        <v>30</v>
      </c>
      <c r="I1204" t="str">
        <f>TEXT(tblSales[[#This Row],[Date]],"mmm")</f>
        <v>Oct</v>
      </c>
    </row>
    <row r="1205" spans="1:9" x14ac:dyDescent="0.3">
      <c r="A1205" s="1">
        <v>45572</v>
      </c>
      <c r="B1205" t="s">
        <v>833</v>
      </c>
      <c r="C1205" t="s">
        <v>22</v>
      </c>
      <c r="D1205">
        <v>6</v>
      </c>
      <c r="E1205">
        <v>11373</v>
      </c>
      <c r="F1205">
        <v>68238</v>
      </c>
      <c r="G1205" t="s">
        <v>14</v>
      </c>
      <c r="H1205" t="s">
        <v>11</v>
      </c>
      <c r="I1205" t="str">
        <f>TEXT(tblSales[[#This Row],[Date]],"mmm")</f>
        <v>Oct</v>
      </c>
    </row>
    <row r="1206" spans="1:9" x14ac:dyDescent="0.3">
      <c r="A1206" s="1">
        <v>45570</v>
      </c>
      <c r="B1206" t="s">
        <v>848</v>
      </c>
      <c r="C1206" t="s">
        <v>13</v>
      </c>
      <c r="D1206">
        <v>9</v>
      </c>
      <c r="E1206">
        <v>40628</v>
      </c>
      <c r="F1206">
        <v>365652</v>
      </c>
      <c r="G1206" t="s">
        <v>19</v>
      </c>
      <c r="H1206" t="s">
        <v>17</v>
      </c>
      <c r="I1206" t="str">
        <f>TEXT(tblSales[[#This Row],[Date]],"mmm")</f>
        <v>Oct</v>
      </c>
    </row>
    <row r="1207" spans="1:9" x14ac:dyDescent="0.3">
      <c r="A1207" s="1">
        <v>45582</v>
      </c>
      <c r="B1207" t="s">
        <v>865</v>
      </c>
      <c r="C1207" t="s">
        <v>9</v>
      </c>
      <c r="D1207">
        <v>23</v>
      </c>
      <c r="E1207">
        <v>12910</v>
      </c>
      <c r="F1207">
        <v>296930</v>
      </c>
      <c r="G1207" t="s">
        <v>10</v>
      </c>
      <c r="H1207" t="s">
        <v>17</v>
      </c>
      <c r="I1207" t="str">
        <f>TEXT(tblSales[[#This Row],[Date]],"mmm")</f>
        <v>Oct</v>
      </c>
    </row>
    <row r="1208" spans="1:9" x14ac:dyDescent="0.3">
      <c r="A1208" s="1">
        <v>45580</v>
      </c>
      <c r="B1208" t="s">
        <v>887</v>
      </c>
      <c r="C1208" t="s">
        <v>9</v>
      </c>
      <c r="D1208">
        <v>5</v>
      </c>
      <c r="E1208">
        <v>24286</v>
      </c>
      <c r="F1208">
        <v>121430</v>
      </c>
      <c r="G1208" t="s">
        <v>23</v>
      </c>
      <c r="H1208" t="s">
        <v>17</v>
      </c>
      <c r="I1208" t="str">
        <f>TEXT(tblSales[[#This Row],[Date]],"mmm")</f>
        <v>Oct</v>
      </c>
    </row>
    <row r="1209" spans="1:9" x14ac:dyDescent="0.3">
      <c r="A1209" s="1">
        <v>45583</v>
      </c>
      <c r="B1209" t="s">
        <v>901</v>
      </c>
      <c r="C1209" t="s">
        <v>9</v>
      </c>
      <c r="D1209">
        <v>40</v>
      </c>
      <c r="E1209">
        <v>29821</v>
      </c>
      <c r="F1209">
        <v>1192840</v>
      </c>
      <c r="G1209" t="s">
        <v>19</v>
      </c>
      <c r="H1209" t="s">
        <v>27</v>
      </c>
      <c r="I1209" t="str">
        <f>TEXT(tblSales[[#This Row],[Date]],"mmm")</f>
        <v>Oct</v>
      </c>
    </row>
    <row r="1210" spans="1:9" x14ac:dyDescent="0.3">
      <c r="A1210" s="1">
        <v>45587</v>
      </c>
      <c r="B1210" t="s">
        <v>902</v>
      </c>
      <c r="C1210" t="s">
        <v>35</v>
      </c>
      <c r="D1210">
        <v>1</v>
      </c>
      <c r="E1210">
        <v>16417</v>
      </c>
      <c r="F1210">
        <v>16417</v>
      </c>
      <c r="G1210" t="s">
        <v>14</v>
      </c>
      <c r="H1210" t="s">
        <v>15</v>
      </c>
      <c r="I1210" t="str">
        <f>TEXT(tblSales[[#This Row],[Date]],"mmm")</f>
        <v>Oct</v>
      </c>
    </row>
    <row r="1211" spans="1:9" x14ac:dyDescent="0.3">
      <c r="A1211" s="1">
        <v>45584</v>
      </c>
      <c r="B1211" t="s">
        <v>907</v>
      </c>
      <c r="C1211" t="s">
        <v>22</v>
      </c>
      <c r="D1211">
        <v>26</v>
      </c>
      <c r="E1211">
        <v>19228</v>
      </c>
      <c r="F1211">
        <v>499928</v>
      </c>
      <c r="G1211" t="s">
        <v>19</v>
      </c>
      <c r="H1211" t="s">
        <v>27</v>
      </c>
      <c r="I1211" t="str">
        <f>TEXT(tblSales[[#This Row],[Date]],"mmm")</f>
        <v>Oct</v>
      </c>
    </row>
    <row r="1212" spans="1:9" x14ac:dyDescent="0.3">
      <c r="A1212" s="1">
        <v>45581</v>
      </c>
      <c r="B1212" t="s">
        <v>908</v>
      </c>
      <c r="C1212" t="s">
        <v>26</v>
      </c>
      <c r="D1212">
        <v>27</v>
      </c>
      <c r="E1212">
        <v>9796</v>
      </c>
      <c r="F1212">
        <v>264492</v>
      </c>
      <c r="G1212" t="s">
        <v>23</v>
      </c>
      <c r="H1212" t="s">
        <v>11</v>
      </c>
      <c r="I1212" t="str">
        <f>TEXT(tblSales[[#This Row],[Date]],"mmm")</f>
        <v>Oct</v>
      </c>
    </row>
    <row r="1213" spans="1:9" x14ac:dyDescent="0.3">
      <c r="A1213" s="1">
        <v>45568</v>
      </c>
      <c r="B1213" t="s">
        <v>910</v>
      </c>
      <c r="C1213" t="s">
        <v>22</v>
      </c>
      <c r="D1213">
        <v>33</v>
      </c>
      <c r="E1213">
        <v>36071</v>
      </c>
      <c r="F1213">
        <v>1190343</v>
      </c>
      <c r="G1213" t="s">
        <v>19</v>
      </c>
      <c r="H1213" t="s">
        <v>30</v>
      </c>
      <c r="I1213" t="str">
        <f>TEXT(tblSales[[#This Row],[Date]],"mmm")</f>
        <v>Oct</v>
      </c>
    </row>
    <row r="1214" spans="1:9" x14ac:dyDescent="0.3">
      <c r="A1214" s="1">
        <v>45577</v>
      </c>
      <c r="B1214" t="s">
        <v>915</v>
      </c>
      <c r="C1214" t="s">
        <v>35</v>
      </c>
      <c r="D1214">
        <v>36</v>
      </c>
      <c r="E1214">
        <v>40286</v>
      </c>
      <c r="F1214">
        <v>1450296</v>
      </c>
      <c r="G1214" t="s">
        <v>10</v>
      </c>
      <c r="H1214" t="s">
        <v>11</v>
      </c>
      <c r="I1214" t="str">
        <f>TEXT(tblSales[[#This Row],[Date]],"mmm")</f>
        <v>Oct</v>
      </c>
    </row>
    <row r="1215" spans="1:9" x14ac:dyDescent="0.3">
      <c r="A1215" s="1">
        <v>45594</v>
      </c>
      <c r="B1215" t="s">
        <v>919</v>
      </c>
      <c r="C1215" t="s">
        <v>22</v>
      </c>
      <c r="D1215">
        <v>40</v>
      </c>
      <c r="E1215">
        <v>41372</v>
      </c>
      <c r="F1215">
        <v>1654880</v>
      </c>
      <c r="G1215" t="s">
        <v>23</v>
      </c>
      <c r="H1215" t="s">
        <v>27</v>
      </c>
      <c r="I1215" t="str">
        <f>TEXT(tblSales[[#This Row],[Date]],"mmm")</f>
        <v>Oct</v>
      </c>
    </row>
    <row r="1216" spans="1:9" x14ac:dyDescent="0.3">
      <c r="A1216" s="1">
        <v>45595</v>
      </c>
      <c r="B1216" t="s">
        <v>939</v>
      </c>
      <c r="C1216" t="s">
        <v>26</v>
      </c>
      <c r="D1216">
        <v>12</v>
      </c>
      <c r="E1216">
        <v>21426</v>
      </c>
      <c r="F1216">
        <v>257112</v>
      </c>
      <c r="G1216" t="s">
        <v>23</v>
      </c>
      <c r="H1216" t="s">
        <v>11</v>
      </c>
      <c r="I1216" t="str">
        <f>TEXT(tblSales[[#This Row],[Date]],"mmm")</f>
        <v>Oct</v>
      </c>
    </row>
    <row r="1217" spans="1:9" x14ac:dyDescent="0.3">
      <c r="A1217" s="1">
        <v>45584</v>
      </c>
      <c r="B1217" t="s">
        <v>946</v>
      </c>
      <c r="C1217" t="s">
        <v>35</v>
      </c>
      <c r="D1217">
        <v>10</v>
      </c>
      <c r="E1217">
        <v>5166</v>
      </c>
      <c r="F1217">
        <v>51660</v>
      </c>
      <c r="G1217" t="s">
        <v>23</v>
      </c>
      <c r="H1217" t="s">
        <v>30</v>
      </c>
      <c r="I1217" t="str">
        <f>TEXT(tblSales[[#This Row],[Date]],"mmm")</f>
        <v>Oct</v>
      </c>
    </row>
    <row r="1218" spans="1:9" x14ac:dyDescent="0.3">
      <c r="A1218" s="1">
        <v>45583</v>
      </c>
      <c r="B1218" t="s">
        <v>952</v>
      </c>
      <c r="C1218" t="s">
        <v>35</v>
      </c>
      <c r="D1218">
        <v>17</v>
      </c>
      <c r="E1218">
        <v>34500</v>
      </c>
      <c r="F1218">
        <v>586500</v>
      </c>
      <c r="G1218" t="s">
        <v>19</v>
      </c>
      <c r="H1218" t="s">
        <v>15</v>
      </c>
      <c r="I1218" t="str">
        <f>TEXT(tblSales[[#This Row],[Date]],"mmm")</f>
        <v>Oct</v>
      </c>
    </row>
    <row r="1219" spans="1:9" x14ac:dyDescent="0.3">
      <c r="A1219" s="1">
        <v>45581</v>
      </c>
      <c r="B1219" t="s">
        <v>979</v>
      </c>
      <c r="C1219" t="s">
        <v>9</v>
      </c>
      <c r="D1219">
        <v>35</v>
      </c>
      <c r="E1219">
        <v>34484</v>
      </c>
      <c r="F1219">
        <v>1206940</v>
      </c>
      <c r="G1219" t="s">
        <v>14</v>
      </c>
      <c r="H1219" t="s">
        <v>30</v>
      </c>
      <c r="I1219" t="str">
        <f>TEXT(tblSales[[#This Row],[Date]],"mmm")</f>
        <v>Oct</v>
      </c>
    </row>
    <row r="1220" spans="1:9" x14ac:dyDescent="0.3">
      <c r="A1220" s="1">
        <v>45591</v>
      </c>
      <c r="B1220" t="s">
        <v>985</v>
      </c>
      <c r="C1220" t="s">
        <v>35</v>
      </c>
      <c r="D1220">
        <v>6</v>
      </c>
      <c r="E1220">
        <v>31134</v>
      </c>
      <c r="F1220">
        <v>186804</v>
      </c>
      <c r="G1220" t="s">
        <v>14</v>
      </c>
      <c r="H1220" t="s">
        <v>30</v>
      </c>
      <c r="I1220" t="str">
        <f>TEXT(tblSales[[#This Row],[Date]],"mmm")</f>
        <v>Oct</v>
      </c>
    </row>
    <row r="1221" spans="1:9" x14ac:dyDescent="0.3">
      <c r="A1221" s="1">
        <v>45575</v>
      </c>
      <c r="B1221" t="s">
        <v>987</v>
      </c>
      <c r="C1221" t="s">
        <v>26</v>
      </c>
      <c r="D1221">
        <v>28</v>
      </c>
      <c r="E1221">
        <v>19043</v>
      </c>
      <c r="F1221">
        <v>533204</v>
      </c>
      <c r="G1221" t="s">
        <v>19</v>
      </c>
      <c r="H1221" t="s">
        <v>15</v>
      </c>
      <c r="I1221" t="str">
        <f>TEXT(tblSales[[#This Row],[Date]],"mmm")</f>
        <v>Oct</v>
      </c>
    </row>
    <row r="1222" spans="1:9" x14ac:dyDescent="0.3">
      <c r="A1222" s="1">
        <v>45571</v>
      </c>
      <c r="B1222" t="s">
        <v>989</v>
      </c>
      <c r="C1222" t="s">
        <v>35</v>
      </c>
      <c r="D1222">
        <v>14</v>
      </c>
      <c r="E1222">
        <v>14695</v>
      </c>
      <c r="F1222">
        <v>205730</v>
      </c>
      <c r="G1222" t="s">
        <v>19</v>
      </c>
      <c r="H1222" t="s">
        <v>17</v>
      </c>
      <c r="I1222" t="str">
        <f>TEXT(tblSales[[#This Row],[Date]],"mmm")</f>
        <v>Oct</v>
      </c>
    </row>
    <row r="1223" spans="1:9" x14ac:dyDescent="0.3">
      <c r="A1223" s="1">
        <v>45596</v>
      </c>
      <c r="B1223" t="s">
        <v>995</v>
      </c>
      <c r="C1223" t="s">
        <v>35</v>
      </c>
      <c r="D1223">
        <v>34</v>
      </c>
      <c r="E1223">
        <v>15204</v>
      </c>
      <c r="F1223">
        <v>516936</v>
      </c>
      <c r="G1223" t="s">
        <v>23</v>
      </c>
      <c r="H1223" t="s">
        <v>15</v>
      </c>
      <c r="I1223" t="str">
        <f>TEXT(tblSales[[#This Row],[Date]],"mmm")</f>
        <v>Oct</v>
      </c>
    </row>
    <row r="1224" spans="1:9" x14ac:dyDescent="0.3">
      <c r="A1224" s="1">
        <v>45571</v>
      </c>
      <c r="B1224" t="s">
        <v>997</v>
      </c>
      <c r="C1224" t="s">
        <v>9</v>
      </c>
      <c r="D1224">
        <v>29</v>
      </c>
      <c r="E1224">
        <v>5009</v>
      </c>
      <c r="F1224">
        <v>145261</v>
      </c>
      <c r="G1224" t="s">
        <v>10</v>
      </c>
      <c r="H1224" t="s">
        <v>11</v>
      </c>
      <c r="I1224" t="str">
        <f>TEXT(tblSales[[#This Row],[Date]],"mmm")</f>
        <v>Oct</v>
      </c>
    </row>
    <row r="1225" spans="1:9" x14ac:dyDescent="0.3">
      <c r="A1225" s="1">
        <v>45571</v>
      </c>
      <c r="B1225" t="s">
        <v>1001</v>
      </c>
      <c r="C1225" t="s">
        <v>22</v>
      </c>
      <c r="D1225">
        <v>2</v>
      </c>
      <c r="E1225">
        <v>36292</v>
      </c>
      <c r="F1225">
        <v>72584</v>
      </c>
      <c r="G1225" t="s">
        <v>19</v>
      </c>
      <c r="H1225" t="s">
        <v>11</v>
      </c>
      <c r="I1225" t="str">
        <f>TEXT(tblSales[[#This Row],[Date]],"mmm")</f>
        <v>Oct</v>
      </c>
    </row>
    <row r="1226" spans="1:9" x14ac:dyDescent="0.3">
      <c r="A1226" s="1">
        <v>45591</v>
      </c>
      <c r="B1226" t="s">
        <v>1019</v>
      </c>
      <c r="C1226" t="s">
        <v>35</v>
      </c>
      <c r="D1226">
        <v>20</v>
      </c>
      <c r="E1226">
        <v>19634</v>
      </c>
      <c r="F1226">
        <v>392680</v>
      </c>
      <c r="G1226" t="s">
        <v>10</v>
      </c>
      <c r="H1226" t="s">
        <v>15</v>
      </c>
      <c r="I1226" t="str">
        <f>TEXT(tblSales[[#This Row],[Date]],"mmm")</f>
        <v>Oct</v>
      </c>
    </row>
    <row r="1227" spans="1:9" x14ac:dyDescent="0.3">
      <c r="A1227" s="1">
        <v>45592</v>
      </c>
      <c r="B1227" t="s">
        <v>1023</v>
      </c>
      <c r="C1227" t="s">
        <v>9</v>
      </c>
      <c r="D1227">
        <v>34</v>
      </c>
      <c r="E1227">
        <v>42444</v>
      </c>
      <c r="F1227">
        <v>1443096</v>
      </c>
      <c r="G1227" t="s">
        <v>23</v>
      </c>
      <c r="H1227" t="s">
        <v>11</v>
      </c>
      <c r="I1227" t="str">
        <f>TEXT(tblSales[[#This Row],[Date]],"mmm")</f>
        <v>Oct</v>
      </c>
    </row>
    <row r="1228" spans="1:9" x14ac:dyDescent="0.3">
      <c r="A1228" s="1">
        <v>45589</v>
      </c>
      <c r="B1228" t="s">
        <v>1024</v>
      </c>
      <c r="C1228" t="s">
        <v>26</v>
      </c>
      <c r="D1228">
        <v>29</v>
      </c>
      <c r="E1228">
        <v>33097</v>
      </c>
      <c r="F1228">
        <v>959813</v>
      </c>
      <c r="G1228" t="s">
        <v>23</v>
      </c>
      <c r="H1228" t="s">
        <v>30</v>
      </c>
      <c r="I1228" t="str">
        <f>TEXT(tblSales[[#This Row],[Date]],"mmm")</f>
        <v>Oct</v>
      </c>
    </row>
    <row r="1229" spans="1:9" x14ac:dyDescent="0.3">
      <c r="A1229" s="1">
        <v>45569</v>
      </c>
      <c r="B1229" t="s">
        <v>1035</v>
      </c>
      <c r="C1229" t="s">
        <v>22</v>
      </c>
      <c r="D1229">
        <v>8</v>
      </c>
      <c r="E1229">
        <v>22893</v>
      </c>
      <c r="F1229">
        <v>183144</v>
      </c>
      <c r="G1229" t="s">
        <v>10</v>
      </c>
      <c r="H1229" t="s">
        <v>15</v>
      </c>
      <c r="I1229" t="str">
        <f>TEXT(tblSales[[#This Row],[Date]],"mmm")</f>
        <v>Oct</v>
      </c>
    </row>
    <row r="1230" spans="1:9" x14ac:dyDescent="0.3">
      <c r="A1230" s="1">
        <v>45595</v>
      </c>
      <c r="B1230" t="s">
        <v>1049</v>
      </c>
      <c r="C1230" t="s">
        <v>35</v>
      </c>
      <c r="D1230">
        <v>12</v>
      </c>
      <c r="E1230">
        <v>8895</v>
      </c>
      <c r="F1230">
        <v>106740</v>
      </c>
      <c r="G1230" t="s">
        <v>14</v>
      </c>
      <c r="H1230" t="s">
        <v>11</v>
      </c>
      <c r="I1230" t="str">
        <f>TEXT(tblSales[[#This Row],[Date]],"mmm")</f>
        <v>Oct</v>
      </c>
    </row>
    <row r="1231" spans="1:9" x14ac:dyDescent="0.3">
      <c r="A1231" s="1">
        <v>45582</v>
      </c>
      <c r="B1231" t="s">
        <v>1062</v>
      </c>
      <c r="C1231" t="s">
        <v>9</v>
      </c>
      <c r="D1231">
        <v>31</v>
      </c>
      <c r="E1231">
        <v>33830</v>
      </c>
      <c r="F1231">
        <v>1048730</v>
      </c>
      <c r="G1231" t="s">
        <v>23</v>
      </c>
      <c r="H1231" t="s">
        <v>17</v>
      </c>
      <c r="I1231" t="str">
        <f>TEXT(tblSales[[#This Row],[Date]],"mmm")</f>
        <v>Oct</v>
      </c>
    </row>
    <row r="1232" spans="1:9" x14ac:dyDescent="0.3">
      <c r="A1232" s="1">
        <v>45586</v>
      </c>
      <c r="B1232" t="s">
        <v>1070</v>
      </c>
      <c r="C1232" t="s">
        <v>13</v>
      </c>
      <c r="D1232">
        <v>12</v>
      </c>
      <c r="E1232">
        <v>37822</v>
      </c>
      <c r="F1232">
        <v>453864</v>
      </c>
      <c r="G1232" t="s">
        <v>14</v>
      </c>
      <c r="H1232" t="s">
        <v>17</v>
      </c>
      <c r="I1232" t="str">
        <f>TEXT(tblSales[[#This Row],[Date]],"mmm")</f>
        <v>Oct</v>
      </c>
    </row>
    <row r="1233" spans="1:9" x14ac:dyDescent="0.3">
      <c r="A1233" s="1">
        <v>45594</v>
      </c>
      <c r="B1233" t="s">
        <v>1081</v>
      </c>
      <c r="C1233" t="s">
        <v>35</v>
      </c>
      <c r="D1233">
        <v>25</v>
      </c>
      <c r="E1233">
        <v>5533</v>
      </c>
      <c r="F1233">
        <v>138325</v>
      </c>
      <c r="G1233" t="s">
        <v>14</v>
      </c>
      <c r="H1233" t="s">
        <v>30</v>
      </c>
      <c r="I1233" t="str">
        <f>TEXT(tblSales[[#This Row],[Date]],"mmm")</f>
        <v>Oct</v>
      </c>
    </row>
    <row r="1234" spans="1:9" x14ac:dyDescent="0.3">
      <c r="A1234" s="1">
        <v>45589</v>
      </c>
      <c r="B1234" t="s">
        <v>1099</v>
      </c>
      <c r="C1234" t="s">
        <v>26</v>
      </c>
      <c r="D1234">
        <v>33</v>
      </c>
      <c r="E1234">
        <v>17680</v>
      </c>
      <c r="F1234">
        <v>583440</v>
      </c>
      <c r="G1234" t="s">
        <v>23</v>
      </c>
      <c r="H1234" t="s">
        <v>15</v>
      </c>
      <c r="I1234" t="str">
        <f>TEXT(tblSales[[#This Row],[Date]],"mmm")</f>
        <v>Oct</v>
      </c>
    </row>
    <row r="1235" spans="1:9" x14ac:dyDescent="0.3">
      <c r="A1235" s="1">
        <v>45583</v>
      </c>
      <c r="B1235" t="s">
        <v>1122</v>
      </c>
      <c r="C1235" t="s">
        <v>13</v>
      </c>
      <c r="D1235">
        <v>40</v>
      </c>
      <c r="E1235">
        <v>28522</v>
      </c>
      <c r="F1235">
        <v>1140880</v>
      </c>
      <c r="G1235" t="s">
        <v>10</v>
      </c>
      <c r="H1235" t="s">
        <v>30</v>
      </c>
      <c r="I1235" t="str">
        <f>TEXT(tblSales[[#This Row],[Date]],"mmm")</f>
        <v>Oct</v>
      </c>
    </row>
    <row r="1236" spans="1:9" x14ac:dyDescent="0.3">
      <c r="A1236" s="1">
        <v>45579</v>
      </c>
      <c r="B1236" t="s">
        <v>1126</v>
      </c>
      <c r="C1236" t="s">
        <v>13</v>
      </c>
      <c r="D1236">
        <v>36</v>
      </c>
      <c r="E1236">
        <v>15433</v>
      </c>
      <c r="F1236">
        <v>555588</v>
      </c>
      <c r="G1236" t="s">
        <v>14</v>
      </c>
      <c r="H1236" t="s">
        <v>30</v>
      </c>
      <c r="I1236" t="str">
        <f>TEXT(tblSales[[#This Row],[Date]],"mmm")</f>
        <v>Oct</v>
      </c>
    </row>
    <row r="1237" spans="1:9" x14ac:dyDescent="0.3">
      <c r="A1237" s="1">
        <v>45576</v>
      </c>
      <c r="B1237" t="s">
        <v>1165</v>
      </c>
      <c r="C1237" t="s">
        <v>26</v>
      </c>
      <c r="D1237">
        <v>10</v>
      </c>
      <c r="E1237">
        <v>5493</v>
      </c>
      <c r="F1237">
        <v>54930</v>
      </c>
      <c r="G1237" t="s">
        <v>19</v>
      </c>
      <c r="H1237" t="s">
        <v>11</v>
      </c>
      <c r="I1237" t="str">
        <f>TEXT(tblSales[[#This Row],[Date]],"mmm")</f>
        <v>Oct</v>
      </c>
    </row>
    <row r="1238" spans="1:9" x14ac:dyDescent="0.3">
      <c r="A1238" s="1">
        <v>45579</v>
      </c>
      <c r="B1238" t="s">
        <v>1192</v>
      </c>
      <c r="C1238" t="s">
        <v>13</v>
      </c>
      <c r="D1238">
        <v>38</v>
      </c>
      <c r="E1238">
        <v>21352</v>
      </c>
      <c r="F1238">
        <v>811376</v>
      </c>
      <c r="G1238" t="s">
        <v>10</v>
      </c>
      <c r="H1238" t="s">
        <v>11</v>
      </c>
      <c r="I1238" t="str">
        <f>TEXT(tblSales[[#This Row],[Date]],"mmm")</f>
        <v>Oct</v>
      </c>
    </row>
    <row r="1239" spans="1:9" x14ac:dyDescent="0.3">
      <c r="A1239" s="1">
        <v>45585</v>
      </c>
      <c r="B1239" t="s">
        <v>1200</v>
      </c>
      <c r="C1239" t="s">
        <v>35</v>
      </c>
      <c r="D1239">
        <v>33</v>
      </c>
      <c r="E1239">
        <v>9160</v>
      </c>
      <c r="F1239">
        <v>302280</v>
      </c>
      <c r="G1239" t="s">
        <v>10</v>
      </c>
      <c r="H1239" t="s">
        <v>27</v>
      </c>
      <c r="I1239" t="str">
        <f>TEXT(tblSales[[#This Row],[Date]],"mmm")</f>
        <v>Oct</v>
      </c>
    </row>
    <row r="1240" spans="1:9" x14ac:dyDescent="0.3">
      <c r="A1240" s="1">
        <v>45574</v>
      </c>
      <c r="B1240" t="s">
        <v>1230</v>
      </c>
      <c r="C1240" t="s">
        <v>13</v>
      </c>
      <c r="D1240">
        <v>16</v>
      </c>
      <c r="E1240">
        <v>13825</v>
      </c>
      <c r="F1240">
        <v>221200</v>
      </c>
      <c r="G1240" t="s">
        <v>23</v>
      </c>
      <c r="H1240" t="s">
        <v>15</v>
      </c>
      <c r="I1240" t="str">
        <f>TEXT(tblSales[[#This Row],[Date]],"mmm")</f>
        <v>Oct</v>
      </c>
    </row>
    <row r="1241" spans="1:9" x14ac:dyDescent="0.3">
      <c r="A1241" s="1">
        <v>45572</v>
      </c>
      <c r="B1241" t="s">
        <v>1241</v>
      </c>
      <c r="C1241" t="s">
        <v>13</v>
      </c>
      <c r="D1241">
        <v>34</v>
      </c>
      <c r="E1241">
        <v>14501</v>
      </c>
      <c r="F1241">
        <v>493034</v>
      </c>
      <c r="G1241" t="s">
        <v>10</v>
      </c>
      <c r="H1241" t="s">
        <v>15</v>
      </c>
      <c r="I1241" t="str">
        <f>TEXT(tblSales[[#This Row],[Date]],"mmm")</f>
        <v>Oct</v>
      </c>
    </row>
    <row r="1242" spans="1:9" x14ac:dyDescent="0.3">
      <c r="A1242" s="1">
        <v>45593</v>
      </c>
      <c r="B1242" t="s">
        <v>1283</v>
      </c>
      <c r="C1242" t="s">
        <v>9</v>
      </c>
      <c r="D1242">
        <v>3</v>
      </c>
      <c r="E1242">
        <v>30969</v>
      </c>
      <c r="F1242">
        <v>92907</v>
      </c>
      <c r="G1242" t="s">
        <v>10</v>
      </c>
      <c r="H1242" t="s">
        <v>15</v>
      </c>
      <c r="I1242" t="str">
        <f>TEXT(tblSales[[#This Row],[Date]],"mmm")</f>
        <v>Oct</v>
      </c>
    </row>
    <row r="1243" spans="1:9" x14ac:dyDescent="0.3">
      <c r="A1243" s="1">
        <v>45579</v>
      </c>
      <c r="B1243" t="s">
        <v>1305</v>
      </c>
      <c r="C1243" t="s">
        <v>22</v>
      </c>
      <c r="D1243">
        <v>12</v>
      </c>
      <c r="E1243">
        <v>17460</v>
      </c>
      <c r="F1243">
        <v>209520</v>
      </c>
      <c r="G1243" t="s">
        <v>19</v>
      </c>
      <c r="H1243" t="s">
        <v>17</v>
      </c>
      <c r="I1243" t="str">
        <f>TEXT(tblSales[[#This Row],[Date]],"mmm")</f>
        <v>Oct</v>
      </c>
    </row>
    <row r="1244" spans="1:9" x14ac:dyDescent="0.3">
      <c r="A1244" s="1">
        <v>45593</v>
      </c>
      <c r="B1244" t="s">
        <v>1321</v>
      </c>
      <c r="C1244" t="s">
        <v>26</v>
      </c>
      <c r="D1244">
        <v>21</v>
      </c>
      <c r="E1244">
        <v>18958</v>
      </c>
      <c r="F1244">
        <v>398118</v>
      </c>
      <c r="G1244" t="s">
        <v>14</v>
      </c>
      <c r="H1244" t="s">
        <v>11</v>
      </c>
      <c r="I1244" t="str">
        <f>TEXT(tblSales[[#This Row],[Date]],"mmm")</f>
        <v>Oct</v>
      </c>
    </row>
    <row r="1245" spans="1:9" x14ac:dyDescent="0.3">
      <c r="A1245" s="1">
        <v>45574</v>
      </c>
      <c r="B1245" t="s">
        <v>1327</v>
      </c>
      <c r="C1245" t="s">
        <v>9</v>
      </c>
      <c r="D1245">
        <v>4</v>
      </c>
      <c r="E1245">
        <v>30705</v>
      </c>
      <c r="F1245">
        <v>122820</v>
      </c>
      <c r="G1245" t="s">
        <v>10</v>
      </c>
      <c r="H1245" t="s">
        <v>17</v>
      </c>
      <c r="I1245" t="str">
        <f>TEXT(tblSales[[#This Row],[Date]],"mmm")</f>
        <v>Oct</v>
      </c>
    </row>
    <row r="1246" spans="1:9" x14ac:dyDescent="0.3">
      <c r="A1246" s="1">
        <v>45566</v>
      </c>
      <c r="B1246" t="s">
        <v>1347</v>
      </c>
      <c r="C1246" t="s">
        <v>35</v>
      </c>
      <c r="D1246">
        <v>14</v>
      </c>
      <c r="E1246">
        <v>31982</v>
      </c>
      <c r="F1246">
        <v>447748</v>
      </c>
      <c r="G1246" t="s">
        <v>23</v>
      </c>
      <c r="H1246" t="s">
        <v>27</v>
      </c>
      <c r="I1246" t="str">
        <f>TEXT(tblSales[[#This Row],[Date]],"mmm")</f>
        <v>Oct</v>
      </c>
    </row>
    <row r="1247" spans="1:9" x14ac:dyDescent="0.3">
      <c r="A1247" s="1">
        <v>45593</v>
      </c>
      <c r="B1247" t="s">
        <v>1359</v>
      </c>
      <c r="C1247" t="s">
        <v>35</v>
      </c>
      <c r="D1247">
        <v>23</v>
      </c>
      <c r="E1247">
        <v>19564</v>
      </c>
      <c r="F1247">
        <v>449972</v>
      </c>
      <c r="G1247" t="s">
        <v>19</v>
      </c>
      <c r="H1247" t="s">
        <v>30</v>
      </c>
      <c r="I1247" t="str">
        <f>TEXT(tblSales[[#This Row],[Date]],"mmm")</f>
        <v>Oct</v>
      </c>
    </row>
    <row r="1248" spans="1:9" x14ac:dyDescent="0.3">
      <c r="A1248" s="1">
        <v>45596</v>
      </c>
      <c r="B1248" t="s">
        <v>1373</v>
      </c>
      <c r="C1248" t="s">
        <v>26</v>
      </c>
      <c r="D1248">
        <v>2</v>
      </c>
      <c r="E1248">
        <v>13562</v>
      </c>
      <c r="F1248">
        <v>27124</v>
      </c>
      <c r="G1248" t="s">
        <v>10</v>
      </c>
      <c r="H1248" t="s">
        <v>30</v>
      </c>
      <c r="I1248" t="str">
        <f>TEXT(tblSales[[#This Row],[Date]],"mmm")</f>
        <v>Oct</v>
      </c>
    </row>
    <row r="1249" spans="1:9" x14ac:dyDescent="0.3">
      <c r="A1249" s="1">
        <v>45568</v>
      </c>
      <c r="B1249" t="s">
        <v>1408</v>
      </c>
      <c r="C1249" t="s">
        <v>22</v>
      </c>
      <c r="D1249">
        <v>28</v>
      </c>
      <c r="E1249">
        <v>5338</v>
      </c>
      <c r="F1249">
        <v>149464</v>
      </c>
      <c r="G1249" t="s">
        <v>14</v>
      </c>
      <c r="H1249" t="s">
        <v>11</v>
      </c>
      <c r="I1249" t="str">
        <f>TEXT(tblSales[[#This Row],[Date]],"mmm")</f>
        <v>Oct</v>
      </c>
    </row>
    <row r="1250" spans="1:9" x14ac:dyDescent="0.3">
      <c r="A1250" s="1">
        <v>45586</v>
      </c>
      <c r="B1250" t="s">
        <v>1473</v>
      </c>
      <c r="C1250" t="s">
        <v>22</v>
      </c>
      <c r="D1250">
        <v>32</v>
      </c>
      <c r="E1250">
        <v>44793</v>
      </c>
      <c r="F1250">
        <v>1433376</v>
      </c>
      <c r="G1250" t="s">
        <v>19</v>
      </c>
      <c r="H1250" t="s">
        <v>27</v>
      </c>
      <c r="I1250" t="str">
        <f>TEXT(tblSales[[#This Row],[Date]],"mmm")</f>
        <v>Oct</v>
      </c>
    </row>
    <row r="1251" spans="1:9" x14ac:dyDescent="0.3">
      <c r="A1251" s="1">
        <v>45580</v>
      </c>
      <c r="B1251" t="s">
        <v>1483</v>
      </c>
      <c r="C1251" t="s">
        <v>9</v>
      </c>
      <c r="D1251">
        <v>23</v>
      </c>
      <c r="E1251">
        <v>16820</v>
      </c>
      <c r="F1251">
        <v>386860</v>
      </c>
      <c r="G1251" t="s">
        <v>14</v>
      </c>
      <c r="H1251" t="s">
        <v>27</v>
      </c>
      <c r="I1251" t="str">
        <f>TEXT(tblSales[[#This Row],[Date]],"mmm")</f>
        <v>Oct</v>
      </c>
    </row>
    <row r="1252" spans="1:9" x14ac:dyDescent="0.3">
      <c r="A1252" s="1">
        <v>45577</v>
      </c>
      <c r="B1252" t="s">
        <v>1490</v>
      </c>
      <c r="C1252" t="s">
        <v>9</v>
      </c>
      <c r="D1252">
        <v>6</v>
      </c>
      <c r="E1252">
        <v>32997</v>
      </c>
      <c r="F1252">
        <v>197982</v>
      </c>
      <c r="G1252" t="s">
        <v>14</v>
      </c>
      <c r="H1252" t="s">
        <v>30</v>
      </c>
      <c r="I1252" t="str">
        <f>TEXT(tblSales[[#This Row],[Date]],"mmm")</f>
        <v>Oct</v>
      </c>
    </row>
    <row r="1253" spans="1:9" x14ac:dyDescent="0.3">
      <c r="A1253" s="1">
        <v>45580</v>
      </c>
      <c r="B1253" t="s">
        <v>1494</v>
      </c>
      <c r="C1253" t="s">
        <v>9</v>
      </c>
      <c r="D1253">
        <v>9</v>
      </c>
      <c r="E1253">
        <v>17400</v>
      </c>
      <c r="F1253">
        <v>156600</v>
      </c>
      <c r="G1253" t="s">
        <v>10</v>
      </c>
      <c r="H1253" t="s">
        <v>15</v>
      </c>
      <c r="I1253" t="str">
        <f>TEXT(tblSales[[#This Row],[Date]],"mmm")</f>
        <v>Oct</v>
      </c>
    </row>
    <row r="1254" spans="1:9" x14ac:dyDescent="0.3">
      <c r="A1254" s="1">
        <v>45583</v>
      </c>
      <c r="B1254" t="s">
        <v>1510</v>
      </c>
      <c r="C1254" t="s">
        <v>35</v>
      </c>
      <c r="D1254">
        <v>21</v>
      </c>
      <c r="E1254">
        <v>25113</v>
      </c>
      <c r="F1254">
        <v>527373</v>
      </c>
      <c r="G1254" t="s">
        <v>23</v>
      </c>
      <c r="H1254" t="s">
        <v>27</v>
      </c>
      <c r="I1254" t="str">
        <f>TEXT(tblSales[[#This Row],[Date]],"mmm")</f>
        <v>Oct</v>
      </c>
    </row>
    <row r="1255" spans="1:9" x14ac:dyDescent="0.3">
      <c r="A1255" s="1">
        <v>45580</v>
      </c>
      <c r="B1255" t="s">
        <v>1513</v>
      </c>
      <c r="C1255" t="s">
        <v>9</v>
      </c>
      <c r="D1255">
        <v>37</v>
      </c>
      <c r="E1255">
        <v>31866</v>
      </c>
      <c r="F1255">
        <v>1179042</v>
      </c>
      <c r="G1255" t="s">
        <v>23</v>
      </c>
      <c r="H1255" t="s">
        <v>27</v>
      </c>
      <c r="I1255" t="str">
        <f>TEXT(tblSales[[#This Row],[Date]],"mmm")</f>
        <v>Oct</v>
      </c>
    </row>
    <row r="1256" spans="1:9" x14ac:dyDescent="0.3">
      <c r="A1256" s="1">
        <v>45585</v>
      </c>
      <c r="B1256" t="s">
        <v>1516</v>
      </c>
      <c r="C1256" t="s">
        <v>22</v>
      </c>
      <c r="D1256">
        <v>33</v>
      </c>
      <c r="E1256">
        <v>25078</v>
      </c>
      <c r="F1256">
        <v>827574</v>
      </c>
      <c r="G1256" t="s">
        <v>19</v>
      </c>
      <c r="H1256" t="s">
        <v>27</v>
      </c>
      <c r="I1256" t="str">
        <f>TEXT(tblSales[[#This Row],[Date]],"mmm")</f>
        <v>Oct</v>
      </c>
    </row>
    <row r="1257" spans="1:9" x14ac:dyDescent="0.3">
      <c r="A1257" s="1">
        <v>45577</v>
      </c>
      <c r="B1257" t="s">
        <v>1519</v>
      </c>
      <c r="C1257" t="s">
        <v>22</v>
      </c>
      <c r="D1257">
        <v>27</v>
      </c>
      <c r="E1257">
        <v>18179</v>
      </c>
      <c r="F1257">
        <v>490833</v>
      </c>
      <c r="G1257" t="s">
        <v>19</v>
      </c>
      <c r="H1257" t="s">
        <v>17</v>
      </c>
      <c r="I1257" t="str">
        <f>TEXT(tblSales[[#This Row],[Date]],"mmm")</f>
        <v>Oct</v>
      </c>
    </row>
    <row r="1258" spans="1:9" x14ac:dyDescent="0.3">
      <c r="A1258" s="1">
        <v>45619</v>
      </c>
      <c r="B1258" t="s">
        <v>21</v>
      </c>
      <c r="C1258" t="s">
        <v>22</v>
      </c>
      <c r="D1258">
        <v>11</v>
      </c>
      <c r="E1258">
        <v>17392</v>
      </c>
      <c r="F1258">
        <v>191312</v>
      </c>
      <c r="G1258" t="s">
        <v>23</v>
      </c>
      <c r="H1258" t="s">
        <v>15</v>
      </c>
      <c r="I1258" t="str">
        <f>TEXT(tblSales[[#This Row],[Date]],"mmm")</f>
        <v>Nov</v>
      </c>
    </row>
    <row r="1259" spans="1:9" x14ac:dyDescent="0.3">
      <c r="A1259" s="1">
        <v>45608</v>
      </c>
      <c r="B1259" t="s">
        <v>34</v>
      </c>
      <c r="C1259" t="s">
        <v>35</v>
      </c>
      <c r="D1259">
        <v>30</v>
      </c>
      <c r="E1259">
        <v>10872</v>
      </c>
      <c r="F1259">
        <v>326160</v>
      </c>
      <c r="G1259" t="s">
        <v>10</v>
      </c>
      <c r="H1259" t="s">
        <v>27</v>
      </c>
      <c r="I1259" t="str">
        <f>TEXT(tblSales[[#This Row],[Date]],"mmm")</f>
        <v>Nov</v>
      </c>
    </row>
    <row r="1260" spans="1:9" x14ac:dyDescent="0.3">
      <c r="A1260" s="1">
        <v>45599</v>
      </c>
      <c r="B1260" t="s">
        <v>76</v>
      </c>
      <c r="C1260" t="s">
        <v>9</v>
      </c>
      <c r="D1260">
        <v>31</v>
      </c>
      <c r="E1260">
        <v>22908</v>
      </c>
      <c r="F1260">
        <v>710148</v>
      </c>
      <c r="G1260" t="s">
        <v>10</v>
      </c>
      <c r="H1260" t="s">
        <v>15</v>
      </c>
      <c r="I1260" t="str">
        <f>TEXT(tblSales[[#This Row],[Date]],"mmm")</f>
        <v>Nov</v>
      </c>
    </row>
    <row r="1261" spans="1:9" x14ac:dyDescent="0.3">
      <c r="A1261" s="1">
        <v>45606</v>
      </c>
      <c r="B1261" t="s">
        <v>88</v>
      </c>
      <c r="C1261" t="s">
        <v>9</v>
      </c>
      <c r="D1261">
        <v>26</v>
      </c>
      <c r="E1261">
        <v>7945</v>
      </c>
      <c r="F1261">
        <v>206570</v>
      </c>
      <c r="G1261" t="s">
        <v>14</v>
      </c>
      <c r="H1261" t="s">
        <v>30</v>
      </c>
      <c r="I1261" t="str">
        <f>TEXT(tblSales[[#This Row],[Date]],"mmm")</f>
        <v>Nov</v>
      </c>
    </row>
    <row r="1262" spans="1:9" x14ac:dyDescent="0.3">
      <c r="A1262" s="1">
        <v>45607</v>
      </c>
      <c r="B1262" t="s">
        <v>91</v>
      </c>
      <c r="C1262" t="s">
        <v>35</v>
      </c>
      <c r="D1262">
        <v>12</v>
      </c>
      <c r="E1262">
        <v>15276</v>
      </c>
      <c r="F1262">
        <v>183312</v>
      </c>
      <c r="G1262" t="s">
        <v>19</v>
      </c>
      <c r="H1262" t="s">
        <v>30</v>
      </c>
      <c r="I1262" t="str">
        <f>TEXT(tblSales[[#This Row],[Date]],"mmm")</f>
        <v>Nov</v>
      </c>
    </row>
    <row r="1263" spans="1:9" x14ac:dyDescent="0.3">
      <c r="A1263" s="1">
        <v>45610</v>
      </c>
      <c r="B1263" t="s">
        <v>104</v>
      </c>
      <c r="C1263" t="s">
        <v>22</v>
      </c>
      <c r="D1263">
        <v>33</v>
      </c>
      <c r="E1263">
        <v>16868</v>
      </c>
      <c r="F1263">
        <v>556644</v>
      </c>
      <c r="G1263" t="s">
        <v>14</v>
      </c>
      <c r="H1263" t="s">
        <v>30</v>
      </c>
      <c r="I1263" t="str">
        <f>TEXT(tblSales[[#This Row],[Date]],"mmm")</f>
        <v>Nov</v>
      </c>
    </row>
    <row r="1264" spans="1:9" x14ac:dyDescent="0.3">
      <c r="A1264" s="1">
        <v>45598</v>
      </c>
      <c r="B1264" t="s">
        <v>115</v>
      </c>
      <c r="C1264" t="s">
        <v>35</v>
      </c>
      <c r="D1264">
        <v>10</v>
      </c>
      <c r="E1264">
        <v>30150</v>
      </c>
      <c r="F1264">
        <v>301500</v>
      </c>
      <c r="G1264" t="s">
        <v>14</v>
      </c>
      <c r="H1264" t="s">
        <v>30</v>
      </c>
      <c r="I1264" t="str">
        <f>TEXT(tblSales[[#This Row],[Date]],"mmm")</f>
        <v>Nov</v>
      </c>
    </row>
    <row r="1265" spans="1:9" x14ac:dyDescent="0.3">
      <c r="A1265" s="1">
        <v>45618</v>
      </c>
      <c r="B1265" t="s">
        <v>157</v>
      </c>
      <c r="C1265" t="s">
        <v>26</v>
      </c>
      <c r="D1265">
        <v>29</v>
      </c>
      <c r="E1265">
        <v>11415</v>
      </c>
      <c r="F1265">
        <v>331035</v>
      </c>
      <c r="G1265" t="s">
        <v>10</v>
      </c>
      <c r="H1265" t="s">
        <v>17</v>
      </c>
      <c r="I1265" t="str">
        <f>TEXT(tblSales[[#This Row],[Date]],"mmm")</f>
        <v>Nov</v>
      </c>
    </row>
    <row r="1266" spans="1:9" x14ac:dyDescent="0.3">
      <c r="A1266" s="1">
        <v>45599</v>
      </c>
      <c r="B1266" t="s">
        <v>162</v>
      </c>
      <c r="C1266" t="s">
        <v>22</v>
      </c>
      <c r="D1266">
        <v>9</v>
      </c>
      <c r="E1266">
        <v>30936</v>
      </c>
      <c r="F1266">
        <v>278424</v>
      </c>
      <c r="G1266" t="s">
        <v>19</v>
      </c>
      <c r="H1266" t="s">
        <v>17</v>
      </c>
      <c r="I1266" t="str">
        <f>TEXT(tblSales[[#This Row],[Date]],"mmm")</f>
        <v>Nov</v>
      </c>
    </row>
    <row r="1267" spans="1:9" x14ac:dyDescent="0.3">
      <c r="A1267" s="1">
        <v>45611</v>
      </c>
      <c r="B1267" t="s">
        <v>193</v>
      </c>
      <c r="C1267" t="s">
        <v>9</v>
      </c>
      <c r="D1267">
        <v>29</v>
      </c>
      <c r="E1267">
        <v>32353</v>
      </c>
      <c r="F1267">
        <v>938237</v>
      </c>
      <c r="G1267" t="s">
        <v>14</v>
      </c>
      <c r="H1267" t="s">
        <v>15</v>
      </c>
      <c r="I1267" t="str">
        <f>TEXT(tblSales[[#This Row],[Date]],"mmm")</f>
        <v>Nov</v>
      </c>
    </row>
    <row r="1268" spans="1:9" x14ac:dyDescent="0.3">
      <c r="A1268" s="1">
        <v>45610</v>
      </c>
      <c r="B1268" t="s">
        <v>195</v>
      </c>
      <c r="C1268" t="s">
        <v>9</v>
      </c>
      <c r="D1268">
        <v>27</v>
      </c>
      <c r="E1268">
        <v>39672</v>
      </c>
      <c r="F1268">
        <v>1071144</v>
      </c>
      <c r="G1268" t="s">
        <v>14</v>
      </c>
      <c r="H1268" t="s">
        <v>11</v>
      </c>
      <c r="I1268" t="str">
        <f>TEXT(tblSales[[#This Row],[Date]],"mmm")</f>
        <v>Nov</v>
      </c>
    </row>
    <row r="1269" spans="1:9" x14ac:dyDescent="0.3">
      <c r="A1269" s="1">
        <v>45621</v>
      </c>
      <c r="B1269" t="s">
        <v>204</v>
      </c>
      <c r="C1269" t="s">
        <v>22</v>
      </c>
      <c r="D1269">
        <v>4</v>
      </c>
      <c r="E1269">
        <v>25688</v>
      </c>
      <c r="F1269">
        <v>102752</v>
      </c>
      <c r="G1269" t="s">
        <v>10</v>
      </c>
      <c r="H1269" t="s">
        <v>11</v>
      </c>
      <c r="I1269" t="str">
        <f>TEXT(tblSales[[#This Row],[Date]],"mmm")</f>
        <v>Nov</v>
      </c>
    </row>
    <row r="1270" spans="1:9" x14ac:dyDescent="0.3">
      <c r="A1270" s="1">
        <v>45604</v>
      </c>
      <c r="B1270" t="s">
        <v>215</v>
      </c>
      <c r="C1270" t="s">
        <v>9</v>
      </c>
      <c r="D1270">
        <v>12</v>
      </c>
      <c r="E1270">
        <v>5771</v>
      </c>
      <c r="F1270">
        <v>69252</v>
      </c>
      <c r="G1270" t="s">
        <v>19</v>
      </c>
      <c r="H1270" t="s">
        <v>11</v>
      </c>
      <c r="I1270" t="str">
        <f>TEXT(tblSales[[#This Row],[Date]],"mmm")</f>
        <v>Nov</v>
      </c>
    </row>
    <row r="1271" spans="1:9" x14ac:dyDescent="0.3">
      <c r="A1271" s="1">
        <v>45603</v>
      </c>
      <c r="B1271" t="s">
        <v>253</v>
      </c>
      <c r="C1271" t="s">
        <v>35</v>
      </c>
      <c r="D1271">
        <v>15</v>
      </c>
      <c r="E1271">
        <v>36667</v>
      </c>
      <c r="F1271">
        <v>550005</v>
      </c>
      <c r="G1271" t="s">
        <v>19</v>
      </c>
      <c r="H1271" t="s">
        <v>17</v>
      </c>
      <c r="I1271" t="str">
        <f>TEXT(tblSales[[#This Row],[Date]],"mmm")</f>
        <v>Nov</v>
      </c>
    </row>
    <row r="1272" spans="1:9" x14ac:dyDescent="0.3">
      <c r="A1272" s="1">
        <v>45606</v>
      </c>
      <c r="B1272" t="s">
        <v>261</v>
      </c>
      <c r="C1272" t="s">
        <v>35</v>
      </c>
      <c r="D1272">
        <v>38</v>
      </c>
      <c r="E1272">
        <v>19820</v>
      </c>
      <c r="F1272">
        <v>753160</v>
      </c>
      <c r="G1272" t="s">
        <v>10</v>
      </c>
      <c r="H1272" t="s">
        <v>15</v>
      </c>
      <c r="I1272" t="str">
        <f>TEXT(tblSales[[#This Row],[Date]],"mmm")</f>
        <v>Nov</v>
      </c>
    </row>
    <row r="1273" spans="1:9" x14ac:dyDescent="0.3">
      <c r="A1273" s="1">
        <v>45608</v>
      </c>
      <c r="B1273" t="s">
        <v>273</v>
      </c>
      <c r="C1273" t="s">
        <v>13</v>
      </c>
      <c r="D1273">
        <v>25</v>
      </c>
      <c r="E1273">
        <v>12835</v>
      </c>
      <c r="F1273">
        <v>320875</v>
      </c>
      <c r="G1273" t="s">
        <v>10</v>
      </c>
      <c r="H1273" t="s">
        <v>15</v>
      </c>
      <c r="I1273" t="str">
        <f>TEXT(tblSales[[#This Row],[Date]],"mmm")</f>
        <v>Nov</v>
      </c>
    </row>
    <row r="1274" spans="1:9" x14ac:dyDescent="0.3">
      <c r="A1274" s="1">
        <v>45623</v>
      </c>
      <c r="B1274" t="s">
        <v>295</v>
      </c>
      <c r="C1274" t="s">
        <v>9</v>
      </c>
      <c r="D1274">
        <v>31</v>
      </c>
      <c r="E1274">
        <v>10323</v>
      </c>
      <c r="F1274">
        <v>320013</v>
      </c>
      <c r="G1274" t="s">
        <v>19</v>
      </c>
      <c r="H1274" t="s">
        <v>17</v>
      </c>
      <c r="I1274" t="str">
        <f>TEXT(tblSales[[#This Row],[Date]],"mmm")</f>
        <v>Nov</v>
      </c>
    </row>
    <row r="1275" spans="1:9" x14ac:dyDescent="0.3">
      <c r="A1275" s="1">
        <v>45623</v>
      </c>
      <c r="B1275" t="s">
        <v>311</v>
      </c>
      <c r="C1275" t="s">
        <v>26</v>
      </c>
      <c r="D1275">
        <v>3</v>
      </c>
      <c r="E1275">
        <v>30102</v>
      </c>
      <c r="F1275">
        <v>90306</v>
      </c>
      <c r="G1275" t="s">
        <v>10</v>
      </c>
      <c r="H1275" t="s">
        <v>17</v>
      </c>
      <c r="I1275" t="str">
        <f>TEXT(tblSales[[#This Row],[Date]],"mmm")</f>
        <v>Nov</v>
      </c>
    </row>
    <row r="1276" spans="1:9" x14ac:dyDescent="0.3">
      <c r="A1276" s="1">
        <v>45606</v>
      </c>
      <c r="B1276" t="s">
        <v>319</v>
      </c>
      <c r="C1276" t="s">
        <v>26</v>
      </c>
      <c r="D1276">
        <v>30</v>
      </c>
      <c r="E1276">
        <v>35333</v>
      </c>
      <c r="F1276">
        <v>1059990</v>
      </c>
      <c r="G1276" t="s">
        <v>14</v>
      </c>
      <c r="H1276" t="s">
        <v>15</v>
      </c>
      <c r="I1276" t="str">
        <f>TEXT(tblSales[[#This Row],[Date]],"mmm")</f>
        <v>Nov</v>
      </c>
    </row>
    <row r="1277" spans="1:9" x14ac:dyDescent="0.3">
      <c r="A1277" s="1">
        <v>45610</v>
      </c>
      <c r="B1277" t="s">
        <v>323</v>
      </c>
      <c r="C1277" t="s">
        <v>26</v>
      </c>
      <c r="D1277">
        <v>32</v>
      </c>
      <c r="E1277">
        <v>18128</v>
      </c>
      <c r="F1277">
        <v>580096</v>
      </c>
      <c r="G1277" t="s">
        <v>14</v>
      </c>
      <c r="H1277" t="s">
        <v>11</v>
      </c>
      <c r="I1277" t="str">
        <f>TEXT(tblSales[[#This Row],[Date]],"mmm")</f>
        <v>Nov</v>
      </c>
    </row>
    <row r="1278" spans="1:9" x14ac:dyDescent="0.3">
      <c r="A1278" s="1">
        <v>45599</v>
      </c>
      <c r="B1278" t="s">
        <v>334</v>
      </c>
      <c r="C1278" t="s">
        <v>35</v>
      </c>
      <c r="D1278">
        <v>34</v>
      </c>
      <c r="E1278">
        <v>22931</v>
      </c>
      <c r="F1278">
        <v>779654</v>
      </c>
      <c r="G1278" t="s">
        <v>10</v>
      </c>
      <c r="H1278" t="s">
        <v>15</v>
      </c>
      <c r="I1278" t="str">
        <f>TEXT(tblSales[[#This Row],[Date]],"mmm")</f>
        <v>Nov</v>
      </c>
    </row>
    <row r="1279" spans="1:9" x14ac:dyDescent="0.3">
      <c r="A1279" s="1">
        <v>45599</v>
      </c>
      <c r="B1279" t="s">
        <v>335</v>
      </c>
      <c r="C1279" t="s">
        <v>22</v>
      </c>
      <c r="D1279">
        <v>30</v>
      </c>
      <c r="E1279">
        <v>5967</v>
      </c>
      <c r="F1279">
        <v>179010</v>
      </c>
      <c r="G1279" t="s">
        <v>19</v>
      </c>
      <c r="H1279" t="s">
        <v>17</v>
      </c>
      <c r="I1279" t="str">
        <f>TEXT(tblSales[[#This Row],[Date]],"mmm")</f>
        <v>Nov</v>
      </c>
    </row>
    <row r="1280" spans="1:9" x14ac:dyDescent="0.3">
      <c r="A1280" s="1">
        <v>45599</v>
      </c>
      <c r="B1280" t="s">
        <v>348</v>
      </c>
      <c r="C1280" t="s">
        <v>35</v>
      </c>
      <c r="D1280">
        <v>18</v>
      </c>
      <c r="E1280">
        <v>31492</v>
      </c>
      <c r="F1280">
        <v>566856</v>
      </c>
      <c r="G1280" t="s">
        <v>14</v>
      </c>
      <c r="H1280" t="s">
        <v>11</v>
      </c>
      <c r="I1280" t="str">
        <f>TEXT(tblSales[[#This Row],[Date]],"mmm")</f>
        <v>Nov</v>
      </c>
    </row>
    <row r="1281" spans="1:9" x14ac:dyDescent="0.3">
      <c r="A1281" s="1">
        <v>45613</v>
      </c>
      <c r="B1281" t="s">
        <v>361</v>
      </c>
      <c r="C1281" t="s">
        <v>35</v>
      </c>
      <c r="D1281">
        <v>4</v>
      </c>
      <c r="E1281">
        <v>24878</v>
      </c>
      <c r="F1281">
        <v>99512</v>
      </c>
      <c r="G1281" t="s">
        <v>10</v>
      </c>
      <c r="H1281" t="s">
        <v>27</v>
      </c>
      <c r="I1281" t="str">
        <f>TEXT(tblSales[[#This Row],[Date]],"mmm")</f>
        <v>Nov</v>
      </c>
    </row>
    <row r="1282" spans="1:9" x14ac:dyDescent="0.3">
      <c r="A1282" s="1">
        <v>45605</v>
      </c>
      <c r="B1282" t="s">
        <v>363</v>
      </c>
      <c r="C1282" t="s">
        <v>22</v>
      </c>
      <c r="D1282">
        <v>17</v>
      </c>
      <c r="E1282">
        <v>10396</v>
      </c>
      <c r="F1282">
        <v>176732</v>
      </c>
      <c r="G1282" t="s">
        <v>10</v>
      </c>
      <c r="H1282" t="s">
        <v>27</v>
      </c>
      <c r="I1282" t="str">
        <f>TEXT(tblSales[[#This Row],[Date]],"mmm")</f>
        <v>Nov</v>
      </c>
    </row>
    <row r="1283" spans="1:9" x14ac:dyDescent="0.3">
      <c r="A1283" s="1">
        <v>45612</v>
      </c>
      <c r="B1283" t="s">
        <v>396</v>
      </c>
      <c r="C1283" t="s">
        <v>13</v>
      </c>
      <c r="D1283">
        <v>14</v>
      </c>
      <c r="E1283">
        <v>13011</v>
      </c>
      <c r="F1283">
        <v>182154</v>
      </c>
      <c r="G1283" t="s">
        <v>14</v>
      </c>
      <c r="H1283" t="s">
        <v>17</v>
      </c>
      <c r="I1283" t="str">
        <f>TEXT(tblSales[[#This Row],[Date]],"mmm")</f>
        <v>Nov</v>
      </c>
    </row>
    <row r="1284" spans="1:9" x14ac:dyDescent="0.3">
      <c r="A1284" s="1">
        <v>45614</v>
      </c>
      <c r="B1284" t="s">
        <v>398</v>
      </c>
      <c r="C1284" t="s">
        <v>13</v>
      </c>
      <c r="D1284">
        <v>35</v>
      </c>
      <c r="E1284">
        <v>10503</v>
      </c>
      <c r="F1284">
        <v>367605</v>
      </c>
      <c r="G1284" t="s">
        <v>23</v>
      </c>
      <c r="H1284" t="s">
        <v>11</v>
      </c>
      <c r="I1284" t="str">
        <f>TEXT(tblSales[[#This Row],[Date]],"mmm")</f>
        <v>Nov</v>
      </c>
    </row>
    <row r="1285" spans="1:9" x14ac:dyDescent="0.3">
      <c r="A1285" s="1">
        <v>45615</v>
      </c>
      <c r="B1285" t="s">
        <v>430</v>
      </c>
      <c r="C1285" t="s">
        <v>35</v>
      </c>
      <c r="D1285">
        <v>3</v>
      </c>
      <c r="E1285">
        <v>24680</v>
      </c>
      <c r="F1285">
        <v>74040</v>
      </c>
      <c r="G1285" t="s">
        <v>23</v>
      </c>
      <c r="H1285" t="s">
        <v>15</v>
      </c>
      <c r="I1285" t="str">
        <f>TEXT(tblSales[[#This Row],[Date]],"mmm")</f>
        <v>Nov</v>
      </c>
    </row>
    <row r="1286" spans="1:9" x14ac:dyDescent="0.3">
      <c r="A1286" s="1">
        <v>45606</v>
      </c>
      <c r="B1286" t="s">
        <v>431</v>
      </c>
      <c r="C1286" t="s">
        <v>22</v>
      </c>
      <c r="D1286">
        <v>13</v>
      </c>
      <c r="E1286">
        <v>24976</v>
      </c>
      <c r="F1286">
        <v>324688</v>
      </c>
      <c r="G1286" t="s">
        <v>14</v>
      </c>
      <c r="H1286" t="s">
        <v>17</v>
      </c>
      <c r="I1286" t="str">
        <f>TEXT(tblSales[[#This Row],[Date]],"mmm")</f>
        <v>Nov</v>
      </c>
    </row>
    <row r="1287" spans="1:9" x14ac:dyDescent="0.3">
      <c r="A1287" s="1">
        <v>45610</v>
      </c>
      <c r="B1287" t="s">
        <v>439</v>
      </c>
      <c r="C1287" t="s">
        <v>35</v>
      </c>
      <c r="D1287">
        <v>16</v>
      </c>
      <c r="E1287">
        <v>7534</v>
      </c>
      <c r="F1287">
        <v>120544</v>
      </c>
      <c r="G1287" t="s">
        <v>14</v>
      </c>
      <c r="H1287" t="s">
        <v>27</v>
      </c>
      <c r="I1287" t="str">
        <f>TEXT(tblSales[[#This Row],[Date]],"mmm")</f>
        <v>Nov</v>
      </c>
    </row>
    <row r="1288" spans="1:9" x14ac:dyDescent="0.3">
      <c r="A1288" s="1">
        <v>45612</v>
      </c>
      <c r="B1288" t="s">
        <v>444</v>
      </c>
      <c r="C1288" t="s">
        <v>26</v>
      </c>
      <c r="D1288">
        <v>36</v>
      </c>
      <c r="E1288">
        <v>23444</v>
      </c>
      <c r="F1288">
        <v>843984</v>
      </c>
      <c r="G1288" t="s">
        <v>14</v>
      </c>
      <c r="H1288" t="s">
        <v>15</v>
      </c>
      <c r="I1288" t="str">
        <f>TEXT(tblSales[[#This Row],[Date]],"mmm")</f>
        <v>Nov</v>
      </c>
    </row>
    <row r="1289" spans="1:9" x14ac:dyDescent="0.3">
      <c r="A1289" s="1">
        <v>45613</v>
      </c>
      <c r="B1289" t="s">
        <v>446</v>
      </c>
      <c r="C1289" t="s">
        <v>22</v>
      </c>
      <c r="D1289">
        <v>37</v>
      </c>
      <c r="E1289">
        <v>17274</v>
      </c>
      <c r="F1289">
        <v>639138</v>
      </c>
      <c r="G1289" t="s">
        <v>14</v>
      </c>
      <c r="H1289" t="s">
        <v>11</v>
      </c>
      <c r="I1289" t="str">
        <f>TEXT(tblSales[[#This Row],[Date]],"mmm")</f>
        <v>Nov</v>
      </c>
    </row>
    <row r="1290" spans="1:9" x14ac:dyDescent="0.3">
      <c r="A1290" s="1">
        <v>45614</v>
      </c>
      <c r="B1290" t="s">
        <v>473</v>
      </c>
      <c r="C1290" t="s">
        <v>9</v>
      </c>
      <c r="D1290">
        <v>32</v>
      </c>
      <c r="E1290">
        <v>11280</v>
      </c>
      <c r="F1290">
        <v>360960</v>
      </c>
      <c r="G1290" t="s">
        <v>14</v>
      </c>
      <c r="H1290" t="s">
        <v>17</v>
      </c>
      <c r="I1290" t="str">
        <f>TEXT(tblSales[[#This Row],[Date]],"mmm")</f>
        <v>Nov</v>
      </c>
    </row>
    <row r="1291" spans="1:9" x14ac:dyDescent="0.3">
      <c r="A1291" s="1">
        <v>45597</v>
      </c>
      <c r="B1291" t="s">
        <v>486</v>
      </c>
      <c r="C1291" t="s">
        <v>13</v>
      </c>
      <c r="D1291">
        <v>40</v>
      </c>
      <c r="E1291">
        <v>21753</v>
      </c>
      <c r="F1291">
        <v>870120</v>
      </c>
      <c r="G1291" t="s">
        <v>23</v>
      </c>
      <c r="H1291" t="s">
        <v>27</v>
      </c>
      <c r="I1291" t="str">
        <f>TEXT(tblSales[[#This Row],[Date]],"mmm")</f>
        <v>Nov</v>
      </c>
    </row>
    <row r="1292" spans="1:9" x14ac:dyDescent="0.3">
      <c r="A1292" s="1">
        <v>45619</v>
      </c>
      <c r="B1292" t="s">
        <v>523</v>
      </c>
      <c r="C1292" t="s">
        <v>9</v>
      </c>
      <c r="D1292">
        <v>24</v>
      </c>
      <c r="E1292">
        <v>10171</v>
      </c>
      <c r="F1292">
        <v>244104</v>
      </c>
      <c r="G1292" t="s">
        <v>23</v>
      </c>
      <c r="H1292" t="s">
        <v>15</v>
      </c>
      <c r="I1292" t="str">
        <f>TEXT(tblSales[[#This Row],[Date]],"mmm")</f>
        <v>Nov</v>
      </c>
    </row>
    <row r="1293" spans="1:9" x14ac:dyDescent="0.3">
      <c r="A1293" s="1">
        <v>45620</v>
      </c>
      <c r="B1293" t="s">
        <v>533</v>
      </c>
      <c r="C1293" t="s">
        <v>9</v>
      </c>
      <c r="D1293">
        <v>19</v>
      </c>
      <c r="E1293">
        <v>30959</v>
      </c>
      <c r="F1293">
        <v>588221</v>
      </c>
      <c r="G1293" t="s">
        <v>14</v>
      </c>
      <c r="H1293" t="s">
        <v>27</v>
      </c>
      <c r="I1293" t="str">
        <f>TEXT(tblSales[[#This Row],[Date]],"mmm")</f>
        <v>Nov</v>
      </c>
    </row>
    <row r="1294" spans="1:9" x14ac:dyDescent="0.3">
      <c r="A1294" s="1">
        <v>45624</v>
      </c>
      <c r="B1294" t="s">
        <v>536</v>
      </c>
      <c r="C1294" t="s">
        <v>9</v>
      </c>
      <c r="D1294">
        <v>38</v>
      </c>
      <c r="E1294">
        <v>21654</v>
      </c>
      <c r="F1294">
        <v>822852</v>
      </c>
      <c r="G1294" t="s">
        <v>19</v>
      </c>
      <c r="H1294" t="s">
        <v>15</v>
      </c>
      <c r="I1294" t="str">
        <f>TEXT(tblSales[[#This Row],[Date]],"mmm")</f>
        <v>Nov</v>
      </c>
    </row>
    <row r="1295" spans="1:9" x14ac:dyDescent="0.3">
      <c r="A1295" s="1">
        <v>45606</v>
      </c>
      <c r="B1295" t="s">
        <v>549</v>
      </c>
      <c r="C1295" t="s">
        <v>13</v>
      </c>
      <c r="D1295">
        <v>11</v>
      </c>
      <c r="E1295">
        <v>42588</v>
      </c>
      <c r="F1295">
        <v>468468</v>
      </c>
      <c r="G1295" t="s">
        <v>10</v>
      </c>
      <c r="H1295" t="s">
        <v>17</v>
      </c>
      <c r="I1295" t="str">
        <f>TEXT(tblSales[[#This Row],[Date]],"mmm")</f>
        <v>Nov</v>
      </c>
    </row>
    <row r="1296" spans="1:9" x14ac:dyDescent="0.3">
      <c r="A1296" s="1">
        <v>45615</v>
      </c>
      <c r="B1296" t="s">
        <v>581</v>
      </c>
      <c r="C1296" t="s">
        <v>26</v>
      </c>
      <c r="D1296">
        <v>29</v>
      </c>
      <c r="E1296">
        <v>33533</v>
      </c>
      <c r="F1296">
        <v>972457</v>
      </c>
      <c r="G1296" t="s">
        <v>19</v>
      </c>
      <c r="H1296" t="s">
        <v>27</v>
      </c>
      <c r="I1296" t="str">
        <f>TEXT(tblSales[[#This Row],[Date]],"mmm")</f>
        <v>Nov</v>
      </c>
    </row>
    <row r="1297" spans="1:9" x14ac:dyDescent="0.3">
      <c r="A1297" s="1">
        <v>45602</v>
      </c>
      <c r="B1297" t="s">
        <v>587</v>
      </c>
      <c r="C1297" t="s">
        <v>9</v>
      </c>
      <c r="D1297">
        <v>9</v>
      </c>
      <c r="E1297">
        <v>12572</v>
      </c>
      <c r="F1297">
        <v>113148</v>
      </c>
      <c r="G1297" t="s">
        <v>14</v>
      </c>
      <c r="H1297" t="s">
        <v>27</v>
      </c>
      <c r="I1297" t="str">
        <f>TEXT(tblSales[[#This Row],[Date]],"mmm")</f>
        <v>Nov</v>
      </c>
    </row>
    <row r="1298" spans="1:9" x14ac:dyDescent="0.3">
      <c r="A1298" s="1">
        <v>45624</v>
      </c>
      <c r="B1298" t="s">
        <v>588</v>
      </c>
      <c r="C1298" t="s">
        <v>35</v>
      </c>
      <c r="D1298">
        <v>28</v>
      </c>
      <c r="E1298">
        <v>14270</v>
      </c>
      <c r="F1298">
        <v>399560</v>
      </c>
      <c r="G1298" t="s">
        <v>23</v>
      </c>
      <c r="H1298" t="s">
        <v>15</v>
      </c>
      <c r="I1298" t="str">
        <f>TEXT(tblSales[[#This Row],[Date]],"mmm")</f>
        <v>Nov</v>
      </c>
    </row>
    <row r="1299" spans="1:9" x14ac:dyDescent="0.3">
      <c r="A1299" s="1">
        <v>45617</v>
      </c>
      <c r="B1299" t="s">
        <v>622</v>
      </c>
      <c r="C1299" t="s">
        <v>26</v>
      </c>
      <c r="D1299">
        <v>19</v>
      </c>
      <c r="E1299">
        <v>16658</v>
      </c>
      <c r="F1299">
        <v>316502</v>
      </c>
      <c r="G1299" t="s">
        <v>23</v>
      </c>
      <c r="H1299" t="s">
        <v>11</v>
      </c>
      <c r="I1299" t="str">
        <f>TEXT(tblSales[[#This Row],[Date]],"mmm")</f>
        <v>Nov</v>
      </c>
    </row>
    <row r="1300" spans="1:9" x14ac:dyDescent="0.3">
      <c r="A1300" s="1">
        <v>45621</v>
      </c>
      <c r="B1300" t="s">
        <v>627</v>
      </c>
      <c r="C1300" t="s">
        <v>13</v>
      </c>
      <c r="D1300">
        <v>5</v>
      </c>
      <c r="E1300">
        <v>5590</v>
      </c>
      <c r="F1300">
        <v>27950</v>
      </c>
      <c r="G1300" t="s">
        <v>14</v>
      </c>
      <c r="H1300" t="s">
        <v>15</v>
      </c>
      <c r="I1300" t="str">
        <f>TEXT(tblSales[[#This Row],[Date]],"mmm")</f>
        <v>Nov</v>
      </c>
    </row>
    <row r="1301" spans="1:9" x14ac:dyDescent="0.3">
      <c r="A1301" s="1">
        <v>45625</v>
      </c>
      <c r="B1301" t="s">
        <v>647</v>
      </c>
      <c r="C1301" t="s">
        <v>9</v>
      </c>
      <c r="D1301">
        <v>33</v>
      </c>
      <c r="E1301">
        <v>10819</v>
      </c>
      <c r="F1301">
        <v>357027</v>
      </c>
      <c r="G1301" t="s">
        <v>19</v>
      </c>
      <c r="H1301" t="s">
        <v>11</v>
      </c>
      <c r="I1301" t="str">
        <f>TEXT(tblSales[[#This Row],[Date]],"mmm")</f>
        <v>Nov</v>
      </c>
    </row>
    <row r="1302" spans="1:9" x14ac:dyDescent="0.3">
      <c r="A1302" s="1">
        <v>45607</v>
      </c>
      <c r="B1302" t="s">
        <v>669</v>
      </c>
      <c r="C1302" t="s">
        <v>22</v>
      </c>
      <c r="D1302">
        <v>22</v>
      </c>
      <c r="E1302">
        <v>22497</v>
      </c>
      <c r="F1302">
        <v>494934</v>
      </c>
      <c r="G1302" t="s">
        <v>14</v>
      </c>
      <c r="H1302" t="s">
        <v>17</v>
      </c>
      <c r="I1302" t="str">
        <f>TEXT(tblSales[[#This Row],[Date]],"mmm")</f>
        <v>Nov</v>
      </c>
    </row>
    <row r="1303" spans="1:9" x14ac:dyDescent="0.3">
      <c r="A1303" s="1">
        <v>45608</v>
      </c>
      <c r="B1303" t="s">
        <v>676</v>
      </c>
      <c r="C1303" t="s">
        <v>9</v>
      </c>
      <c r="D1303">
        <v>1</v>
      </c>
      <c r="E1303">
        <v>30200</v>
      </c>
      <c r="F1303">
        <v>30200</v>
      </c>
      <c r="G1303" t="s">
        <v>10</v>
      </c>
      <c r="H1303" t="s">
        <v>30</v>
      </c>
      <c r="I1303" t="str">
        <f>TEXT(tblSales[[#This Row],[Date]],"mmm")</f>
        <v>Nov</v>
      </c>
    </row>
    <row r="1304" spans="1:9" x14ac:dyDescent="0.3">
      <c r="A1304" s="1">
        <v>45602</v>
      </c>
      <c r="B1304" t="s">
        <v>678</v>
      </c>
      <c r="C1304" t="s">
        <v>13</v>
      </c>
      <c r="D1304">
        <v>22</v>
      </c>
      <c r="E1304">
        <v>13937</v>
      </c>
      <c r="F1304">
        <v>306614</v>
      </c>
      <c r="G1304" t="s">
        <v>23</v>
      </c>
      <c r="H1304" t="s">
        <v>15</v>
      </c>
      <c r="I1304" t="str">
        <f>TEXT(tblSales[[#This Row],[Date]],"mmm")</f>
        <v>Nov</v>
      </c>
    </row>
    <row r="1305" spans="1:9" x14ac:dyDescent="0.3">
      <c r="A1305" s="1">
        <v>45622</v>
      </c>
      <c r="B1305" t="s">
        <v>685</v>
      </c>
      <c r="C1305" t="s">
        <v>22</v>
      </c>
      <c r="D1305">
        <v>23</v>
      </c>
      <c r="E1305">
        <v>23896</v>
      </c>
      <c r="F1305">
        <v>549608</v>
      </c>
      <c r="G1305" t="s">
        <v>10</v>
      </c>
      <c r="H1305" t="s">
        <v>11</v>
      </c>
      <c r="I1305" t="str">
        <f>TEXT(tblSales[[#This Row],[Date]],"mmm")</f>
        <v>Nov</v>
      </c>
    </row>
    <row r="1306" spans="1:9" x14ac:dyDescent="0.3">
      <c r="A1306" s="1">
        <v>45616</v>
      </c>
      <c r="B1306" t="s">
        <v>692</v>
      </c>
      <c r="C1306" t="s">
        <v>22</v>
      </c>
      <c r="D1306">
        <v>2</v>
      </c>
      <c r="E1306">
        <v>26924</v>
      </c>
      <c r="F1306">
        <v>53848</v>
      </c>
      <c r="G1306" t="s">
        <v>14</v>
      </c>
      <c r="H1306" t="s">
        <v>15</v>
      </c>
      <c r="I1306" t="str">
        <f>TEXT(tblSales[[#This Row],[Date]],"mmm")</f>
        <v>Nov</v>
      </c>
    </row>
    <row r="1307" spans="1:9" x14ac:dyDescent="0.3">
      <c r="A1307" s="1">
        <v>45605</v>
      </c>
      <c r="B1307" t="s">
        <v>696</v>
      </c>
      <c r="C1307" t="s">
        <v>35</v>
      </c>
      <c r="D1307">
        <v>39</v>
      </c>
      <c r="E1307">
        <v>7359</v>
      </c>
      <c r="F1307">
        <v>287001</v>
      </c>
      <c r="G1307" t="s">
        <v>23</v>
      </c>
      <c r="H1307" t="s">
        <v>15</v>
      </c>
      <c r="I1307" t="str">
        <f>TEXT(tblSales[[#This Row],[Date]],"mmm")</f>
        <v>Nov</v>
      </c>
    </row>
    <row r="1308" spans="1:9" x14ac:dyDescent="0.3">
      <c r="A1308" s="1">
        <v>45597</v>
      </c>
      <c r="B1308" t="s">
        <v>703</v>
      </c>
      <c r="C1308" t="s">
        <v>13</v>
      </c>
      <c r="D1308">
        <v>27</v>
      </c>
      <c r="E1308">
        <v>24872</v>
      </c>
      <c r="F1308">
        <v>671544</v>
      </c>
      <c r="G1308" t="s">
        <v>14</v>
      </c>
      <c r="H1308" t="s">
        <v>17</v>
      </c>
      <c r="I1308" t="str">
        <f>TEXT(tblSales[[#This Row],[Date]],"mmm")</f>
        <v>Nov</v>
      </c>
    </row>
    <row r="1309" spans="1:9" x14ac:dyDescent="0.3">
      <c r="A1309" s="1">
        <v>45617</v>
      </c>
      <c r="B1309" t="s">
        <v>711</v>
      </c>
      <c r="C1309" t="s">
        <v>13</v>
      </c>
      <c r="D1309">
        <v>29</v>
      </c>
      <c r="E1309">
        <v>36196</v>
      </c>
      <c r="F1309">
        <v>1049684</v>
      </c>
      <c r="G1309" t="s">
        <v>10</v>
      </c>
      <c r="H1309" t="s">
        <v>17</v>
      </c>
      <c r="I1309" t="str">
        <f>TEXT(tblSales[[#This Row],[Date]],"mmm")</f>
        <v>Nov</v>
      </c>
    </row>
    <row r="1310" spans="1:9" x14ac:dyDescent="0.3">
      <c r="A1310" s="1">
        <v>45608</v>
      </c>
      <c r="B1310" t="s">
        <v>726</v>
      </c>
      <c r="C1310" t="s">
        <v>22</v>
      </c>
      <c r="D1310">
        <v>33</v>
      </c>
      <c r="E1310">
        <v>9974</v>
      </c>
      <c r="F1310">
        <v>329142</v>
      </c>
      <c r="G1310" t="s">
        <v>19</v>
      </c>
      <c r="H1310" t="s">
        <v>30</v>
      </c>
      <c r="I1310" t="str">
        <f>TEXT(tblSales[[#This Row],[Date]],"mmm")</f>
        <v>Nov</v>
      </c>
    </row>
    <row r="1311" spans="1:9" x14ac:dyDescent="0.3">
      <c r="A1311" s="1">
        <v>45619</v>
      </c>
      <c r="B1311" t="s">
        <v>736</v>
      </c>
      <c r="C1311" t="s">
        <v>13</v>
      </c>
      <c r="D1311">
        <v>33</v>
      </c>
      <c r="E1311">
        <v>27474</v>
      </c>
      <c r="F1311">
        <v>906642</v>
      </c>
      <c r="G1311" t="s">
        <v>14</v>
      </c>
      <c r="H1311" t="s">
        <v>15</v>
      </c>
      <c r="I1311" t="str">
        <f>TEXT(tblSales[[#This Row],[Date]],"mmm")</f>
        <v>Nov</v>
      </c>
    </row>
    <row r="1312" spans="1:9" x14ac:dyDescent="0.3">
      <c r="A1312" s="1">
        <v>45613</v>
      </c>
      <c r="B1312" t="s">
        <v>755</v>
      </c>
      <c r="C1312" t="s">
        <v>35</v>
      </c>
      <c r="D1312">
        <v>6</v>
      </c>
      <c r="E1312">
        <v>15733</v>
      </c>
      <c r="F1312">
        <v>94398</v>
      </c>
      <c r="G1312" t="s">
        <v>10</v>
      </c>
      <c r="H1312" t="s">
        <v>17</v>
      </c>
      <c r="I1312" t="str">
        <f>TEXT(tblSales[[#This Row],[Date]],"mmm")</f>
        <v>Nov</v>
      </c>
    </row>
    <row r="1313" spans="1:9" x14ac:dyDescent="0.3">
      <c r="A1313" s="1">
        <v>45626</v>
      </c>
      <c r="B1313" t="s">
        <v>761</v>
      </c>
      <c r="C1313" t="s">
        <v>26</v>
      </c>
      <c r="D1313">
        <v>32</v>
      </c>
      <c r="E1313">
        <v>9901</v>
      </c>
      <c r="F1313">
        <v>316832</v>
      </c>
      <c r="G1313" t="s">
        <v>10</v>
      </c>
      <c r="H1313" t="s">
        <v>15</v>
      </c>
      <c r="I1313" t="str">
        <f>TEXT(tblSales[[#This Row],[Date]],"mmm")</f>
        <v>Nov</v>
      </c>
    </row>
    <row r="1314" spans="1:9" x14ac:dyDescent="0.3">
      <c r="A1314" s="1">
        <v>45624</v>
      </c>
      <c r="B1314" t="s">
        <v>763</v>
      </c>
      <c r="C1314" t="s">
        <v>22</v>
      </c>
      <c r="D1314">
        <v>18</v>
      </c>
      <c r="E1314">
        <v>29326</v>
      </c>
      <c r="F1314">
        <v>527868</v>
      </c>
      <c r="G1314" t="s">
        <v>23</v>
      </c>
      <c r="H1314" t="s">
        <v>17</v>
      </c>
      <c r="I1314" t="str">
        <f>TEXT(tblSales[[#This Row],[Date]],"mmm")</f>
        <v>Nov</v>
      </c>
    </row>
    <row r="1315" spans="1:9" x14ac:dyDescent="0.3">
      <c r="A1315" s="1">
        <v>45612</v>
      </c>
      <c r="B1315" t="s">
        <v>766</v>
      </c>
      <c r="C1315" t="s">
        <v>35</v>
      </c>
      <c r="D1315">
        <v>4</v>
      </c>
      <c r="E1315">
        <v>39811</v>
      </c>
      <c r="F1315">
        <v>159244</v>
      </c>
      <c r="G1315" t="s">
        <v>10</v>
      </c>
      <c r="H1315" t="s">
        <v>17</v>
      </c>
      <c r="I1315" t="str">
        <f>TEXT(tblSales[[#This Row],[Date]],"mmm")</f>
        <v>Nov</v>
      </c>
    </row>
    <row r="1316" spans="1:9" x14ac:dyDescent="0.3">
      <c r="A1316" s="1">
        <v>45616</v>
      </c>
      <c r="B1316" t="s">
        <v>767</v>
      </c>
      <c r="C1316" t="s">
        <v>9</v>
      </c>
      <c r="D1316">
        <v>3</v>
      </c>
      <c r="E1316">
        <v>37237</v>
      </c>
      <c r="F1316">
        <v>111711</v>
      </c>
      <c r="G1316" t="s">
        <v>10</v>
      </c>
      <c r="H1316" t="s">
        <v>15</v>
      </c>
      <c r="I1316" t="str">
        <f>TEXT(tblSales[[#This Row],[Date]],"mmm")</f>
        <v>Nov</v>
      </c>
    </row>
    <row r="1317" spans="1:9" x14ac:dyDescent="0.3">
      <c r="A1317" s="1">
        <v>45610</v>
      </c>
      <c r="B1317" t="s">
        <v>795</v>
      </c>
      <c r="C1317" t="s">
        <v>22</v>
      </c>
      <c r="D1317">
        <v>17</v>
      </c>
      <c r="E1317">
        <v>37510</v>
      </c>
      <c r="F1317">
        <v>637670</v>
      </c>
      <c r="G1317" t="s">
        <v>10</v>
      </c>
      <c r="H1317" t="s">
        <v>17</v>
      </c>
      <c r="I1317" t="str">
        <f>TEXT(tblSales[[#This Row],[Date]],"mmm")</f>
        <v>Nov</v>
      </c>
    </row>
    <row r="1318" spans="1:9" x14ac:dyDescent="0.3">
      <c r="A1318" s="1">
        <v>45611</v>
      </c>
      <c r="B1318" t="s">
        <v>798</v>
      </c>
      <c r="C1318" t="s">
        <v>35</v>
      </c>
      <c r="D1318">
        <v>11</v>
      </c>
      <c r="E1318">
        <v>28050</v>
      </c>
      <c r="F1318">
        <v>308550</v>
      </c>
      <c r="G1318" t="s">
        <v>10</v>
      </c>
      <c r="H1318" t="s">
        <v>15</v>
      </c>
      <c r="I1318" t="str">
        <f>TEXT(tblSales[[#This Row],[Date]],"mmm")</f>
        <v>Nov</v>
      </c>
    </row>
    <row r="1319" spans="1:9" x14ac:dyDescent="0.3">
      <c r="A1319" s="1">
        <v>45613</v>
      </c>
      <c r="B1319" t="s">
        <v>826</v>
      </c>
      <c r="C1319" t="s">
        <v>13</v>
      </c>
      <c r="D1319">
        <v>27</v>
      </c>
      <c r="E1319">
        <v>44598</v>
      </c>
      <c r="F1319">
        <v>1204146</v>
      </c>
      <c r="G1319" t="s">
        <v>23</v>
      </c>
      <c r="H1319" t="s">
        <v>15</v>
      </c>
      <c r="I1319" t="str">
        <f>TEXT(tblSales[[#This Row],[Date]],"mmm")</f>
        <v>Nov</v>
      </c>
    </row>
    <row r="1320" spans="1:9" x14ac:dyDescent="0.3">
      <c r="A1320" s="1">
        <v>45626</v>
      </c>
      <c r="B1320" t="s">
        <v>831</v>
      </c>
      <c r="C1320" t="s">
        <v>13</v>
      </c>
      <c r="D1320">
        <v>14</v>
      </c>
      <c r="E1320">
        <v>32168</v>
      </c>
      <c r="F1320">
        <v>450352</v>
      </c>
      <c r="G1320" t="s">
        <v>10</v>
      </c>
      <c r="H1320" t="s">
        <v>17</v>
      </c>
      <c r="I1320" t="str">
        <f>TEXT(tblSales[[#This Row],[Date]],"mmm")</f>
        <v>Nov</v>
      </c>
    </row>
    <row r="1321" spans="1:9" x14ac:dyDescent="0.3">
      <c r="A1321" s="1">
        <v>45622</v>
      </c>
      <c r="B1321" t="s">
        <v>842</v>
      </c>
      <c r="C1321" t="s">
        <v>26</v>
      </c>
      <c r="D1321">
        <v>3</v>
      </c>
      <c r="E1321">
        <v>15985</v>
      </c>
      <c r="F1321">
        <v>47955</v>
      </c>
      <c r="G1321" t="s">
        <v>19</v>
      </c>
      <c r="H1321" t="s">
        <v>15</v>
      </c>
      <c r="I1321" t="str">
        <f>TEXT(tblSales[[#This Row],[Date]],"mmm")</f>
        <v>Nov</v>
      </c>
    </row>
    <row r="1322" spans="1:9" x14ac:dyDescent="0.3">
      <c r="A1322" s="1">
        <v>45610</v>
      </c>
      <c r="B1322" t="s">
        <v>844</v>
      </c>
      <c r="C1322" t="s">
        <v>26</v>
      </c>
      <c r="D1322">
        <v>8</v>
      </c>
      <c r="E1322">
        <v>19850</v>
      </c>
      <c r="F1322">
        <v>158800</v>
      </c>
      <c r="G1322" t="s">
        <v>14</v>
      </c>
      <c r="H1322" t="s">
        <v>15</v>
      </c>
      <c r="I1322" t="str">
        <f>TEXT(tblSales[[#This Row],[Date]],"mmm")</f>
        <v>Nov</v>
      </c>
    </row>
    <row r="1323" spans="1:9" x14ac:dyDescent="0.3">
      <c r="A1323" s="1">
        <v>45624</v>
      </c>
      <c r="B1323" t="s">
        <v>846</v>
      </c>
      <c r="C1323" t="s">
        <v>26</v>
      </c>
      <c r="D1323">
        <v>32</v>
      </c>
      <c r="E1323">
        <v>42755</v>
      </c>
      <c r="F1323">
        <v>1368160</v>
      </c>
      <c r="G1323" t="s">
        <v>10</v>
      </c>
      <c r="H1323" t="s">
        <v>27</v>
      </c>
      <c r="I1323" t="str">
        <f>TEXT(tblSales[[#This Row],[Date]],"mmm")</f>
        <v>Nov</v>
      </c>
    </row>
    <row r="1324" spans="1:9" x14ac:dyDescent="0.3">
      <c r="A1324" s="1">
        <v>45602</v>
      </c>
      <c r="B1324" t="s">
        <v>864</v>
      </c>
      <c r="C1324" t="s">
        <v>35</v>
      </c>
      <c r="D1324">
        <v>5</v>
      </c>
      <c r="E1324">
        <v>15721</v>
      </c>
      <c r="F1324">
        <v>78605</v>
      </c>
      <c r="G1324" t="s">
        <v>19</v>
      </c>
      <c r="H1324" t="s">
        <v>17</v>
      </c>
      <c r="I1324" t="str">
        <f>TEXT(tblSales[[#This Row],[Date]],"mmm")</f>
        <v>Nov</v>
      </c>
    </row>
    <row r="1325" spans="1:9" x14ac:dyDescent="0.3">
      <c r="A1325" s="1">
        <v>45617</v>
      </c>
      <c r="B1325" t="s">
        <v>876</v>
      </c>
      <c r="C1325" t="s">
        <v>35</v>
      </c>
      <c r="D1325">
        <v>31</v>
      </c>
      <c r="E1325">
        <v>9960</v>
      </c>
      <c r="F1325">
        <v>308760</v>
      </c>
      <c r="G1325" t="s">
        <v>14</v>
      </c>
      <c r="H1325" t="s">
        <v>17</v>
      </c>
      <c r="I1325" t="str">
        <f>TEXT(tblSales[[#This Row],[Date]],"mmm")</f>
        <v>Nov</v>
      </c>
    </row>
    <row r="1326" spans="1:9" x14ac:dyDescent="0.3">
      <c r="A1326" s="1">
        <v>45614</v>
      </c>
      <c r="B1326" t="s">
        <v>878</v>
      </c>
      <c r="C1326" t="s">
        <v>13</v>
      </c>
      <c r="D1326">
        <v>24</v>
      </c>
      <c r="E1326">
        <v>29256</v>
      </c>
      <c r="F1326">
        <v>702144</v>
      </c>
      <c r="G1326" t="s">
        <v>10</v>
      </c>
      <c r="H1326" t="s">
        <v>30</v>
      </c>
      <c r="I1326" t="str">
        <f>TEXT(tblSales[[#This Row],[Date]],"mmm")</f>
        <v>Nov</v>
      </c>
    </row>
    <row r="1327" spans="1:9" x14ac:dyDescent="0.3">
      <c r="A1327" s="1">
        <v>45616</v>
      </c>
      <c r="B1327" t="s">
        <v>881</v>
      </c>
      <c r="C1327" t="s">
        <v>13</v>
      </c>
      <c r="D1327">
        <v>39</v>
      </c>
      <c r="E1327">
        <v>40451</v>
      </c>
      <c r="F1327">
        <v>1577589</v>
      </c>
      <c r="G1327" t="s">
        <v>19</v>
      </c>
      <c r="H1327" t="s">
        <v>30</v>
      </c>
      <c r="I1327" t="str">
        <f>TEXT(tblSales[[#This Row],[Date]],"mmm")</f>
        <v>Nov</v>
      </c>
    </row>
    <row r="1328" spans="1:9" x14ac:dyDescent="0.3">
      <c r="A1328" s="1">
        <v>45608</v>
      </c>
      <c r="B1328" t="s">
        <v>896</v>
      </c>
      <c r="C1328" t="s">
        <v>22</v>
      </c>
      <c r="D1328">
        <v>20</v>
      </c>
      <c r="E1328">
        <v>5900</v>
      </c>
      <c r="F1328">
        <v>118000</v>
      </c>
      <c r="G1328" t="s">
        <v>14</v>
      </c>
      <c r="H1328" t="s">
        <v>30</v>
      </c>
      <c r="I1328" t="str">
        <f>TEXT(tblSales[[#This Row],[Date]],"mmm")</f>
        <v>Nov</v>
      </c>
    </row>
    <row r="1329" spans="1:9" x14ac:dyDescent="0.3">
      <c r="A1329" s="1">
        <v>45625</v>
      </c>
      <c r="B1329" t="s">
        <v>900</v>
      </c>
      <c r="C1329" t="s">
        <v>35</v>
      </c>
      <c r="D1329">
        <v>14</v>
      </c>
      <c r="E1329">
        <v>23935</v>
      </c>
      <c r="F1329">
        <v>335090</v>
      </c>
      <c r="G1329" t="s">
        <v>10</v>
      </c>
      <c r="H1329" t="s">
        <v>11</v>
      </c>
      <c r="I1329" t="str">
        <f>TEXT(tblSales[[#This Row],[Date]],"mmm")</f>
        <v>Nov</v>
      </c>
    </row>
    <row r="1330" spans="1:9" x14ac:dyDescent="0.3">
      <c r="A1330" s="1">
        <v>45598</v>
      </c>
      <c r="B1330" t="s">
        <v>933</v>
      </c>
      <c r="C1330" t="s">
        <v>13</v>
      </c>
      <c r="D1330">
        <v>34</v>
      </c>
      <c r="E1330">
        <v>43300</v>
      </c>
      <c r="F1330">
        <v>1472200</v>
      </c>
      <c r="G1330" t="s">
        <v>14</v>
      </c>
      <c r="H1330" t="s">
        <v>17</v>
      </c>
      <c r="I1330" t="str">
        <f>TEXT(tblSales[[#This Row],[Date]],"mmm")</f>
        <v>Nov</v>
      </c>
    </row>
    <row r="1331" spans="1:9" x14ac:dyDescent="0.3">
      <c r="A1331" s="1">
        <v>45617</v>
      </c>
      <c r="B1331" t="s">
        <v>935</v>
      </c>
      <c r="C1331" t="s">
        <v>35</v>
      </c>
      <c r="D1331">
        <v>10</v>
      </c>
      <c r="E1331">
        <v>16189</v>
      </c>
      <c r="F1331">
        <v>161890</v>
      </c>
      <c r="G1331" t="s">
        <v>10</v>
      </c>
      <c r="H1331" t="s">
        <v>15</v>
      </c>
      <c r="I1331" t="str">
        <f>TEXT(tblSales[[#This Row],[Date]],"mmm")</f>
        <v>Nov</v>
      </c>
    </row>
    <row r="1332" spans="1:9" x14ac:dyDescent="0.3">
      <c r="A1332" s="1">
        <v>45618</v>
      </c>
      <c r="B1332" t="s">
        <v>937</v>
      </c>
      <c r="C1332" t="s">
        <v>22</v>
      </c>
      <c r="D1332">
        <v>29</v>
      </c>
      <c r="E1332">
        <v>39287</v>
      </c>
      <c r="F1332">
        <v>1139323</v>
      </c>
      <c r="G1332" t="s">
        <v>10</v>
      </c>
      <c r="H1332" t="s">
        <v>17</v>
      </c>
      <c r="I1332" t="str">
        <f>TEXT(tblSales[[#This Row],[Date]],"mmm")</f>
        <v>Nov</v>
      </c>
    </row>
    <row r="1333" spans="1:9" x14ac:dyDescent="0.3">
      <c r="A1333" s="1">
        <v>45621</v>
      </c>
      <c r="B1333" t="s">
        <v>940</v>
      </c>
      <c r="C1333" t="s">
        <v>13</v>
      </c>
      <c r="D1333">
        <v>35</v>
      </c>
      <c r="E1333">
        <v>8679</v>
      </c>
      <c r="F1333">
        <v>303765</v>
      </c>
      <c r="G1333" t="s">
        <v>19</v>
      </c>
      <c r="H1333" t="s">
        <v>27</v>
      </c>
      <c r="I1333" t="str">
        <f>TEXT(tblSales[[#This Row],[Date]],"mmm")</f>
        <v>Nov</v>
      </c>
    </row>
    <row r="1334" spans="1:9" x14ac:dyDescent="0.3">
      <c r="A1334" s="1">
        <v>45597</v>
      </c>
      <c r="B1334" t="s">
        <v>955</v>
      </c>
      <c r="C1334" t="s">
        <v>22</v>
      </c>
      <c r="D1334">
        <v>22</v>
      </c>
      <c r="E1334">
        <v>41767</v>
      </c>
      <c r="F1334">
        <v>918874</v>
      </c>
      <c r="G1334" t="s">
        <v>14</v>
      </c>
      <c r="H1334" t="s">
        <v>15</v>
      </c>
      <c r="I1334" t="str">
        <f>TEXT(tblSales[[#This Row],[Date]],"mmm")</f>
        <v>Nov</v>
      </c>
    </row>
    <row r="1335" spans="1:9" x14ac:dyDescent="0.3">
      <c r="A1335" s="1">
        <v>45611</v>
      </c>
      <c r="B1335" t="s">
        <v>984</v>
      </c>
      <c r="C1335" t="s">
        <v>26</v>
      </c>
      <c r="D1335">
        <v>30</v>
      </c>
      <c r="E1335">
        <v>5713</v>
      </c>
      <c r="F1335">
        <v>171390</v>
      </c>
      <c r="G1335" t="s">
        <v>23</v>
      </c>
      <c r="H1335" t="s">
        <v>11</v>
      </c>
      <c r="I1335" t="str">
        <f>TEXT(tblSales[[#This Row],[Date]],"mmm")</f>
        <v>Nov</v>
      </c>
    </row>
    <row r="1336" spans="1:9" x14ac:dyDescent="0.3">
      <c r="A1336" s="1">
        <v>45610</v>
      </c>
      <c r="B1336" t="s">
        <v>998</v>
      </c>
      <c r="C1336" t="s">
        <v>9</v>
      </c>
      <c r="D1336">
        <v>6</v>
      </c>
      <c r="E1336">
        <v>12493</v>
      </c>
      <c r="F1336">
        <v>74958</v>
      </c>
      <c r="G1336" t="s">
        <v>10</v>
      </c>
      <c r="H1336" t="s">
        <v>11</v>
      </c>
      <c r="I1336" t="str">
        <f>TEXT(tblSales[[#This Row],[Date]],"mmm")</f>
        <v>Nov</v>
      </c>
    </row>
    <row r="1337" spans="1:9" x14ac:dyDescent="0.3">
      <c r="A1337" s="1">
        <v>45611</v>
      </c>
      <c r="B1337" t="s">
        <v>1007</v>
      </c>
      <c r="C1337" t="s">
        <v>22</v>
      </c>
      <c r="D1337">
        <v>34</v>
      </c>
      <c r="E1337">
        <v>9349</v>
      </c>
      <c r="F1337">
        <v>317866</v>
      </c>
      <c r="G1337" t="s">
        <v>14</v>
      </c>
      <c r="H1337" t="s">
        <v>17</v>
      </c>
      <c r="I1337" t="str">
        <f>TEXT(tblSales[[#This Row],[Date]],"mmm")</f>
        <v>Nov</v>
      </c>
    </row>
    <row r="1338" spans="1:9" x14ac:dyDescent="0.3">
      <c r="A1338" s="1">
        <v>45611</v>
      </c>
      <c r="B1338" t="s">
        <v>1010</v>
      </c>
      <c r="C1338" t="s">
        <v>35</v>
      </c>
      <c r="D1338">
        <v>34</v>
      </c>
      <c r="E1338">
        <v>37516</v>
      </c>
      <c r="F1338">
        <v>1275544</v>
      </c>
      <c r="G1338" t="s">
        <v>10</v>
      </c>
      <c r="H1338" t="s">
        <v>27</v>
      </c>
      <c r="I1338" t="str">
        <f>TEXT(tblSales[[#This Row],[Date]],"mmm")</f>
        <v>Nov</v>
      </c>
    </row>
    <row r="1339" spans="1:9" x14ac:dyDescent="0.3">
      <c r="A1339" s="1">
        <v>45612</v>
      </c>
      <c r="B1339" t="s">
        <v>1050</v>
      </c>
      <c r="C1339" t="s">
        <v>13</v>
      </c>
      <c r="D1339">
        <v>28</v>
      </c>
      <c r="E1339">
        <v>16420</v>
      </c>
      <c r="F1339">
        <v>459760</v>
      </c>
      <c r="G1339" t="s">
        <v>10</v>
      </c>
      <c r="H1339" t="s">
        <v>27</v>
      </c>
      <c r="I1339" t="str">
        <f>TEXT(tblSales[[#This Row],[Date]],"mmm")</f>
        <v>Nov</v>
      </c>
    </row>
    <row r="1340" spans="1:9" x14ac:dyDescent="0.3">
      <c r="A1340" s="1">
        <v>45599</v>
      </c>
      <c r="B1340" t="s">
        <v>1060</v>
      </c>
      <c r="C1340" t="s">
        <v>35</v>
      </c>
      <c r="D1340">
        <v>35</v>
      </c>
      <c r="E1340">
        <v>15496</v>
      </c>
      <c r="F1340">
        <v>542360</v>
      </c>
      <c r="G1340" t="s">
        <v>19</v>
      </c>
      <c r="H1340" t="s">
        <v>15</v>
      </c>
      <c r="I1340" t="str">
        <f>TEXT(tblSales[[#This Row],[Date]],"mmm")</f>
        <v>Nov</v>
      </c>
    </row>
    <row r="1341" spans="1:9" x14ac:dyDescent="0.3">
      <c r="A1341" s="1">
        <v>45598</v>
      </c>
      <c r="B1341" t="s">
        <v>1061</v>
      </c>
      <c r="C1341" t="s">
        <v>35</v>
      </c>
      <c r="D1341">
        <v>11</v>
      </c>
      <c r="E1341">
        <v>24979</v>
      </c>
      <c r="F1341">
        <v>274769</v>
      </c>
      <c r="G1341" t="s">
        <v>19</v>
      </c>
      <c r="H1341" t="s">
        <v>17</v>
      </c>
      <c r="I1341" t="str">
        <f>TEXT(tblSales[[#This Row],[Date]],"mmm")</f>
        <v>Nov</v>
      </c>
    </row>
    <row r="1342" spans="1:9" x14ac:dyDescent="0.3">
      <c r="A1342" s="1">
        <v>45606</v>
      </c>
      <c r="B1342" t="s">
        <v>1077</v>
      </c>
      <c r="C1342" t="s">
        <v>9</v>
      </c>
      <c r="D1342">
        <v>5</v>
      </c>
      <c r="E1342">
        <v>12338</v>
      </c>
      <c r="F1342">
        <v>61690</v>
      </c>
      <c r="G1342" t="s">
        <v>10</v>
      </c>
      <c r="H1342" t="s">
        <v>15</v>
      </c>
      <c r="I1342" t="str">
        <f>TEXT(tblSales[[#This Row],[Date]],"mmm")</f>
        <v>Nov</v>
      </c>
    </row>
    <row r="1343" spans="1:9" x14ac:dyDescent="0.3">
      <c r="A1343" s="1">
        <v>45626</v>
      </c>
      <c r="B1343" t="s">
        <v>1089</v>
      </c>
      <c r="C1343" t="s">
        <v>9</v>
      </c>
      <c r="D1343">
        <v>31</v>
      </c>
      <c r="E1343">
        <v>21367</v>
      </c>
      <c r="F1343">
        <v>662377</v>
      </c>
      <c r="G1343" t="s">
        <v>14</v>
      </c>
      <c r="H1343" t="s">
        <v>30</v>
      </c>
      <c r="I1343" t="str">
        <f>TEXT(tblSales[[#This Row],[Date]],"mmm")</f>
        <v>Nov</v>
      </c>
    </row>
    <row r="1344" spans="1:9" x14ac:dyDescent="0.3">
      <c r="A1344" s="1">
        <v>45609</v>
      </c>
      <c r="B1344" t="s">
        <v>1100</v>
      </c>
      <c r="C1344" t="s">
        <v>9</v>
      </c>
      <c r="D1344">
        <v>26</v>
      </c>
      <c r="E1344">
        <v>13685</v>
      </c>
      <c r="F1344">
        <v>355810</v>
      </c>
      <c r="G1344" t="s">
        <v>23</v>
      </c>
      <c r="H1344" t="s">
        <v>27</v>
      </c>
      <c r="I1344" t="str">
        <f>TEXT(tblSales[[#This Row],[Date]],"mmm")</f>
        <v>Nov</v>
      </c>
    </row>
    <row r="1345" spans="1:9" x14ac:dyDescent="0.3">
      <c r="A1345" s="1">
        <v>45615</v>
      </c>
      <c r="B1345" t="s">
        <v>1125</v>
      </c>
      <c r="C1345" t="s">
        <v>13</v>
      </c>
      <c r="D1345">
        <v>11</v>
      </c>
      <c r="E1345">
        <v>37316</v>
      </c>
      <c r="F1345">
        <v>410476</v>
      </c>
      <c r="G1345" t="s">
        <v>19</v>
      </c>
      <c r="H1345" t="s">
        <v>17</v>
      </c>
      <c r="I1345" t="str">
        <f>TEXT(tblSales[[#This Row],[Date]],"mmm")</f>
        <v>Nov</v>
      </c>
    </row>
    <row r="1346" spans="1:9" x14ac:dyDescent="0.3">
      <c r="A1346" s="1">
        <v>45597</v>
      </c>
      <c r="B1346" t="s">
        <v>1132</v>
      </c>
      <c r="C1346" t="s">
        <v>26</v>
      </c>
      <c r="D1346">
        <v>13</v>
      </c>
      <c r="E1346">
        <v>11459</v>
      </c>
      <c r="F1346">
        <v>148967</v>
      </c>
      <c r="G1346" t="s">
        <v>10</v>
      </c>
      <c r="H1346" t="s">
        <v>27</v>
      </c>
      <c r="I1346" t="str">
        <f>TEXT(tblSales[[#This Row],[Date]],"mmm")</f>
        <v>Nov</v>
      </c>
    </row>
    <row r="1347" spans="1:9" x14ac:dyDescent="0.3">
      <c r="A1347" s="1">
        <v>45602</v>
      </c>
      <c r="B1347" t="s">
        <v>1141</v>
      </c>
      <c r="C1347" t="s">
        <v>35</v>
      </c>
      <c r="D1347">
        <v>14</v>
      </c>
      <c r="E1347">
        <v>41693</v>
      </c>
      <c r="F1347">
        <v>583702</v>
      </c>
      <c r="G1347" t="s">
        <v>14</v>
      </c>
      <c r="H1347" t="s">
        <v>15</v>
      </c>
      <c r="I1347" t="str">
        <f>TEXT(tblSales[[#This Row],[Date]],"mmm")</f>
        <v>Nov</v>
      </c>
    </row>
    <row r="1348" spans="1:9" x14ac:dyDescent="0.3">
      <c r="A1348" s="1">
        <v>45604</v>
      </c>
      <c r="B1348" t="s">
        <v>1186</v>
      </c>
      <c r="C1348" t="s">
        <v>26</v>
      </c>
      <c r="D1348">
        <v>24</v>
      </c>
      <c r="E1348">
        <v>16089</v>
      </c>
      <c r="F1348">
        <v>386136</v>
      </c>
      <c r="G1348" t="s">
        <v>10</v>
      </c>
      <c r="H1348" t="s">
        <v>27</v>
      </c>
      <c r="I1348" t="str">
        <f>TEXT(tblSales[[#This Row],[Date]],"mmm")</f>
        <v>Nov</v>
      </c>
    </row>
    <row r="1349" spans="1:9" x14ac:dyDescent="0.3">
      <c r="A1349" s="1">
        <v>45610</v>
      </c>
      <c r="B1349" t="s">
        <v>1205</v>
      </c>
      <c r="C1349" t="s">
        <v>13</v>
      </c>
      <c r="D1349">
        <v>13</v>
      </c>
      <c r="E1349">
        <v>19398</v>
      </c>
      <c r="F1349">
        <v>252174</v>
      </c>
      <c r="G1349" t="s">
        <v>14</v>
      </c>
      <c r="H1349" t="s">
        <v>17</v>
      </c>
      <c r="I1349" t="str">
        <f>TEXT(tblSales[[#This Row],[Date]],"mmm")</f>
        <v>Nov</v>
      </c>
    </row>
    <row r="1350" spans="1:9" x14ac:dyDescent="0.3">
      <c r="A1350" s="1">
        <v>45600</v>
      </c>
      <c r="B1350" t="s">
        <v>1212</v>
      </c>
      <c r="C1350" t="s">
        <v>13</v>
      </c>
      <c r="D1350">
        <v>34</v>
      </c>
      <c r="E1350">
        <v>30168</v>
      </c>
      <c r="F1350">
        <v>1025712</v>
      </c>
      <c r="G1350" t="s">
        <v>10</v>
      </c>
      <c r="H1350" t="s">
        <v>11</v>
      </c>
      <c r="I1350" t="str">
        <f>TEXT(tblSales[[#This Row],[Date]],"mmm")</f>
        <v>Nov</v>
      </c>
    </row>
    <row r="1351" spans="1:9" x14ac:dyDescent="0.3">
      <c r="A1351" s="1">
        <v>45617</v>
      </c>
      <c r="B1351" t="s">
        <v>1216</v>
      </c>
      <c r="C1351" t="s">
        <v>35</v>
      </c>
      <c r="D1351">
        <v>32</v>
      </c>
      <c r="E1351">
        <v>37864</v>
      </c>
      <c r="F1351">
        <v>1211648</v>
      </c>
      <c r="G1351" t="s">
        <v>19</v>
      </c>
      <c r="H1351" t="s">
        <v>15</v>
      </c>
      <c r="I1351" t="str">
        <f>TEXT(tblSales[[#This Row],[Date]],"mmm")</f>
        <v>Nov</v>
      </c>
    </row>
    <row r="1352" spans="1:9" x14ac:dyDescent="0.3">
      <c r="A1352" s="1">
        <v>45605</v>
      </c>
      <c r="B1352" t="s">
        <v>1250</v>
      </c>
      <c r="C1352" t="s">
        <v>13</v>
      </c>
      <c r="D1352">
        <v>7</v>
      </c>
      <c r="E1352">
        <v>22397</v>
      </c>
      <c r="F1352">
        <v>156779</v>
      </c>
      <c r="G1352" t="s">
        <v>23</v>
      </c>
      <c r="H1352" t="s">
        <v>11</v>
      </c>
      <c r="I1352" t="str">
        <f>TEXT(tblSales[[#This Row],[Date]],"mmm")</f>
        <v>Nov</v>
      </c>
    </row>
    <row r="1353" spans="1:9" x14ac:dyDescent="0.3">
      <c r="A1353" s="1">
        <v>45605</v>
      </c>
      <c r="B1353" t="s">
        <v>1277</v>
      </c>
      <c r="C1353" t="s">
        <v>9</v>
      </c>
      <c r="D1353">
        <v>31</v>
      </c>
      <c r="E1353">
        <v>29304</v>
      </c>
      <c r="F1353">
        <v>908424</v>
      </c>
      <c r="G1353" t="s">
        <v>19</v>
      </c>
      <c r="H1353" t="s">
        <v>27</v>
      </c>
      <c r="I1353" t="str">
        <f>TEXT(tblSales[[#This Row],[Date]],"mmm")</f>
        <v>Nov</v>
      </c>
    </row>
    <row r="1354" spans="1:9" x14ac:dyDescent="0.3">
      <c r="A1354" s="1">
        <v>45620</v>
      </c>
      <c r="B1354" t="s">
        <v>1281</v>
      </c>
      <c r="C1354" t="s">
        <v>35</v>
      </c>
      <c r="D1354">
        <v>34</v>
      </c>
      <c r="E1354">
        <v>24398</v>
      </c>
      <c r="F1354">
        <v>829532</v>
      </c>
      <c r="G1354" t="s">
        <v>10</v>
      </c>
      <c r="H1354" t="s">
        <v>17</v>
      </c>
      <c r="I1354" t="str">
        <f>TEXT(tblSales[[#This Row],[Date]],"mmm")</f>
        <v>Nov</v>
      </c>
    </row>
    <row r="1355" spans="1:9" x14ac:dyDescent="0.3">
      <c r="A1355" s="1">
        <v>45598</v>
      </c>
      <c r="B1355" t="s">
        <v>1292</v>
      </c>
      <c r="C1355" t="s">
        <v>22</v>
      </c>
      <c r="D1355">
        <v>4</v>
      </c>
      <c r="E1355">
        <v>21534</v>
      </c>
      <c r="F1355">
        <v>86136</v>
      </c>
      <c r="G1355" t="s">
        <v>14</v>
      </c>
      <c r="H1355" t="s">
        <v>27</v>
      </c>
      <c r="I1355" t="str">
        <f>TEXT(tblSales[[#This Row],[Date]],"mmm")</f>
        <v>Nov</v>
      </c>
    </row>
    <row r="1356" spans="1:9" x14ac:dyDescent="0.3">
      <c r="A1356" s="1">
        <v>45620</v>
      </c>
      <c r="B1356" t="s">
        <v>1299</v>
      </c>
      <c r="C1356" t="s">
        <v>22</v>
      </c>
      <c r="D1356">
        <v>10</v>
      </c>
      <c r="E1356">
        <v>12003</v>
      </c>
      <c r="F1356">
        <v>120030</v>
      </c>
      <c r="G1356" t="s">
        <v>14</v>
      </c>
      <c r="H1356" t="s">
        <v>27</v>
      </c>
      <c r="I1356" t="str">
        <f>TEXT(tblSales[[#This Row],[Date]],"mmm")</f>
        <v>Nov</v>
      </c>
    </row>
    <row r="1357" spans="1:9" x14ac:dyDescent="0.3">
      <c r="A1357" s="1">
        <v>45609</v>
      </c>
      <c r="B1357" t="s">
        <v>1310</v>
      </c>
      <c r="C1357" t="s">
        <v>13</v>
      </c>
      <c r="D1357">
        <v>26</v>
      </c>
      <c r="E1357">
        <v>30682</v>
      </c>
      <c r="F1357">
        <v>797732</v>
      </c>
      <c r="G1357" t="s">
        <v>23</v>
      </c>
      <c r="H1357" t="s">
        <v>27</v>
      </c>
      <c r="I1357" t="str">
        <f>TEXT(tblSales[[#This Row],[Date]],"mmm")</f>
        <v>Nov</v>
      </c>
    </row>
    <row r="1358" spans="1:9" x14ac:dyDescent="0.3">
      <c r="A1358" s="1">
        <v>45620</v>
      </c>
      <c r="B1358" t="s">
        <v>1312</v>
      </c>
      <c r="C1358" t="s">
        <v>9</v>
      </c>
      <c r="D1358">
        <v>35</v>
      </c>
      <c r="E1358">
        <v>32546</v>
      </c>
      <c r="F1358">
        <v>1139110</v>
      </c>
      <c r="G1358" t="s">
        <v>10</v>
      </c>
      <c r="H1358" t="s">
        <v>11</v>
      </c>
      <c r="I1358" t="str">
        <f>TEXT(tblSales[[#This Row],[Date]],"mmm")</f>
        <v>Nov</v>
      </c>
    </row>
    <row r="1359" spans="1:9" x14ac:dyDescent="0.3">
      <c r="A1359" s="1">
        <v>45622</v>
      </c>
      <c r="B1359" t="s">
        <v>1322</v>
      </c>
      <c r="C1359" t="s">
        <v>26</v>
      </c>
      <c r="D1359">
        <v>24</v>
      </c>
      <c r="E1359">
        <v>28676</v>
      </c>
      <c r="F1359">
        <v>688224</v>
      </c>
      <c r="G1359" t="s">
        <v>23</v>
      </c>
      <c r="H1359" t="s">
        <v>27</v>
      </c>
      <c r="I1359" t="str">
        <f>TEXT(tblSales[[#This Row],[Date]],"mmm")</f>
        <v>Nov</v>
      </c>
    </row>
    <row r="1360" spans="1:9" x14ac:dyDescent="0.3">
      <c r="A1360" s="1">
        <v>45614</v>
      </c>
      <c r="B1360" t="s">
        <v>1329</v>
      </c>
      <c r="C1360" t="s">
        <v>22</v>
      </c>
      <c r="D1360">
        <v>7</v>
      </c>
      <c r="E1360">
        <v>25380</v>
      </c>
      <c r="F1360">
        <v>177660</v>
      </c>
      <c r="G1360" t="s">
        <v>19</v>
      </c>
      <c r="H1360" t="s">
        <v>17</v>
      </c>
      <c r="I1360" t="str">
        <f>TEXT(tblSales[[#This Row],[Date]],"mmm")</f>
        <v>Nov</v>
      </c>
    </row>
    <row r="1361" spans="1:9" x14ac:dyDescent="0.3">
      <c r="A1361" s="1">
        <v>45624</v>
      </c>
      <c r="B1361" t="s">
        <v>1332</v>
      </c>
      <c r="C1361" t="s">
        <v>35</v>
      </c>
      <c r="D1361">
        <v>36</v>
      </c>
      <c r="E1361">
        <v>15944</v>
      </c>
      <c r="F1361">
        <v>573984</v>
      </c>
      <c r="G1361" t="s">
        <v>23</v>
      </c>
      <c r="H1361" t="s">
        <v>17</v>
      </c>
      <c r="I1361" t="str">
        <f>TEXT(tblSales[[#This Row],[Date]],"mmm")</f>
        <v>Nov</v>
      </c>
    </row>
    <row r="1362" spans="1:9" x14ac:dyDescent="0.3">
      <c r="A1362" s="1">
        <v>45610</v>
      </c>
      <c r="B1362" t="s">
        <v>1360</v>
      </c>
      <c r="C1362" t="s">
        <v>9</v>
      </c>
      <c r="D1362">
        <v>20</v>
      </c>
      <c r="E1362">
        <v>6463</v>
      </c>
      <c r="F1362">
        <v>129260</v>
      </c>
      <c r="G1362" t="s">
        <v>23</v>
      </c>
      <c r="H1362" t="s">
        <v>15</v>
      </c>
      <c r="I1362" t="str">
        <f>TEXT(tblSales[[#This Row],[Date]],"mmm")</f>
        <v>Nov</v>
      </c>
    </row>
    <row r="1363" spans="1:9" x14ac:dyDescent="0.3">
      <c r="A1363" s="1">
        <v>45621</v>
      </c>
      <c r="B1363" t="s">
        <v>1363</v>
      </c>
      <c r="C1363" t="s">
        <v>13</v>
      </c>
      <c r="D1363">
        <v>23</v>
      </c>
      <c r="E1363">
        <v>13784</v>
      </c>
      <c r="F1363">
        <v>317032</v>
      </c>
      <c r="G1363" t="s">
        <v>23</v>
      </c>
      <c r="H1363" t="s">
        <v>15</v>
      </c>
      <c r="I1363" t="str">
        <f>TEXT(tblSales[[#This Row],[Date]],"mmm")</f>
        <v>Nov</v>
      </c>
    </row>
    <row r="1364" spans="1:9" x14ac:dyDescent="0.3">
      <c r="A1364" s="1">
        <v>45625</v>
      </c>
      <c r="B1364" t="s">
        <v>1378</v>
      </c>
      <c r="C1364" t="s">
        <v>22</v>
      </c>
      <c r="D1364">
        <v>24</v>
      </c>
      <c r="E1364">
        <v>37104</v>
      </c>
      <c r="F1364">
        <v>890496</v>
      </c>
      <c r="G1364" t="s">
        <v>19</v>
      </c>
      <c r="H1364" t="s">
        <v>30</v>
      </c>
      <c r="I1364" t="str">
        <f>TEXT(tblSales[[#This Row],[Date]],"mmm")</f>
        <v>Nov</v>
      </c>
    </row>
    <row r="1365" spans="1:9" x14ac:dyDescent="0.3">
      <c r="A1365" s="1">
        <v>45616</v>
      </c>
      <c r="B1365" t="s">
        <v>1382</v>
      </c>
      <c r="C1365" t="s">
        <v>13</v>
      </c>
      <c r="D1365">
        <v>39</v>
      </c>
      <c r="E1365">
        <v>8516</v>
      </c>
      <c r="F1365">
        <v>332124</v>
      </c>
      <c r="G1365" t="s">
        <v>19</v>
      </c>
      <c r="H1365" t="s">
        <v>17</v>
      </c>
      <c r="I1365" t="str">
        <f>TEXT(tblSales[[#This Row],[Date]],"mmm")</f>
        <v>Nov</v>
      </c>
    </row>
    <row r="1366" spans="1:9" x14ac:dyDescent="0.3">
      <c r="A1366" s="1">
        <v>45611</v>
      </c>
      <c r="B1366" t="s">
        <v>1393</v>
      </c>
      <c r="C1366" t="s">
        <v>26</v>
      </c>
      <c r="D1366">
        <v>29</v>
      </c>
      <c r="E1366">
        <v>26379</v>
      </c>
      <c r="F1366">
        <v>764991</v>
      </c>
      <c r="G1366" t="s">
        <v>23</v>
      </c>
      <c r="H1366" t="s">
        <v>17</v>
      </c>
      <c r="I1366" t="str">
        <f>TEXT(tblSales[[#This Row],[Date]],"mmm")</f>
        <v>Nov</v>
      </c>
    </row>
    <row r="1367" spans="1:9" x14ac:dyDescent="0.3">
      <c r="A1367" s="1">
        <v>45625</v>
      </c>
      <c r="B1367" t="s">
        <v>1400</v>
      </c>
      <c r="C1367" t="s">
        <v>22</v>
      </c>
      <c r="D1367">
        <v>10</v>
      </c>
      <c r="E1367">
        <v>6722</v>
      </c>
      <c r="F1367">
        <v>67220</v>
      </c>
      <c r="G1367" t="s">
        <v>19</v>
      </c>
      <c r="H1367" t="s">
        <v>15</v>
      </c>
      <c r="I1367" t="str">
        <f>TEXT(tblSales[[#This Row],[Date]],"mmm")</f>
        <v>Nov</v>
      </c>
    </row>
    <row r="1368" spans="1:9" x14ac:dyDescent="0.3">
      <c r="A1368" s="1">
        <v>45601</v>
      </c>
      <c r="B1368" t="s">
        <v>1401</v>
      </c>
      <c r="C1368" t="s">
        <v>35</v>
      </c>
      <c r="D1368">
        <v>9</v>
      </c>
      <c r="E1368">
        <v>5684</v>
      </c>
      <c r="F1368">
        <v>51156</v>
      </c>
      <c r="G1368" t="s">
        <v>14</v>
      </c>
      <c r="H1368" t="s">
        <v>15</v>
      </c>
      <c r="I1368" t="str">
        <f>TEXT(tblSales[[#This Row],[Date]],"mmm")</f>
        <v>Nov</v>
      </c>
    </row>
    <row r="1369" spans="1:9" x14ac:dyDescent="0.3">
      <c r="A1369" s="1">
        <v>45617</v>
      </c>
      <c r="B1369" t="s">
        <v>1411</v>
      </c>
      <c r="C1369" t="s">
        <v>13</v>
      </c>
      <c r="D1369">
        <v>24</v>
      </c>
      <c r="E1369">
        <v>17899</v>
      </c>
      <c r="F1369">
        <v>429576</v>
      </c>
      <c r="G1369" t="s">
        <v>23</v>
      </c>
      <c r="H1369" t="s">
        <v>15</v>
      </c>
      <c r="I1369" t="str">
        <f>TEXT(tblSales[[#This Row],[Date]],"mmm")</f>
        <v>Nov</v>
      </c>
    </row>
    <row r="1370" spans="1:9" x14ac:dyDescent="0.3">
      <c r="A1370" s="1">
        <v>45610</v>
      </c>
      <c r="B1370" t="s">
        <v>1416</v>
      </c>
      <c r="C1370" t="s">
        <v>22</v>
      </c>
      <c r="D1370">
        <v>4</v>
      </c>
      <c r="E1370">
        <v>29023</v>
      </c>
      <c r="F1370">
        <v>116092</v>
      </c>
      <c r="G1370" t="s">
        <v>19</v>
      </c>
      <c r="H1370" t="s">
        <v>11</v>
      </c>
      <c r="I1370" t="str">
        <f>TEXT(tblSales[[#This Row],[Date]],"mmm")</f>
        <v>Nov</v>
      </c>
    </row>
    <row r="1371" spans="1:9" x14ac:dyDescent="0.3">
      <c r="A1371" s="1">
        <v>45602</v>
      </c>
      <c r="B1371" t="s">
        <v>1427</v>
      </c>
      <c r="C1371" t="s">
        <v>13</v>
      </c>
      <c r="D1371">
        <v>7</v>
      </c>
      <c r="E1371">
        <v>25690</v>
      </c>
      <c r="F1371">
        <v>179830</v>
      </c>
      <c r="G1371" t="s">
        <v>19</v>
      </c>
      <c r="H1371" t="s">
        <v>11</v>
      </c>
      <c r="I1371" t="str">
        <f>TEXT(tblSales[[#This Row],[Date]],"mmm")</f>
        <v>Nov</v>
      </c>
    </row>
    <row r="1372" spans="1:9" x14ac:dyDescent="0.3">
      <c r="A1372" s="1">
        <v>45608</v>
      </c>
      <c r="B1372" t="s">
        <v>1435</v>
      </c>
      <c r="C1372" t="s">
        <v>9</v>
      </c>
      <c r="D1372">
        <v>10</v>
      </c>
      <c r="E1372">
        <v>29272</v>
      </c>
      <c r="F1372">
        <v>292720</v>
      </c>
      <c r="G1372" t="s">
        <v>14</v>
      </c>
      <c r="H1372" t="s">
        <v>30</v>
      </c>
      <c r="I1372" t="str">
        <f>TEXT(tblSales[[#This Row],[Date]],"mmm")</f>
        <v>Nov</v>
      </c>
    </row>
    <row r="1373" spans="1:9" x14ac:dyDescent="0.3">
      <c r="A1373" s="1">
        <v>45601</v>
      </c>
      <c r="B1373" t="s">
        <v>1445</v>
      </c>
      <c r="C1373" t="s">
        <v>13</v>
      </c>
      <c r="D1373">
        <v>3</v>
      </c>
      <c r="E1373">
        <v>37929</v>
      </c>
      <c r="F1373">
        <v>113787</v>
      </c>
      <c r="G1373" t="s">
        <v>14</v>
      </c>
      <c r="H1373" t="s">
        <v>30</v>
      </c>
      <c r="I1373" t="str">
        <f>TEXT(tblSales[[#This Row],[Date]],"mmm")</f>
        <v>Nov</v>
      </c>
    </row>
    <row r="1374" spans="1:9" x14ac:dyDescent="0.3">
      <c r="A1374" s="1">
        <v>45609</v>
      </c>
      <c r="B1374" t="s">
        <v>1462</v>
      </c>
      <c r="C1374" t="s">
        <v>22</v>
      </c>
      <c r="D1374">
        <v>6</v>
      </c>
      <c r="E1374">
        <v>24712</v>
      </c>
      <c r="F1374">
        <v>148272</v>
      </c>
      <c r="G1374" t="s">
        <v>19</v>
      </c>
      <c r="H1374" t="s">
        <v>11</v>
      </c>
      <c r="I1374" t="str">
        <f>TEXT(tblSales[[#This Row],[Date]],"mmm")</f>
        <v>Nov</v>
      </c>
    </row>
    <row r="1375" spans="1:9" x14ac:dyDescent="0.3">
      <c r="A1375" s="1">
        <v>45599</v>
      </c>
      <c r="B1375" t="s">
        <v>1477</v>
      </c>
      <c r="C1375" t="s">
        <v>26</v>
      </c>
      <c r="D1375">
        <v>14</v>
      </c>
      <c r="E1375">
        <v>34395</v>
      </c>
      <c r="F1375">
        <v>481530</v>
      </c>
      <c r="G1375" t="s">
        <v>23</v>
      </c>
      <c r="H1375" t="s">
        <v>17</v>
      </c>
      <c r="I1375" t="str">
        <f>TEXT(tblSales[[#This Row],[Date]],"mmm")</f>
        <v>Nov</v>
      </c>
    </row>
    <row r="1376" spans="1:9" x14ac:dyDescent="0.3">
      <c r="A1376" s="1">
        <v>45618</v>
      </c>
      <c r="B1376" t="s">
        <v>1488</v>
      </c>
      <c r="C1376" t="s">
        <v>9</v>
      </c>
      <c r="D1376">
        <v>1</v>
      </c>
      <c r="E1376">
        <v>7170</v>
      </c>
      <c r="F1376">
        <v>7170</v>
      </c>
      <c r="G1376" t="s">
        <v>14</v>
      </c>
      <c r="H1376" t="s">
        <v>27</v>
      </c>
      <c r="I1376" t="str">
        <f>TEXT(tblSales[[#This Row],[Date]],"mmm")</f>
        <v>Nov</v>
      </c>
    </row>
    <row r="1377" spans="1:9" x14ac:dyDescent="0.3">
      <c r="A1377" s="1">
        <v>45602</v>
      </c>
      <c r="B1377" t="s">
        <v>1489</v>
      </c>
      <c r="C1377" t="s">
        <v>9</v>
      </c>
      <c r="D1377">
        <v>22</v>
      </c>
      <c r="E1377">
        <v>9832</v>
      </c>
      <c r="F1377">
        <v>216304</v>
      </c>
      <c r="G1377" t="s">
        <v>10</v>
      </c>
      <c r="H1377" t="s">
        <v>27</v>
      </c>
      <c r="I1377" t="str">
        <f>TEXT(tblSales[[#This Row],[Date]],"mmm")</f>
        <v>Nov</v>
      </c>
    </row>
    <row r="1378" spans="1:9" x14ac:dyDescent="0.3">
      <c r="A1378" s="1">
        <v>45610</v>
      </c>
      <c r="B1378" t="s">
        <v>1496</v>
      </c>
      <c r="C1378" t="s">
        <v>22</v>
      </c>
      <c r="D1378">
        <v>28</v>
      </c>
      <c r="E1378">
        <v>39026</v>
      </c>
      <c r="F1378">
        <v>1092728</v>
      </c>
      <c r="G1378" t="s">
        <v>23</v>
      </c>
      <c r="H1378" t="s">
        <v>30</v>
      </c>
      <c r="I1378" t="str">
        <f>TEXT(tblSales[[#This Row],[Date]],"mmm")</f>
        <v>Nov</v>
      </c>
    </row>
    <row r="1379" spans="1:9" x14ac:dyDescent="0.3">
      <c r="A1379" s="1">
        <v>45605</v>
      </c>
      <c r="B1379" t="s">
        <v>1498</v>
      </c>
      <c r="C1379" t="s">
        <v>35</v>
      </c>
      <c r="D1379">
        <v>27</v>
      </c>
      <c r="E1379">
        <v>34532</v>
      </c>
      <c r="F1379">
        <v>932364</v>
      </c>
      <c r="G1379" t="s">
        <v>10</v>
      </c>
      <c r="H1379" t="s">
        <v>27</v>
      </c>
      <c r="I1379" t="str">
        <f>TEXT(tblSales[[#This Row],[Date]],"mmm")</f>
        <v>Nov</v>
      </c>
    </row>
    <row r="1380" spans="1:9" x14ac:dyDescent="0.3">
      <c r="A1380" s="1">
        <v>45646</v>
      </c>
      <c r="B1380" t="s">
        <v>31</v>
      </c>
      <c r="C1380" t="s">
        <v>9</v>
      </c>
      <c r="D1380">
        <v>8</v>
      </c>
      <c r="E1380">
        <v>35497</v>
      </c>
      <c r="F1380">
        <v>283976</v>
      </c>
      <c r="G1380" t="s">
        <v>10</v>
      </c>
      <c r="H1380" t="s">
        <v>17</v>
      </c>
      <c r="I1380" t="str">
        <f>TEXT(tblSales[[#This Row],[Date]],"mmm")</f>
        <v>Dec</v>
      </c>
    </row>
    <row r="1381" spans="1:9" x14ac:dyDescent="0.3">
      <c r="A1381" s="1">
        <v>45642</v>
      </c>
      <c r="B1381" t="s">
        <v>42</v>
      </c>
      <c r="C1381" t="s">
        <v>22</v>
      </c>
      <c r="D1381">
        <v>9</v>
      </c>
      <c r="E1381">
        <v>28055</v>
      </c>
      <c r="F1381">
        <v>252495</v>
      </c>
      <c r="G1381" t="s">
        <v>19</v>
      </c>
      <c r="H1381" t="s">
        <v>15</v>
      </c>
      <c r="I1381" t="str">
        <f>TEXT(tblSales[[#This Row],[Date]],"mmm")</f>
        <v>Dec</v>
      </c>
    </row>
    <row r="1382" spans="1:9" x14ac:dyDescent="0.3">
      <c r="A1382" s="1">
        <v>45630</v>
      </c>
      <c r="B1382" t="s">
        <v>47</v>
      </c>
      <c r="C1382" t="s">
        <v>22</v>
      </c>
      <c r="D1382">
        <v>7</v>
      </c>
      <c r="E1382">
        <v>44747</v>
      </c>
      <c r="F1382">
        <v>313229</v>
      </c>
      <c r="G1382" t="s">
        <v>23</v>
      </c>
      <c r="H1382" t="s">
        <v>27</v>
      </c>
      <c r="I1382" t="str">
        <f>TEXT(tblSales[[#This Row],[Date]],"mmm")</f>
        <v>Dec</v>
      </c>
    </row>
    <row r="1383" spans="1:9" x14ac:dyDescent="0.3">
      <c r="A1383" s="1">
        <v>45639</v>
      </c>
      <c r="B1383" t="s">
        <v>48</v>
      </c>
      <c r="C1383" t="s">
        <v>9</v>
      </c>
      <c r="D1383">
        <v>34</v>
      </c>
      <c r="E1383">
        <v>39919</v>
      </c>
      <c r="F1383">
        <v>1357246</v>
      </c>
      <c r="G1383" t="s">
        <v>19</v>
      </c>
      <c r="H1383" t="s">
        <v>30</v>
      </c>
      <c r="I1383" t="str">
        <f>TEXT(tblSales[[#This Row],[Date]],"mmm")</f>
        <v>Dec</v>
      </c>
    </row>
    <row r="1384" spans="1:9" x14ac:dyDescent="0.3">
      <c r="A1384" s="1">
        <v>45631</v>
      </c>
      <c r="B1384" t="s">
        <v>57</v>
      </c>
      <c r="C1384" t="s">
        <v>35</v>
      </c>
      <c r="D1384">
        <v>24</v>
      </c>
      <c r="E1384">
        <v>16929</v>
      </c>
      <c r="F1384">
        <v>406296</v>
      </c>
      <c r="G1384" t="s">
        <v>10</v>
      </c>
      <c r="H1384" t="s">
        <v>11</v>
      </c>
      <c r="I1384" t="str">
        <f>TEXT(tblSales[[#This Row],[Date]],"mmm")</f>
        <v>Dec</v>
      </c>
    </row>
    <row r="1385" spans="1:9" x14ac:dyDescent="0.3">
      <c r="A1385" s="1">
        <v>45632</v>
      </c>
      <c r="B1385" t="s">
        <v>59</v>
      </c>
      <c r="C1385" t="s">
        <v>22</v>
      </c>
      <c r="D1385">
        <v>26</v>
      </c>
      <c r="E1385">
        <v>42001</v>
      </c>
      <c r="F1385">
        <v>1092026</v>
      </c>
      <c r="G1385" t="s">
        <v>19</v>
      </c>
      <c r="H1385" t="s">
        <v>27</v>
      </c>
      <c r="I1385" t="str">
        <f>TEXT(tblSales[[#This Row],[Date]],"mmm")</f>
        <v>Dec</v>
      </c>
    </row>
    <row r="1386" spans="1:9" x14ac:dyDescent="0.3">
      <c r="A1386" s="1">
        <v>45650</v>
      </c>
      <c r="B1386" t="s">
        <v>78</v>
      </c>
      <c r="C1386" t="s">
        <v>35</v>
      </c>
      <c r="D1386">
        <v>4</v>
      </c>
      <c r="E1386">
        <v>29448</v>
      </c>
      <c r="F1386">
        <v>117792</v>
      </c>
      <c r="G1386" t="s">
        <v>10</v>
      </c>
      <c r="H1386" t="s">
        <v>27</v>
      </c>
      <c r="I1386" t="str">
        <f>TEXT(tblSales[[#This Row],[Date]],"mmm")</f>
        <v>Dec</v>
      </c>
    </row>
    <row r="1387" spans="1:9" x14ac:dyDescent="0.3">
      <c r="A1387" s="1">
        <v>45641</v>
      </c>
      <c r="B1387" t="s">
        <v>79</v>
      </c>
      <c r="C1387" t="s">
        <v>35</v>
      </c>
      <c r="D1387">
        <v>32</v>
      </c>
      <c r="E1387">
        <v>39092</v>
      </c>
      <c r="F1387">
        <v>1250944</v>
      </c>
      <c r="G1387" t="s">
        <v>10</v>
      </c>
      <c r="H1387" t="s">
        <v>17</v>
      </c>
      <c r="I1387" t="str">
        <f>TEXT(tblSales[[#This Row],[Date]],"mmm")</f>
        <v>Dec</v>
      </c>
    </row>
    <row r="1388" spans="1:9" x14ac:dyDescent="0.3">
      <c r="A1388" s="1">
        <v>45649</v>
      </c>
      <c r="B1388" t="s">
        <v>92</v>
      </c>
      <c r="C1388" t="s">
        <v>9</v>
      </c>
      <c r="D1388">
        <v>3</v>
      </c>
      <c r="E1388">
        <v>34267</v>
      </c>
      <c r="F1388">
        <v>102801</v>
      </c>
      <c r="G1388" t="s">
        <v>14</v>
      </c>
      <c r="H1388" t="s">
        <v>17</v>
      </c>
      <c r="I1388" t="str">
        <f>TEXT(tblSales[[#This Row],[Date]],"mmm")</f>
        <v>Dec</v>
      </c>
    </row>
    <row r="1389" spans="1:9" x14ac:dyDescent="0.3">
      <c r="A1389" s="1">
        <v>45631</v>
      </c>
      <c r="B1389" t="s">
        <v>97</v>
      </c>
      <c r="C1389" t="s">
        <v>9</v>
      </c>
      <c r="D1389">
        <v>31</v>
      </c>
      <c r="E1389">
        <v>34122</v>
      </c>
      <c r="F1389">
        <v>1057782</v>
      </c>
      <c r="G1389" t="s">
        <v>14</v>
      </c>
      <c r="H1389" t="s">
        <v>27</v>
      </c>
      <c r="I1389" t="str">
        <f>TEXT(tblSales[[#This Row],[Date]],"mmm")</f>
        <v>Dec</v>
      </c>
    </row>
    <row r="1390" spans="1:9" x14ac:dyDescent="0.3">
      <c r="A1390" s="1">
        <v>45635</v>
      </c>
      <c r="B1390" t="s">
        <v>108</v>
      </c>
      <c r="C1390" t="s">
        <v>22</v>
      </c>
      <c r="D1390">
        <v>26</v>
      </c>
      <c r="E1390">
        <v>24581</v>
      </c>
      <c r="F1390">
        <v>639106</v>
      </c>
      <c r="G1390" t="s">
        <v>10</v>
      </c>
      <c r="H1390" t="s">
        <v>11</v>
      </c>
      <c r="I1390" t="str">
        <f>TEXT(tblSales[[#This Row],[Date]],"mmm")</f>
        <v>Dec</v>
      </c>
    </row>
    <row r="1391" spans="1:9" x14ac:dyDescent="0.3">
      <c r="A1391" s="1">
        <v>45656</v>
      </c>
      <c r="B1391" t="s">
        <v>109</v>
      </c>
      <c r="C1391" t="s">
        <v>9</v>
      </c>
      <c r="D1391">
        <v>3</v>
      </c>
      <c r="E1391">
        <v>31043</v>
      </c>
      <c r="F1391">
        <v>93129</v>
      </c>
      <c r="G1391" t="s">
        <v>19</v>
      </c>
      <c r="H1391" t="s">
        <v>11</v>
      </c>
      <c r="I1391" t="str">
        <f>TEXT(tblSales[[#This Row],[Date]],"mmm")</f>
        <v>Dec</v>
      </c>
    </row>
    <row r="1392" spans="1:9" x14ac:dyDescent="0.3">
      <c r="A1392" s="1">
        <v>45657</v>
      </c>
      <c r="B1392" t="s">
        <v>122</v>
      </c>
      <c r="C1392" t="s">
        <v>35</v>
      </c>
      <c r="D1392">
        <v>1</v>
      </c>
      <c r="E1392">
        <v>39975</v>
      </c>
      <c r="F1392">
        <v>39975</v>
      </c>
      <c r="G1392" t="s">
        <v>10</v>
      </c>
      <c r="H1392" t="s">
        <v>15</v>
      </c>
      <c r="I1392" t="str">
        <f>TEXT(tblSales[[#This Row],[Date]],"mmm")</f>
        <v>Dec</v>
      </c>
    </row>
    <row r="1393" spans="1:9" x14ac:dyDescent="0.3">
      <c r="A1393" s="1">
        <v>45654</v>
      </c>
      <c r="B1393" t="s">
        <v>123</v>
      </c>
      <c r="C1393" t="s">
        <v>9</v>
      </c>
      <c r="D1393">
        <v>11</v>
      </c>
      <c r="E1393">
        <v>5524</v>
      </c>
      <c r="F1393">
        <v>60764</v>
      </c>
      <c r="G1393" t="s">
        <v>14</v>
      </c>
      <c r="H1393" t="s">
        <v>30</v>
      </c>
      <c r="I1393" t="str">
        <f>TEXT(tblSales[[#This Row],[Date]],"mmm")</f>
        <v>Dec</v>
      </c>
    </row>
    <row r="1394" spans="1:9" x14ac:dyDescent="0.3">
      <c r="A1394" s="1">
        <v>45627</v>
      </c>
      <c r="B1394" t="s">
        <v>138</v>
      </c>
      <c r="C1394" t="s">
        <v>22</v>
      </c>
      <c r="D1394">
        <v>19</v>
      </c>
      <c r="E1394">
        <v>34504</v>
      </c>
      <c r="F1394">
        <v>655576</v>
      </c>
      <c r="G1394" t="s">
        <v>23</v>
      </c>
      <c r="H1394" t="s">
        <v>30</v>
      </c>
      <c r="I1394" t="str">
        <f>TEXT(tblSales[[#This Row],[Date]],"mmm")</f>
        <v>Dec</v>
      </c>
    </row>
    <row r="1395" spans="1:9" x14ac:dyDescent="0.3">
      <c r="A1395" s="1">
        <v>45646</v>
      </c>
      <c r="B1395" t="s">
        <v>217</v>
      </c>
      <c r="C1395" t="s">
        <v>13</v>
      </c>
      <c r="D1395">
        <v>31</v>
      </c>
      <c r="E1395">
        <v>40514</v>
      </c>
      <c r="F1395">
        <v>1255934</v>
      </c>
      <c r="G1395" t="s">
        <v>10</v>
      </c>
      <c r="H1395" t="s">
        <v>17</v>
      </c>
      <c r="I1395" t="str">
        <f>TEXT(tblSales[[#This Row],[Date]],"mmm")</f>
        <v>Dec</v>
      </c>
    </row>
    <row r="1396" spans="1:9" x14ac:dyDescent="0.3">
      <c r="A1396" s="1">
        <v>45640</v>
      </c>
      <c r="B1396" t="s">
        <v>230</v>
      </c>
      <c r="C1396" t="s">
        <v>13</v>
      </c>
      <c r="D1396">
        <v>16</v>
      </c>
      <c r="E1396">
        <v>12317</v>
      </c>
      <c r="F1396">
        <v>197072</v>
      </c>
      <c r="G1396" t="s">
        <v>14</v>
      </c>
      <c r="H1396" t="s">
        <v>27</v>
      </c>
      <c r="I1396" t="str">
        <f>TEXT(tblSales[[#This Row],[Date]],"mmm")</f>
        <v>Dec</v>
      </c>
    </row>
    <row r="1397" spans="1:9" x14ac:dyDescent="0.3">
      <c r="A1397" s="1">
        <v>45654</v>
      </c>
      <c r="B1397" t="s">
        <v>241</v>
      </c>
      <c r="C1397" t="s">
        <v>22</v>
      </c>
      <c r="D1397">
        <v>34</v>
      </c>
      <c r="E1397">
        <v>20655</v>
      </c>
      <c r="F1397">
        <v>702270</v>
      </c>
      <c r="G1397" t="s">
        <v>19</v>
      </c>
      <c r="H1397" t="s">
        <v>11</v>
      </c>
      <c r="I1397" t="str">
        <f>TEXT(tblSales[[#This Row],[Date]],"mmm")</f>
        <v>Dec</v>
      </c>
    </row>
    <row r="1398" spans="1:9" x14ac:dyDescent="0.3">
      <c r="A1398" s="1">
        <v>45638</v>
      </c>
      <c r="B1398" t="s">
        <v>244</v>
      </c>
      <c r="C1398" t="s">
        <v>13</v>
      </c>
      <c r="D1398">
        <v>25</v>
      </c>
      <c r="E1398">
        <v>32992</v>
      </c>
      <c r="F1398">
        <v>824800</v>
      </c>
      <c r="G1398" t="s">
        <v>19</v>
      </c>
      <c r="H1398" t="s">
        <v>27</v>
      </c>
      <c r="I1398" t="str">
        <f>TEXT(tblSales[[#This Row],[Date]],"mmm")</f>
        <v>Dec</v>
      </c>
    </row>
    <row r="1399" spans="1:9" x14ac:dyDescent="0.3">
      <c r="A1399" s="1">
        <v>45648</v>
      </c>
      <c r="B1399" t="s">
        <v>246</v>
      </c>
      <c r="C1399" t="s">
        <v>9</v>
      </c>
      <c r="D1399">
        <v>12</v>
      </c>
      <c r="E1399">
        <v>9415</v>
      </c>
      <c r="F1399">
        <v>112980</v>
      </c>
      <c r="G1399" t="s">
        <v>10</v>
      </c>
      <c r="H1399" t="s">
        <v>27</v>
      </c>
      <c r="I1399" t="str">
        <f>TEXT(tblSales[[#This Row],[Date]],"mmm")</f>
        <v>Dec</v>
      </c>
    </row>
    <row r="1400" spans="1:9" x14ac:dyDescent="0.3">
      <c r="A1400" s="1">
        <v>45651</v>
      </c>
      <c r="B1400" t="s">
        <v>259</v>
      </c>
      <c r="C1400" t="s">
        <v>26</v>
      </c>
      <c r="D1400">
        <v>22</v>
      </c>
      <c r="E1400">
        <v>23388</v>
      </c>
      <c r="F1400">
        <v>514536</v>
      </c>
      <c r="G1400" t="s">
        <v>10</v>
      </c>
      <c r="H1400" t="s">
        <v>15</v>
      </c>
      <c r="I1400" t="str">
        <f>TEXT(tblSales[[#This Row],[Date]],"mmm")</f>
        <v>Dec</v>
      </c>
    </row>
    <row r="1401" spans="1:9" x14ac:dyDescent="0.3">
      <c r="A1401" s="1">
        <v>45654</v>
      </c>
      <c r="B1401" t="s">
        <v>262</v>
      </c>
      <c r="C1401" t="s">
        <v>26</v>
      </c>
      <c r="D1401">
        <v>40</v>
      </c>
      <c r="E1401">
        <v>20895</v>
      </c>
      <c r="F1401">
        <v>835800</v>
      </c>
      <c r="G1401" t="s">
        <v>14</v>
      </c>
      <c r="H1401" t="s">
        <v>11</v>
      </c>
      <c r="I1401" t="str">
        <f>TEXT(tblSales[[#This Row],[Date]],"mmm")</f>
        <v>Dec</v>
      </c>
    </row>
    <row r="1402" spans="1:9" x14ac:dyDescent="0.3">
      <c r="A1402" s="1">
        <v>45653</v>
      </c>
      <c r="B1402" t="s">
        <v>263</v>
      </c>
      <c r="C1402" t="s">
        <v>22</v>
      </c>
      <c r="D1402">
        <v>28</v>
      </c>
      <c r="E1402">
        <v>14252</v>
      </c>
      <c r="F1402">
        <v>399056</v>
      </c>
      <c r="G1402" t="s">
        <v>23</v>
      </c>
      <c r="H1402" t="s">
        <v>11</v>
      </c>
      <c r="I1402" t="str">
        <f>TEXT(tblSales[[#This Row],[Date]],"mmm")</f>
        <v>Dec</v>
      </c>
    </row>
    <row r="1403" spans="1:9" x14ac:dyDescent="0.3">
      <c r="A1403" s="1">
        <v>45650</v>
      </c>
      <c r="B1403" t="s">
        <v>266</v>
      </c>
      <c r="C1403" t="s">
        <v>9</v>
      </c>
      <c r="D1403">
        <v>8</v>
      </c>
      <c r="E1403">
        <v>20452</v>
      </c>
      <c r="F1403">
        <v>163616</v>
      </c>
      <c r="G1403" t="s">
        <v>19</v>
      </c>
      <c r="H1403" t="s">
        <v>30</v>
      </c>
      <c r="I1403" t="str">
        <f>TEXT(tblSales[[#This Row],[Date]],"mmm")</f>
        <v>Dec</v>
      </c>
    </row>
    <row r="1404" spans="1:9" x14ac:dyDescent="0.3">
      <c r="A1404" s="1">
        <v>45628</v>
      </c>
      <c r="B1404" t="s">
        <v>294</v>
      </c>
      <c r="C1404" t="s">
        <v>9</v>
      </c>
      <c r="D1404">
        <v>6</v>
      </c>
      <c r="E1404">
        <v>44891</v>
      </c>
      <c r="F1404">
        <v>269346</v>
      </c>
      <c r="G1404" t="s">
        <v>23</v>
      </c>
      <c r="H1404" t="s">
        <v>30</v>
      </c>
      <c r="I1404" t="str">
        <f>TEXT(tblSales[[#This Row],[Date]],"mmm")</f>
        <v>Dec</v>
      </c>
    </row>
    <row r="1405" spans="1:9" x14ac:dyDescent="0.3">
      <c r="A1405" s="1">
        <v>45635</v>
      </c>
      <c r="B1405" t="s">
        <v>355</v>
      </c>
      <c r="C1405" t="s">
        <v>22</v>
      </c>
      <c r="D1405">
        <v>11</v>
      </c>
      <c r="E1405">
        <v>39240</v>
      </c>
      <c r="F1405">
        <v>431640</v>
      </c>
      <c r="G1405" t="s">
        <v>14</v>
      </c>
      <c r="H1405" t="s">
        <v>27</v>
      </c>
      <c r="I1405" t="str">
        <f>TEXT(tblSales[[#This Row],[Date]],"mmm")</f>
        <v>Dec</v>
      </c>
    </row>
    <row r="1406" spans="1:9" x14ac:dyDescent="0.3">
      <c r="A1406" s="1">
        <v>45629</v>
      </c>
      <c r="B1406" t="s">
        <v>370</v>
      </c>
      <c r="C1406" t="s">
        <v>35</v>
      </c>
      <c r="D1406">
        <v>34</v>
      </c>
      <c r="E1406">
        <v>31745</v>
      </c>
      <c r="F1406">
        <v>1079330</v>
      </c>
      <c r="G1406" t="s">
        <v>10</v>
      </c>
      <c r="H1406" t="s">
        <v>17</v>
      </c>
      <c r="I1406" t="str">
        <f>TEXT(tblSales[[#This Row],[Date]],"mmm")</f>
        <v>Dec</v>
      </c>
    </row>
    <row r="1407" spans="1:9" x14ac:dyDescent="0.3">
      <c r="A1407" s="1">
        <v>45656</v>
      </c>
      <c r="B1407" t="s">
        <v>379</v>
      </c>
      <c r="C1407" t="s">
        <v>35</v>
      </c>
      <c r="D1407">
        <v>27</v>
      </c>
      <c r="E1407">
        <v>19158</v>
      </c>
      <c r="F1407">
        <v>517266</v>
      </c>
      <c r="G1407" t="s">
        <v>14</v>
      </c>
      <c r="H1407" t="s">
        <v>17</v>
      </c>
      <c r="I1407" t="str">
        <f>TEXT(tblSales[[#This Row],[Date]],"mmm")</f>
        <v>Dec</v>
      </c>
    </row>
    <row r="1408" spans="1:9" x14ac:dyDescent="0.3">
      <c r="A1408" s="1">
        <v>45646</v>
      </c>
      <c r="B1408" t="s">
        <v>386</v>
      </c>
      <c r="C1408" t="s">
        <v>9</v>
      </c>
      <c r="D1408">
        <v>8</v>
      </c>
      <c r="E1408">
        <v>6180</v>
      </c>
      <c r="F1408">
        <v>49440</v>
      </c>
      <c r="G1408" t="s">
        <v>23</v>
      </c>
      <c r="H1408" t="s">
        <v>27</v>
      </c>
      <c r="I1408" t="str">
        <f>TEXT(tblSales[[#This Row],[Date]],"mmm")</f>
        <v>Dec</v>
      </c>
    </row>
    <row r="1409" spans="1:9" x14ac:dyDescent="0.3">
      <c r="A1409" s="1">
        <v>45627</v>
      </c>
      <c r="B1409" t="s">
        <v>390</v>
      </c>
      <c r="C1409" t="s">
        <v>22</v>
      </c>
      <c r="D1409">
        <v>17</v>
      </c>
      <c r="E1409">
        <v>33042</v>
      </c>
      <c r="F1409">
        <v>561714</v>
      </c>
      <c r="G1409" t="s">
        <v>14</v>
      </c>
      <c r="H1409" t="s">
        <v>11</v>
      </c>
      <c r="I1409" t="str">
        <f>TEXT(tblSales[[#This Row],[Date]],"mmm")</f>
        <v>Dec</v>
      </c>
    </row>
    <row r="1410" spans="1:9" x14ac:dyDescent="0.3">
      <c r="A1410" s="1">
        <v>45629</v>
      </c>
      <c r="B1410" t="s">
        <v>400</v>
      </c>
      <c r="C1410" t="s">
        <v>35</v>
      </c>
      <c r="D1410">
        <v>18</v>
      </c>
      <c r="E1410">
        <v>33580</v>
      </c>
      <c r="F1410">
        <v>604440</v>
      </c>
      <c r="G1410" t="s">
        <v>10</v>
      </c>
      <c r="H1410" t="s">
        <v>15</v>
      </c>
      <c r="I1410" t="str">
        <f>TEXT(tblSales[[#This Row],[Date]],"mmm")</f>
        <v>Dec</v>
      </c>
    </row>
    <row r="1411" spans="1:9" x14ac:dyDescent="0.3">
      <c r="A1411" s="1">
        <v>45655</v>
      </c>
      <c r="B1411" t="s">
        <v>405</v>
      </c>
      <c r="C1411" t="s">
        <v>22</v>
      </c>
      <c r="D1411">
        <v>11</v>
      </c>
      <c r="E1411">
        <v>23819</v>
      </c>
      <c r="F1411">
        <v>262009</v>
      </c>
      <c r="G1411" t="s">
        <v>10</v>
      </c>
      <c r="H1411" t="s">
        <v>11</v>
      </c>
      <c r="I1411" t="str">
        <f>TEXT(tblSales[[#This Row],[Date]],"mmm")</f>
        <v>Dec</v>
      </c>
    </row>
    <row r="1412" spans="1:9" x14ac:dyDescent="0.3">
      <c r="A1412" s="1">
        <v>45630</v>
      </c>
      <c r="B1412" t="s">
        <v>448</v>
      </c>
      <c r="C1412" t="s">
        <v>22</v>
      </c>
      <c r="D1412">
        <v>13</v>
      </c>
      <c r="E1412">
        <v>13070</v>
      </c>
      <c r="F1412">
        <v>169910</v>
      </c>
      <c r="G1412" t="s">
        <v>23</v>
      </c>
      <c r="H1412" t="s">
        <v>27</v>
      </c>
      <c r="I1412" t="str">
        <f>TEXT(tblSales[[#This Row],[Date]],"mmm")</f>
        <v>Dec</v>
      </c>
    </row>
    <row r="1413" spans="1:9" x14ac:dyDescent="0.3">
      <c r="A1413" s="1">
        <v>45639</v>
      </c>
      <c r="B1413" t="s">
        <v>462</v>
      </c>
      <c r="C1413" t="s">
        <v>13</v>
      </c>
      <c r="D1413">
        <v>12</v>
      </c>
      <c r="E1413">
        <v>12948</v>
      </c>
      <c r="F1413">
        <v>155376</v>
      </c>
      <c r="G1413" t="s">
        <v>10</v>
      </c>
      <c r="H1413" t="s">
        <v>30</v>
      </c>
      <c r="I1413" t="str">
        <f>TEXT(tblSales[[#This Row],[Date]],"mmm")</f>
        <v>Dec</v>
      </c>
    </row>
    <row r="1414" spans="1:9" x14ac:dyDescent="0.3">
      <c r="A1414" s="1">
        <v>45655</v>
      </c>
      <c r="B1414" t="s">
        <v>467</v>
      </c>
      <c r="C1414" t="s">
        <v>9</v>
      </c>
      <c r="D1414">
        <v>21</v>
      </c>
      <c r="E1414">
        <v>39461</v>
      </c>
      <c r="F1414">
        <v>828681</v>
      </c>
      <c r="G1414" t="s">
        <v>14</v>
      </c>
      <c r="H1414" t="s">
        <v>17</v>
      </c>
      <c r="I1414" t="str">
        <f>TEXT(tblSales[[#This Row],[Date]],"mmm")</f>
        <v>Dec</v>
      </c>
    </row>
    <row r="1415" spans="1:9" x14ac:dyDescent="0.3">
      <c r="A1415" s="1">
        <v>45652</v>
      </c>
      <c r="B1415" t="s">
        <v>475</v>
      </c>
      <c r="C1415" t="s">
        <v>13</v>
      </c>
      <c r="D1415">
        <v>14</v>
      </c>
      <c r="E1415">
        <v>32244</v>
      </c>
      <c r="F1415">
        <v>451416</v>
      </c>
      <c r="G1415" t="s">
        <v>19</v>
      </c>
      <c r="H1415" t="s">
        <v>11</v>
      </c>
      <c r="I1415" t="str">
        <f>TEXT(tblSales[[#This Row],[Date]],"mmm")</f>
        <v>Dec</v>
      </c>
    </row>
    <row r="1416" spans="1:9" x14ac:dyDescent="0.3">
      <c r="A1416" s="1">
        <v>45646</v>
      </c>
      <c r="B1416" t="s">
        <v>481</v>
      </c>
      <c r="C1416" t="s">
        <v>26</v>
      </c>
      <c r="D1416">
        <v>12</v>
      </c>
      <c r="E1416">
        <v>18224</v>
      </c>
      <c r="F1416">
        <v>218688</v>
      </c>
      <c r="G1416" t="s">
        <v>10</v>
      </c>
      <c r="H1416" t="s">
        <v>11</v>
      </c>
      <c r="I1416" t="str">
        <f>TEXT(tblSales[[#This Row],[Date]],"mmm")</f>
        <v>Dec</v>
      </c>
    </row>
    <row r="1417" spans="1:9" x14ac:dyDescent="0.3">
      <c r="A1417" s="1">
        <v>45641</v>
      </c>
      <c r="B1417" t="s">
        <v>492</v>
      </c>
      <c r="C1417" t="s">
        <v>26</v>
      </c>
      <c r="D1417">
        <v>34</v>
      </c>
      <c r="E1417">
        <v>35175</v>
      </c>
      <c r="F1417">
        <v>1195950</v>
      </c>
      <c r="G1417" t="s">
        <v>23</v>
      </c>
      <c r="H1417" t="s">
        <v>27</v>
      </c>
      <c r="I1417" t="str">
        <f>TEXT(tblSales[[#This Row],[Date]],"mmm")</f>
        <v>Dec</v>
      </c>
    </row>
    <row r="1418" spans="1:9" x14ac:dyDescent="0.3">
      <c r="A1418" s="1">
        <v>45631</v>
      </c>
      <c r="B1418" t="s">
        <v>525</v>
      </c>
      <c r="C1418" t="s">
        <v>22</v>
      </c>
      <c r="D1418">
        <v>23</v>
      </c>
      <c r="E1418">
        <v>30697</v>
      </c>
      <c r="F1418">
        <v>706031</v>
      </c>
      <c r="G1418" t="s">
        <v>23</v>
      </c>
      <c r="H1418" t="s">
        <v>27</v>
      </c>
      <c r="I1418" t="str">
        <f>TEXT(tblSales[[#This Row],[Date]],"mmm")</f>
        <v>Dec</v>
      </c>
    </row>
    <row r="1419" spans="1:9" x14ac:dyDescent="0.3">
      <c r="A1419" s="1">
        <v>45641</v>
      </c>
      <c r="B1419" t="s">
        <v>532</v>
      </c>
      <c r="C1419" t="s">
        <v>22</v>
      </c>
      <c r="D1419">
        <v>7</v>
      </c>
      <c r="E1419">
        <v>16422</v>
      </c>
      <c r="F1419">
        <v>114954</v>
      </c>
      <c r="G1419" t="s">
        <v>14</v>
      </c>
      <c r="H1419" t="s">
        <v>11</v>
      </c>
      <c r="I1419" t="str">
        <f>TEXT(tblSales[[#This Row],[Date]],"mmm")</f>
        <v>Dec</v>
      </c>
    </row>
    <row r="1420" spans="1:9" x14ac:dyDescent="0.3">
      <c r="A1420" s="1">
        <v>45639</v>
      </c>
      <c r="B1420" t="s">
        <v>557</v>
      </c>
      <c r="C1420" t="s">
        <v>26</v>
      </c>
      <c r="D1420">
        <v>26</v>
      </c>
      <c r="E1420">
        <v>10973</v>
      </c>
      <c r="F1420">
        <v>285298</v>
      </c>
      <c r="G1420" t="s">
        <v>14</v>
      </c>
      <c r="H1420" t="s">
        <v>17</v>
      </c>
      <c r="I1420" t="str">
        <f>TEXT(tblSales[[#This Row],[Date]],"mmm")</f>
        <v>Dec</v>
      </c>
    </row>
    <row r="1421" spans="1:9" x14ac:dyDescent="0.3">
      <c r="A1421" s="1">
        <v>45652</v>
      </c>
      <c r="B1421" t="s">
        <v>564</v>
      </c>
      <c r="C1421" t="s">
        <v>13</v>
      </c>
      <c r="D1421">
        <v>32</v>
      </c>
      <c r="E1421">
        <v>5739</v>
      </c>
      <c r="F1421">
        <v>183648</v>
      </c>
      <c r="G1421" t="s">
        <v>23</v>
      </c>
      <c r="H1421" t="s">
        <v>17</v>
      </c>
      <c r="I1421" t="str">
        <f>TEXT(tblSales[[#This Row],[Date]],"mmm")</f>
        <v>Dec</v>
      </c>
    </row>
    <row r="1422" spans="1:9" x14ac:dyDescent="0.3">
      <c r="A1422" s="1">
        <v>45639</v>
      </c>
      <c r="B1422" t="s">
        <v>579</v>
      </c>
      <c r="C1422" t="s">
        <v>9</v>
      </c>
      <c r="D1422">
        <v>37</v>
      </c>
      <c r="E1422">
        <v>7561</v>
      </c>
      <c r="F1422">
        <v>279757</v>
      </c>
      <c r="G1422" t="s">
        <v>19</v>
      </c>
      <c r="H1422" t="s">
        <v>27</v>
      </c>
      <c r="I1422" t="str">
        <f>TEXT(tblSales[[#This Row],[Date]],"mmm")</f>
        <v>Dec</v>
      </c>
    </row>
    <row r="1423" spans="1:9" x14ac:dyDescent="0.3">
      <c r="A1423" s="1">
        <v>45644</v>
      </c>
      <c r="B1423" t="s">
        <v>583</v>
      </c>
      <c r="C1423" t="s">
        <v>9</v>
      </c>
      <c r="D1423">
        <v>33</v>
      </c>
      <c r="E1423">
        <v>21546</v>
      </c>
      <c r="F1423">
        <v>711018</v>
      </c>
      <c r="G1423" t="s">
        <v>19</v>
      </c>
      <c r="H1423" t="s">
        <v>17</v>
      </c>
      <c r="I1423" t="str">
        <f>TEXT(tblSales[[#This Row],[Date]],"mmm")</f>
        <v>Dec</v>
      </c>
    </row>
    <row r="1424" spans="1:9" x14ac:dyDescent="0.3">
      <c r="A1424" s="1">
        <v>45640</v>
      </c>
      <c r="B1424" t="s">
        <v>610</v>
      </c>
      <c r="C1424" t="s">
        <v>26</v>
      </c>
      <c r="D1424">
        <v>13</v>
      </c>
      <c r="E1424">
        <v>16318</v>
      </c>
      <c r="F1424">
        <v>212134</v>
      </c>
      <c r="G1424" t="s">
        <v>10</v>
      </c>
      <c r="H1424" t="s">
        <v>15</v>
      </c>
      <c r="I1424" t="str">
        <f>TEXT(tblSales[[#This Row],[Date]],"mmm")</f>
        <v>Dec</v>
      </c>
    </row>
    <row r="1425" spans="1:9" x14ac:dyDescent="0.3">
      <c r="A1425" s="1">
        <v>45627</v>
      </c>
      <c r="B1425" t="s">
        <v>614</v>
      </c>
      <c r="C1425" t="s">
        <v>26</v>
      </c>
      <c r="D1425">
        <v>6</v>
      </c>
      <c r="E1425">
        <v>15265</v>
      </c>
      <c r="F1425">
        <v>91590</v>
      </c>
      <c r="G1425" t="s">
        <v>23</v>
      </c>
      <c r="H1425" t="s">
        <v>17</v>
      </c>
      <c r="I1425" t="str">
        <f>TEXT(tblSales[[#This Row],[Date]],"mmm")</f>
        <v>Dec</v>
      </c>
    </row>
    <row r="1426" spans="1:9" x14ac:dyDescent="0.3">
      <c r="A1426" s="1">
        <v>45654</v>
      </c>
      <c r="B1426" t="s">
        <v>625</v>
      </c>
      <c r="C1426" t="s">
        <v>13</v>
      </c>
      <c r="D1426">
        <v>38</v>
      </c>
      <c r="E1426">
        <v>20689</v>
      </c>
      <c r="F1426">
        <v>786182</v>
      </c>
      <c r="G1426" t="s">
        <v>19</v>
      </c>
      <c r="H1426" t="s">
        <v>30</v>
      </c>
      <c r="I1426" t="str">
        <f>TEXT(tblSales[[#This Row],[Date]],"mmm")</f>
        <v>Dec</v>
      </c>
    </row>
    <row r="1427" spans="1:9" x14ac:dyDescent="0.3">
      <c r="A1427" s="1">
        <v>45630</v>
      </c>
      <c r="B1427" t="s">
        <v>632</v>
      </c>
      <c r="C1427" t="s">
        <v>13</v>
      </c>
      <c r="D1427">
        <v>27</v>
      </c>
      <c r="E1427">
        <v>34260</v>
      </c>
      <c r="F1427">
        <v>925020</v>
      </c>
      <c r="G1427" t="s">
        <v>19</v>
      </c>
      <c r="H1427" t="s">
        <v>27</v>
      </c>
      <c r="I1427" t="str">
        <f>TEXT(tblSales[[#This Row],[Date]],"mmm")</f>
        <v>Dec</v>
      </c>
    </row>
    <row r="1428" spans="1:9" x14ac:dyDescent="0.3">
      <c r="A1428" s="1">
        <v>45627</v>
      </c>
      <c r="B1428" t="s">
        <v>643</v>
      </c>
      <c r="C1428" t="s">
        <v>9</v>
      </c>
      <c r="D1428">
        <v>16</v>
      </c>
      <c r="E1428">
        <v>9509</v>
      </c>
      <c r="F1428">
        <v>152144</v>
      </c>
      <c r="G1428" t="s">
        <v>10</v>
      </c>
      <c r="H1428" t="s">
        <v>17</v>
      </c>
      <c r="I1428" t="str">
        <f>TEXT(tblSales[[#This Row],[Date]],"mmm")</f>
        <v>Dec</v>
      </c>
    </row>
    <row r="1429" spans="1:9" x14ac:dyDescent="0.3">
      <c r="A1429" s="1">
        <v>45651</v>
      </c>
      <c r="B1429" t="s">
        <v>645</v>
      </c>
      <c r="C1429" t="s">
        <v>35</v>
      </c>
      <c r="D1429">
        <v>10</v>
      </c>
      <c r="E1429">
        <v>9298</v>
      </c>
      <c r="F1429">
        <v>92980</v>
      </c>
      <c r="G1429" t="s">
        <v>19</v>
      </c>
      <c r="H1429" t="s">
        <v>11</v>
      </c>
      <c r="I1429" t="str">
        <f>TEXT(tblSales[[#This Row],[Date]],"mmm")</f>
        <v>Dec</v>
      </c>
    </row>
    <row r="1430" spans="1:9" x14ac:dyDescent="0.3">
      <c r="A1430" s="1">
        <v>45628</v>
      </c>
      <c r="B1430" t="s">
        <v>646</v>
      </c>
      <c r="C1430" t="s">
        <v>26</v>
      </c>
      <c r="D1430">
        <v>29</v>
      </c>
      <c r="E1430">
        <v>21061</v>
      </c>
      <c r="F1430">
        <v>610769</v>
      </c>
      <c r="G1430" t="s">
        <v>14</v>
      </c>
      <c r="H1430" t="s">
        <v>11</v>
      </c>
      <c r="I1430" t="str">
        <f>TEXT(tblSales[[#This Row],[Date]],"mmm")</f>
        <v>Dec</v>
      </c>
    </row>
    <row r="1431" spans="1:9" x14ac:dyDescent="0.3">
      <c r="A1431" s="1">
        <v>45657</v>
      </c>
      <c r="B1431" t="s">
        <v>651</v>
      </c>
      <c r="C1431" t="s">
        <v>26</v>
      </c>
      <c r="D1431">
        <v>38</v>
      </c>
      <c r="E1431">
        <v>25623</v>
      </c>
      <c r="F1431">
        <v>973674</v>
      </c>
      <c r="G1431" t="s">
        <v>23</v>
      </c>
      <c r="H1431" t="s">
        <v>27</v>
      </c>
      <c r="I1431" t="str">
        <f>TEXT(tblSales[[#This Row],[Date]],"mmm")</f>
        <v>Dec</v>
      </c>
    </row>
    <row r="1432" spans="1:9" x14ac:dyDescent="0.3">
      <c r="A1432" s="1">
        <v>45650</v>
      </c>
      <c r="B1432" t="s">
        <v>673</v>
      </c>
      <c r="C1432" t="s">
        <v>35</v>
      </c>
      <c r="D1432">
        <v>26</v>
      </c>
      <c r="E1432">
        <v>42385</v>
      </c>
      <c r="F1432">
        <v>1102010</v>
      </c>
      <c r="G1432" t="s">
        <v>19</v>
      </c>
      <c r="H1432" t="s">
        <v>30</v>
      </c>
      <c r="I1432" t="str">
        <f>TEXT(tblSales[[#This Row],[Date]],"mmm")</f>
        <v>Dec</v>
      </c>
    </row>
    <row r="1433" spans="1:9" x14ac:dyDescent="0.3">
      <c r="A1433" s="1">
        <v>45632</v>
      </c>
      <c r="B1433" t="s">
        <v>706</v>
      </c>
      <c r="C1433" t="s">
        <v>22</v>
      </c>
      <c r="D1433">
        <v>14</v>
      </c>
      <c r="E1433">
        <v>11479</v>
      </c>
      <c r="F1433">
        <v>160706</v>
      </c>
      <c r="G1433" t="s">
        <v>14</v>
      </c>
      <c r="H1433" t="s">
        <v>17</v>
      </c>
      <c r="I1433" t="str">
        <f>TEXT(tblSales[[#This Row],[Date]],"mmm")</f>
        <v>Dec</v>
      </c>
    </row>
    <row r="1434" spans="1:9" x14ac:dyDescent="0.3">
      <c r="A1434" s="1">
        <v>45646</v>
      </c>
      <c r="B1434" t="s">
        <v>712</v>
      </c>
      <c r="C1434" t="s">
        <v>13</v>
      </c>
      <c r="D1434">
        <v>16</v>
      </c>
      <c r="E1434">
        <v>13943</v>
      </c>
      <c r="F1434">
        <v>223088</v>
      </c>
      <c r="G1434" t="s">
        <v>23</v>
      </c>
      <c r="H1434" t="s">
        <v>11</v>
      </c>
      <c r="I1434" t="str">
        <f>TEXT(tblSales[[#This Row],[Date]],"mmm")</f>
        <v>Dec</v>
      </c>
    </row>
    <row r="1435" spans="1:9" x14ac:dyDescent="0.3">
      <c r="A1435" s="1">
        <v>45645</v>
      </c>
      <c r="B1435" t="s">
        <v>723</v>
      </c>
      <c r="C1435" t="s">
        <v>9</v>
      </c>
      <c r="D1435">
        <v>3</v>
      </c>
      <c r="E1435">
        <v>20832</v>
      </c>
      <c r="F1435">
        <v>62496</v>
      </c>
      <c r="G1435" t="s">
        <v>10</v>
      </c>
      <c r="H1435" t="s">
        <v>30</v>
      </c>
      <c r="I1435" t="str">
        <f>TEXT(tblSales[[#This Row],[Date]],"mmm")</f>
        <v>Dec</v>
      </c>
    </row>
    <row r="1436" spans="1:9" x14ac:dyDescent="0.3">
      <c r="A1436" s="1">
        <v>45638</v>
      </c>
      <c r="B1436" t="s">
        <v>727</v>
      </c>
      <c r="C1436" t="s">
        <v>35</v>
      </c>
      <c r="D1436">
        <v>9</v>
      </c>
      <c r="E1436">
        <v>31840</v>
      </c>
      <c r="F1436">
        <v>286560</v>
      </c>
      <c r="G1436" t="s">
        <v>19</v>
      </c>
      <c r="H1436" t="s">
        <v>15</v>
      </c>
      <c r="I1436" t="str">
        <f>TEXT(tblSales[[#This Row],[Date]],"mmm")</f>
        <v>Dec</v>
      </c>
    </row>
    <row r="1437" spans="1:9" x14ac:dyDescent="0.3">
      <c r="A1437" s="1">
        <v>45635</v>
      </c>
      <c r="B1437" t="s">
        <v>741</v>
      </c>
      <c r="C1437" t="s">
        <v>22</v>
      </c>
      <c r="D1437">
        <v>38</v>
      </c>
      <c r="E1437">
        <v>6829</v>
      </c>
      <c r="F1437">
        <v>259502</v>
      </c>
      <c r="G1437" t="s">
        <v>23</v>
      </c>
      <c r="H1437" t="s">
        <v>30</v>
      </c>
      <c r="I1437" t="str">
        <f>TEXT(tblSales[[#This Row],[Date]],"mmm")</f>
        <v>Dec</v>
      </c>
    </row>
    <row r="1438" spans="1:9" x14ac:dyDescent="0.3">
      <c r="A1438" s="1">
        <v>45631</v>
      </c>
      <c r="B1438" t="s">
        <v>742</v>
      </c>
      <c r="C1438" t="s">
        <v>22</v>
      </c>
      <c r="D1438">
        <v>25</v>
      </c>
      <c r="E1438">
        <v>44089</v>
      </c>
      <c r="F1438">
        <v>1102225</v>
      </c>
      <c r="G1438" t="s">
        <v>23</v>
      </c>
      <c r="H1438" t="s">
        <v>15</v>
      </c>
      <c r="I1438" t="str">
        <f>TEXT(tblSales[[#This Row],[Date]],"mmm")</f>
        <v>Dec</v>
      </c>
    </row>
    <row r="1439" spans="1:9" x14ac:dyDescent="0.3">
      <c r="A1439" s="1">
        <v>45654</v>
      </c>
      <c r="B1439" t="s">
        <v>747</v>
      </c>
      <c r="C1439" t="s">
        <v>9</v>
      </c>
      <c r="D1439">
        <v>35</v>
      </c>
      <c r="E1439">
        <v>23401</v>
      </c>
      <c r="F1439">
        <v>819035</v>
      </c>
      <c r="G1439" t="s">
        <v>19</v>
      </c>
      <c r="H1439" t="s">
        <v>17</v>
      </c>
      <c r="I1439" t="str">
        <f>TEXT(tblSales[[#This Row],[Date]],"mmm")</f>
        <v>Dec</v>
      </c>
    </row>
    <row r="1440" spans="1:9" x14ac:dyDescent="0.3">
      <c r="A1440" s="1">
        <v>45629</v>
      </c>
      <c r="B1440" t="s">
        <v>752</v>
      </c>
      <c r="C1440" t="s">
        <v>35</v>
      </c>
      <c r="D1440">
        <v>13</v>
      </c>
      <c r="E1440">
        <v>20969</v>
      </c>
      <c r="F1440">
        <v>272597</v>
      </c>
      <c r="G1440" t="s">
        <v>23</v>
      </c>
      <c r="H1440" t="s">
        <v>17</v>
      </c>
      <c r="I1440" t="str">
        <f>TEXT(tblSales[[#This Row],[Date]],"mmm")</f>
        <v>Dec</v>
      </c>
    </row>
    <row r="1441" spans="1:9" x14ac:dyDescent="0.3">
      <c r="A1441" s="1">
        <v>45635</v>
      </c>
      <c r="B1441" t="s">
        <v>759</v>
      </c>
      <c r="C1441" t="s">
        <v>9</v>
      </c>
      <c r="D1441">
        <v>37</v>
      </c>
      <c r="E1441">
        <v>21263</v>
      </c>
      <c r="F1441">
        <v>786731</v>
      </c>
      <c r="G1441" t="s">
        <v>14</v>
      </c>
      <c r="H1441" t="s">
        <v>15</v>
      </c>
      <c r="I1441" t="str">
        <f>TEXT(tblSales[[#This Row],[Date]],"mmm")</f>
        <v>Dec</v>
      </c>
    </row>
    <row r="1442" spans="1:9" x14ac:dyDescent="0.3">
      <c r="A1442" s="1">
        <v>45652</v>
      </c>
      <c r="B1442" t="s">
        <v>772</v>
      </c>
      <c r="C1442" t="s">
        <v>35</v>
      </c>
      <c r="D1442">
        <v>1</v>
      </c>
      <c r="E1442">
        <v>8802</v>
      </c>
      <c r="F1442">
        <v>8802</v>
      </c>
      <c r="G1442" t="s">
        <v>19</v>
      </c>
      <c r="H1442" t="s">
        <v>11</v>
      </c>
      <c r="I1442" t="str">
        <f>TEXT(tblSales[[#This Row],[Date]],"mmm")</f>
        <v>Dec</v>
      </c>
    </row>
    <row r="1443" spans="1:9" x14ac:dyDescent="0.3">
      <c r="A1443" s="1">
        <v>45653</v>
      </c>
      <c r="B1443" t="s">
        <v>783</v>
      </c>
      <c r="C1443" t="s">
        <v>13</v>
      </c>
      <c r="D1443">
        <v>11</v>
      </c>
      <c r="E1443">
        <v>20154</v>
      </c>
      <c r="F1443">
        <v>221694</v>
      </c>
      <c r="G1443" t="s">
        <v>14</v>
      </c>
      <c r="H1443" t="s">
        <v>17</v>
      </c>
      <c r="I1443" t="str">
        <f>TEXT(tblSales[[#This Row],[Date]],"mmm")</f>
        <v>Dec</v>
      </c>
    </row>
    <row r="1444" spans="1:9" x14ac:dyDescent="0.3">
      <c r="A1444" s="1">
        <v>45630</v>
      </c>
      <c r="B1444" t="s">
        <v>791</v>
      </c>
      <c r="C1444" t="s">
        <v>13</v>
      </c>
      <c r="D1444">
        <v>24</v>
      </c>
      <c r="E1444">
        <v>5434</v>
      </c>
      <c r="F1444">
        <v>130416</v>
      </c>
      <c r="G1444" t="s">
        <v>10</v>
      </c>
      <c r="H1444" t="s">
        <v>15</v>
      </c>
      <c r="I1444" t="str">
        <f>TEXT(tblSales[[#This Row],[Date]],"mmm")</f>
        <v>Dec</v>
      </c>
    </row>
    <row r="1445" spans="1:9" x14ac:dyDescent="0.3">
      <c r="A1445" s="1">
        <v>45635</v>
      </c>
      <c r="B1445" t="s">
        <v>803</v>
      </c>
      <c r="C1445" t="s">
        <v>13</v>
      </c>
      <c r="D1445">
        <v>19</v>
      </c>
      <c r="E1445">
        <v>29063</v>
      </c>
      <c r="F1445">
        <v>552197</v>
      </c>
      <c r="G1445" t="s">
        <v>19</v>
      </c>
      <c r="H1445" t="s">
        <v>15</v>
      </c>
      <c r="I1445" t="str">
        <f>TEXT(tblSales[[#This Row],[Date]],"mmm")</f>
        <v>Dec</v>
      </c>
    </row>
    <row r="1446" spans="1:9" x14ac:dyDescent="0.3">
      <c r="A1446" s="1">
        <v>45634</v>
      </c>
      <c r="B1446" t="s">
        <v>806</v>
      </c>
      <c r="C1446" t="s">
        <v>26</v>
      </c>
      <c r="D1446">
        <v>29</v>
      </c>
      <c r="E1446">
        <v>20467</v>
      </c>
      <c r="F1446">
        <v>593543</v>
      </c>
      <c r="G1446" t="s">
        <v>23</v>
      </c>
      <c r="H1446" t="s">
        <v>11</v>
      </c>
      <c r="I1446" t="str">
        <f>TEXT(tblSales[[#This Row],[Date]],"mmm")</f>
        <v>Dec</v>
      </c>
    </row>
    <row r="1447" spans="1:9" x14ac:dyDescent="0.3">
      <c r="A1447" s="1">
        <v>45627</v>
      </c>
      <c r="B1447" t="s">
        <v>825</v>
      </c>
      <c r="C1447" t="s">
        <v>13</v>
      </c>
      <c r="D1447">
        <v>17</v>
      </c>
      <c r="E1447">
        <v>25314</v>
      </c>
      <c r="F1447">
        <v>430338</v>
      </c>
      <c r="G1447" t="s">
        <v>10</v>
      </c>
      <c r="H1447" t="s">
        <v>17</v>
      </c>
      <c r="I1447" t="str">
        <f>TEXT(tblSales[[#This Row],[Date]],"mmm")</f>
        <v>Dec</v>
      </c>
    </row>
    <row r="1448" spans="1:9" x14ac:dyDescent="0.3">
      <c r="A1448" s="1">
        <v>45636</v>
      </c>
      <c r="B1448" t="s">
        <v>828</v>
      </c>
      <c r="C1448" t="s">
        <v>9</v>
      </c>
      <c r="D1448">
        <v>37</v>
      </c>
      <c r="E1448">
        <v>14331</v>
      </c>
      <c r="F1448">
        <v>530247</v>
      </c>
      <c r="G1448" t="s">
        <v>14</v>
      </c>
      <c r="H1448" t="s">
        <v>30</v>
      </c>
      <c r="I1448" t="str">
        <f>TEXT(tblSales[[#This Row],[Date]],"mmm")</f>
        <v>Dec</v>
      </c>
    </row>
    <row r="1449" spans="1:9" x14ac:dyDescent="0.3">
      <c r="A1449" s="1">
        <v>45647</v>
      </c>
      <c r="B1449" t="s">
        <v>836</v>
      </c>
      <c r="C1449" t="s">
        <v>26</v>
      </c>
      <c r="D1449">
        <v>22</v>
      </c>
      <c r="E1449">
        <v>7521</v>
      </c>
      <c r="F1449">
        <v>165462</v>
      </c>
      <c r="G1449" t="s">
        <v>10</v>
      </c>
      <c r="H1449" t="s">
        <v>15</v>
      </c>
      <c r="I1449" t="str">
        <f>TEXT(tblSales[[#This Row],[Date]],"mmm")</f>
        <v>Dec</v>
      </c>
    </row>
    <row r="1450" spans="1:9" x14ac:dyDescent="0.3">
      <c r="A1450" s="1">
        <v>45632</v>
      </c>
      <c r="B1450" t="s">
        <v>841</v>
      </c>
      <c r="C1450" t="s">
        <v>9</v>
      </c>
      <c r="D1450">
        <v>34</v>
      </c>
      <c r="E1450">
        <v>10200</v>
      </c>
      <c r="F1450">
        <v>346800</v>
      </c>
      <c r="G1450" t="s">
        <v>19</v>
      </c>
      <c r="H1450" t="s">
        <v>11</v>
      </c>
      <c r="I1450" t="str">
        <f>TEXT(tblSales[[#This Row],[Date]],"mmm")</f>
        <v>Dec</v>
      </c>
    </row>
    <row r="1451" spans="1:9" x14ac:dyDescent="0.3">
      <c r="A1451" s="1">
        <v>45634</v>
      </c>
      <c r="B1451" t="s">
        <v>843</v>
      </c>
      <c r="C1451" t="s">
        <v>13</v>
      </c>
      <c r="D1451">
        <v>25</v>
      </c>
      <c r="E1451">
        <v>6750</v>
      </c>
      <c r="F1451">
        <v>168750</v>
      </c>
      <c r="G1451" t="s">
        <v>23</v>
      </c>
      <c r="H1451" t="s">
        <v>30</v>
      </c>
      <c r="I1451" t="str">
        <f>TEXT(tblSales[[#This Row],[Date]],"mmm")</f>
        <v>Dec</v>
      </c>
    </row>
    <row r="1452" spans="1:9" x14ac:dyDescent="0.3">
      <c r="A1452" s="1">
        <v>45656</v>
      </c>
      <c r="B1452" t="s">
        <v>852</v>
      </c>
      <c r="C1452" t="s">
        <v>22</v>
      </c>
      <c r="D1452">
        <v>18</v>
      </c>
      <c r="E1452">
        <v>14346</v>
      </c>
      <c r="F1452">
        <v>258228</v>
      </c>
      <c r="G1452" t="s">
        <v>14</v>
      </c>
      <c r="H1452" t="s">
        <v>30</v>
      </c>
      <c r="I1452" t="str">
        <f>TEXT(tblSales[[#This Row],[Date]],"mmm")</f>
        <v>Dec</v>
      </c>
    </row>
    <row r="1453" spans="1:9" x14ac:dyDescent="0.3">
      <c r="A1453" s="1">
        <v>45641</v>
      </c>
      <c r="B1453" t="s">
        <v>855</v>
      </c>
      <c r="C1453" t="s">
        <v>22</v>
      </c>
      <c r="D1453">
        <v>13</v>
      </c>
      <c r="E1453">
        <v>23896</v>
      </c>
      <c r="F1453">
        <v>310648</v>
      </c>
      <c r="G1453" t="s">
        <v>19</v>
      </c>
      <c r="H1453" t="s">
        <v>11</v>
      </c>
      <c r="I1453" t="str">
        <f>TEXT(tblSales[[#This Row],[Date]],"mmm")</f>
        <v>Dec</v>
      </c>
    </row>
    <row r="1454" spans="1:9" x14ac:dyDescent="0.3">
      <c r="A1454" s="1">
        <v>45649</v>
      </c>
      <c r="B1454" t="s">
        <v>861</v>
      </c>
      <c r="C1454" t="s">
        <v>9</v>
      </c>
      <c r="D1454">
        <v>19</v>
      </c>
      <c r="E1454">
        <v>13783</v>
      </c>
      <c r="F1454">
        <v>261877</v>
      </c>
      <c r="G1454" t="s">
        <v>19</v>
      </c>
      <c r="H1454" t="s">
        <v>30</v>
      </c>
      <c r="I1454" t="str">
        <f>TEXT(tblSales[[#This Row],[Date]],"mmm")</f>
        <v>Dec</v>
      </c>
    </row>
    <row r="1455" spans="1:9" x14ac:dyDescent="0.3">
      <c r="A1455" s="1">
        <v>45648</v>
      </c>
      <c r="B1455" t="s">
        <v>872</v>
      </c>
      <c r="C1455" t="s">
        <v>22</v>
      </c>
      <c r="D1455">
        <v>14</v>
      </c>
      <c r="E1455">
        <v>43115</v>
      </c>
      <c r="F1455">
        <v>603610</v>
      </c>
      <c r="G1455" t="s">
        <v>19</v>
      </c>
      <c r="H1455" t="s">
        <v>17</v>
      </c>
      <c r="I1455" t="str">
        <f>TEXT(tblSales[[#This Row],[Date]],"mmm")</f>
        <v>Dec</v>
      </c>
    </row>
    <row r="1456" spans="1:9" x14ac:dyDescent="0.3">
      <c r="A1456" s="1">
        <v>45637</v>
      </c>
      <c r="B1456" t="s">
        <v>883</v>
      </c>
      <c r="C1456" t="s">
        <v>13</v>
      </c>
      <c r="D1456">
        <v>28</v>
      </c>
      <c r="E1456">
        <v>22459</v>
      </c>
      <c r="F1456">
        <v>628852</v>
      </c>
      <c r="G1456" t="s">
        <v>10</v>
      </c>
      <c r="H1456" t="s">
        <v>27</v>
      </c>
      <c r="I1456" t="str">
        <f>TEXT(tblSales[[#This Row],[Date]],"mmm")</f>
        <v>Dec</v>
      </c>
    </row>
    <row r="1457" spans="1:9" x14ac:dyDescent="0.3">
      <c r="A1457" s="1">
        <v>45629</v>
      </c>
      <c r="B1457" t="s">
        <v>904</v>
      </c>
      <c r="C1457" t="s">
        <v>22</v>
      </c>
      <c r="D1457">
        <v>36</v>
      </c>
      <c r="E1457">
        <v>7233</v>
      </c>
      <c r="F1457">
        <v>260388</v>
      </c>
      <c r="G1457" t="s">
        <v>10</v>
      </c>
      <c r="H1457" t="s">
        <v>27</v>
      </c>
      <c r="I1457" t="str">
        <f>TEXT(tblSales[[#This Row],[Date]],"mmm")</f>
        <v>Dec</v>
      </c>
    </row>
    <row r="1458" spans="1:9" x14ac:dyDescent="0.3">
      <c r="A1458" s="1">
        <v>45628</v>
      </c>
      <c r="B1458" t="s">
        <v>912</v>
      </c>
      <c r="C1458" t="s">
        <v>26</v>
      </c>
      <c r="D1458">
        <v>38</v>
      </c>
      <c r="E1458">
        <v>33385</v>
      </c>
      <c r="F1458">
        <v>1268630</v>
      </c>
      <c r="G1458" t="s">
        <v>10</v>
      </c>
      <c r="H1458" t="s">
        <v>11</v>
      </c>
      <c r="I1458" t="str">
        <f>TEXT(tblSales[[#This Row],[Date]],"mmm")</f>
        <v>Dec</v>
      </c>
    </row>
    <row r="1459" spans="1:9" x14ac:dyDescent="0.3">
      <c r="A1459" s="1">
        <v>45651</v>
      </c>
      <c r="B1459" t="s">
        <v>917</v>
      </c>
      <c r="C1459" t="s">
        <v>9</v>
      </c>
      <c r="D1459">
        <v>8</v>
      </c>
      <c r="E1459">
        <v>20989</v>
      </c>
      <c r="F1459">
        <v>167912</v>
      </c>
      <c r="G1459" t="s">
        <v>19</v>
      </c>
      <c r="H1459" t="s">
        <v>15</v>
      </c>
      <c r="I1459" t="str">
        <f>TEXT(tblSales[[#This Row],[Date]],"mmm")</f>
        <v>Dec</v>
      </c>
    </row>
    <row r="1460" spans="1:9" x14ac:dyDescent="0.3">
      <c r="A1460" s="1">
        <v>45641</v>
      </c>
      <c r="B1460" t="s">
        <v>923</v>
      </c>
      <c r="C1460" t="s">
        <v>9</v>
      </c>
      <c r="D1460">
        <v>28</v>
      </c>
      <c r="E1460">
        <v>7270</v>
      </c>
      <c r="F1460">
        <v>203560</v>
      </c>
      <c r="G1460" t="s">
        <v>14</v>
      </c>
      <c r="H1460" t="s">
        <v>15</v>
      </c>
      <c r="I1460" t="str">
        <f>TEXT(tblSales[[#This Row],[Date]],"mmm")</f>
        <v>Dec</v>
      </c>
    </row>
    <row r="1461" spans="1:9" x14ac:dyDescent="0.3">
      <c r="A1461" s="1">
        <v>45651</v>
      </c>
      <c r="B1461" t="s">
        <v>943</v>
      </c>
      <c r="C1461" t="s">
        <v>22</v>
      </c>
      <c r="D1461">
        <v>14</v>
      </c>
      <c r="E1461">
        <v>32139</v>
      </c>
      <c r="F1461">
        <v>449946</v>
      </c>
      <c r="G1461" t="s">
        <v>10</v>
      </c>
      <c r="H1461" t="s">
        <v>27</v>
      </c>
      <c r="I1461" t="str">
        <f>TEXT(tblSales[[#This Row],[Date]],"mmm")</f>
        <v>Dec</v>
      </c>
    </row>
    <row r="1462" spans="1:9" x14ac:dyDescent="0.3">
      <c r="A1462" s="1">
        <v>45654</v>
      </c>
      <c r="B1462" t="s">
        <v>972</v>
      </c>
      <c r="C1462" t="s">
        <v>9</v>
      </c>
      <c r="D1462">
        <v>2</v>
      </c>
      <c r="E1462">
        <v>20849</v>
      </c>
      <c r="F1462">
        <v>41698</v>
      </c>
      <c r="G1462" t="s">
        <v>23</v>
      </c>
      <c r="H1462" t="s">
        <v>17</v>
      </c>
      <c r="I1462" t="str">
        <f>TEXT(tblSales[[#This Row],[Date]],"mmm")</f>
        <v>Dec</v>
      </c>
    </row>
    <row r="1463" spans="1:9" x14ac:dyDescent="0.3">
      <c r="A1463" s="1">
        <v>45629</v>
      </c>
      <c r="B1463" t="s">
        <v>976</v>
      </c>
      <c r="C1463" t="s">
        <v>35</v>
      </c>
      <c r="D1463">
        <v>35</v>
      </c>
      <c r="E1463">
        <v>17718</v>
      </c>
      <c r="F1463">
        <v>620130</v>
      </c>
      <c r="G1463" t="s">
        <v>10</v>
      </c>
      <c r="H1463" t="s">
        <v>11</v>
      </c>
      <c r="I1463" t="str">
        <f>TEXT(tblSales[[#This Row],[Date]],"mmm")</f>
        <v>Dec</v>
      </c>
    </row>
    <row r="1464" spans="1:9" x14ac:dyDescent="0.3">
      <c r="A1464" s="1">
        <v>45635</v>
      </c>
      <c r="B1464" t="s">
        <v>996</v>
      </c>
      <c r="C1464" t="s">
        <v>26</v>
      </c>
      <c r="D1464">
        <v>19</v>
      </c>
      <c r="E1464">
        <v>22401</v>
      </c>
      <c r="F1464">
        <v>425619</v>
      </c>
      <c r="G1464" t="s">
        <v>23</v>
      </c>
      <c r="H1464" t="s">
        <v>27</v>
      </c>
      <c r="I1464" t="str">
        <f>TEXT(tblSales[[#This Row],[Date]],"mmm")</f>
        <v>Dec</v>
      </c>
    </row>
    <row r="1465" spans="1:9" x14ac:dyDescent="0.3">
      <c r="A1465" s="1">
        <v>45657</v>
      </c>
      <c r="B1465" t="s">
        <v>1011</v>
      </c>
      <c r="C1465" t="s">
        <v>22</v>
      </c>
      <c r="D1465">
        <v>2</v>
      </c>
      <c r="E1465">
        <v>26045</v>
      </c>
      <c r="F1465">
        <v>52090</v>
      </c>
      <c r="G1465" t="s">
        <v>23</v>
      </c>
      <c r="H1465" t="s">
        <v>30</v>
      </c>
      <c r="I1465" t="str">
        <f>TEXT(tblSales[[#This Row],[Date]],"mmm")</f>
        <v>Dec</v>
      </c>
    </row>
    <row r="1466" spans="1:9" x14ac:dyDescent="0.3">
      <c r="A1466" s="1">
        <v>45649</v>
      </c>
      <c r="B1466" t="s">
        <v>1021</v>
      </c>
      <c r="C1466" t="s">
        <v>26</v>
      </c>
      <c r="D1466">
        <v>15</v>
      </c>
      <c r="E1466">
        <v>26495</v>
      </c>
      <c r="F1466">
        <v>397425</v>
      </c>
      <c r="G1466" t="s">
        <v>10</v>
      </c>
      <c r="H1466" t="s">
        <v>17</v>
      </c>
      <c r="I1466" t="str">
        <f>TEXT(tblSales[[#This Row],[Date]],"mmm")</f>
        <v>Dec</v>
      </c>
    </row>
    <row r="1467" spans="1:9" x14ac:dyDescent="0.3">
      <c r="A1467" s="1">
        <v>45640</v>
      </c>
      <c r="B1467" t="s">
        <v>1038</v>
      </c>
      <c r="C1467" t="s">
        <v>13</v>
      </c>
      <c r="D1467">
        <v>21</v>
      </c>
      <c r="E1467">
        <v>33511</v>
      </c>
      <c r="F1467">
        <v>703731</v>
      </c>
      <c r="G1467" t="s">
        <v>14</v>
      </c>
      <c r="H1467" t="s">
        <v>30</v>
      </c>
      <c r="I1467" t="str">
        <f>TEXT(tblSales[[#This Row],[Date]],"mmm")</f>
        <v>Dec</v>
      </c>
    </row>
    <row r="1468" spans="1:9" x14ac:dyDescent="0.3">
      <c r="A1468" s="1">
        <v>45655</v>
      </c>
      <c r="B1468" t="s">
        <v>1051</v>
      </c>
      <c r="C1468" t="s">
        <v>13</v>
      </c>
      <c r="D1468">
        <v>38</v>
      </c>
      <c r="E1468">
        <v>9841</v>
      </c>
      <c r="F1468">
        <v>373958</v>
      </c>
      <c r="G1468" t="s">
        <v>19</v>
      </c>
      <c r="H1468" t="s">
        <v>15</v>
      </c>
      <c r="I1468" t="str">
        <f>TEXT(tblSales[[#This Row],[Date]],"mmm")</f>
        <v>Dec</v>
      </c>
    </row>
    <row r="1469" spans="1:9" x14ac:dyDescent="0.3">
      <c r="A1469" s="1">
        <v>45642</v>
      </c>
      <c r="B1469" t="s">
        <v>1052</v>
      </c>
      <c r="C1469" t="s">
        <v>26</v>
      </c>
      <c r="D1469">
        <v>25</v>
      </c>
      <c r="E1469">
        <v>11389</v>
      </c>
      <c r="F1469">
        <v>284725</v>
      </c>
      <c r="G1469" t="s">
        <v>14</v>
      </c>
      <c r="H1469" t="s">
        <v>15</v>
      </c>
      <c r="I1469" t="str">
        <f>TEXT(tblSales[[#This Row],[Date]],"mmm")</f>
        <v>Dec</v>
      </c>
    </row>
    <row r="1470" spans="1:9" x14ac:dyDescent="0.3">
      <c r="A1470" s="1">
        <v>45650</v>
      </c>
      <c r="B1470" t="s">
        <v>1058</v>
      </c>
      <c r="C1470" t="s">
        <v>26</v>
      </c>
      <c r="D1470">
        <v>10</v>
      </c>
      <c r="E1470">
        <v>20650</v>
      </c>
      <c r="F1470">
        <v>206500</v>
      </c>
      <c r="G1470" t="s">
        <v>19</v>
      </c>
      <c r="H1470" t="s">
        <v>17</v>
      </c>
      <c r="I1470" t="str">
        <f>TEXT(tblSales[[#This Row],[Date]],"mmm")</f>
        <v>Dec</v>
      </c>
    </row>
    <row r="1471" spans="1:9" x14ac:dyDescent="0.3">
      <c r="A1471" s="1">
        <v>45654</v>
      </c>
      <c r="B1471" t="s">
        <v>1086</v>
      </c>
      <c r="C1471" t="s">
        <v>9</v>
      </c>
      <c r="D1471">
        <v>5</v>
      </c>
      <c r="E1471">
        <v>21129</v>
      </c>
      <c r="F1471">
        <v>105645</v>
      </c>
      <c r="G1471" t="s">
        <v>10</v>
      </c>
      <c r="H1471" t="s">
        <v>15</v>
      </c>
      <c r="I1471" t="str">
        <f>TEXT(tblSales[[#This Row],[Date]],"mmm")</f>
        <v>Dec</v>
      </c>
    </row>
    <row r="1472" spans="1:9" x14ac:dyDescent="0.3">
      <c r="A1472" s="1">
        <v>45654</v>
      </c>
      <c r="B1472" t="s">
        <v>1114</v>
      </c>
      <c r="C1472" t="s">
        <v>22</v>
      </c>
      <c r="D1472">
        <v>21</v>
      </c>
      <c r="E1472">
        <v>13191</v>
      </c>
      <c r="F1472">
        <v>277011</v>
      </c>
      <c r="G1472" t="s">
        <v>19</v>
      </c>
      <c r="H1472" t="s">
        <v>15</v>
      </c>
      <c r="I1472" t="str">
        <f>TEXT(tblSales[[#This Row],[Date]],"mmm")</f>
        <v>Dec</v>
      </c>
    </row>
    <row r="1473" spans="1:9" x14ac:dyDescent="0.3">
      <c r="A1473" s="1">
        <v>45635</v>
      </c>
      <c r="B1473" t="s">
        <v>1115</v>
      </c>
      <c r="C1473" t="s">
        <v>22</v>
      </c>
      <c r="D1473">
        <v>29</v>
      </c>
      <c r="E1473">
        <v>31924</v>
      </c>
      <c r="F1473">
        <v>925796</v>
      </c>
      <c r="G1473" t="s">
        <v>10</v>
      </c>
      <c r="H1473" t="s">
        <v>17</v>
      </c>
      <c r="I1473" t="str">
        <f>TEXT(tblSales[[#This Row],[Date]],"mmm")</f>
        <v>Dec</v>
      </c>
    </row>
    <row r="1474" spans="1:9" x14ac:dyDescent="0.3">
      <c r="A1474" s="1">
        <v>45638</v>
      </c>
      <c r="B1474" t="s">
        <v>1142</v>
      </c>
      <c r="C1474" t="s">
        <v>22</v>
      </c>
      <c r="D1474">
        <v>26</v>
      </c>
      <c r="E1474">
        <v>6640</v>
      </c>
      <c r="F1474">
        <v>172640</v>
      </c>
      <c r="G1474" t="s">
        <v>23</v>
      </c>
      <c r="H1474" t="s">
        <v>27</v>
      </c>
      <c r="I1474" t="str">
        <f>TEXT(tblSales[[#This Row],[Date]],"mmm")</f>
        <v>Dec</v>
      </c>
    </row>
    <row r="1475" spans="1:9" x14ac:dyDescent="0.3">
      <c r="A1475" s="1">
        <v>45651</v>
      </c>
      <c r="B1475" t="s">
        <v>1145</v>
      </c>
      <c r="C1475" t="s">
        <v>26</v>
      </c>
      <c r="D1475">
        <v>10</v>
      </c>
      <c r="E1475">
        <v>23076</v>
      </c>
      <c r="F1475">
        <v>230760</v>
      </c>
      <c r="G1475" t="s">
        <v>10</v>
      </c>
      <c r="H1475" t="s">
        <v>17</v>
      </c>
      <c r="I1475" t="str">
        <f>TEXT(tblSales[[#This Row],[Date]],"mmm")</f>
        <v>Dec</v>
      </c>
    </row>
    <row r="1476" spans="1:9" x14ac:dyDescent="0.3">
      <c r="A1476" s="1">
        <v>45627</v>
      </c>
      <c r="B1476" t="s">
        <v>1160</v>
      </c>
      <c r="C1476" t="s">
        <v>13</v>
      </c>
      <c r="D1476">
        <v>22</v>
      </c>
      <c r="E1476">
        <v>15423</v>
      </c>
      <c r="F1476">
        <v>339306</v>
      </c>
      <c r="G1476" t="s">
        <v>23</v>
      </c>
      <c r="H1476" t="s">
        <v>30</v>
      </c>
      <c r="I1476" t="str">
        <f>TEXT(tblSales[[#This Row],[Date]],"mmm")</f>
        <v>Dec</v>
      </c>
    </row>
    <row r="1477" spans="1:9" x14ac:dyDescent="0.3">
      <c r="A1477" s="1">
        <v>45653</v>
      </c>
      <c r="B1477" t="s">
        <v>1182</v>
      </c>
      <c r="C1477" t="s">
        <v>26</v>
      </c>
      <c r="D1477">
        <v>34</v>
      </c>
      <c r="E1477">
        <v>13187</v>
      </c>
      <c r="F1477">
        <v>448358</v>
      </c>
      <c r="G1477" t="s">
        <v>19</v>
      </c>
      <c r="H1477" t="s">
        <v>30</v>
      </c>
      <c r="I1477" t="str">
        <f>TEXT(tblSales[[#This Row],[Date]],"mmm")</f>
        <v>Dec</v>
      </c>
    </row>
    <row r="1478" spans="1:9" x14ac:dyDescent="0.3">
      <c r="A1478" s="1">
        <v>45648</v>
      </c>
      <c r="B1478" t="s">
        <v>1190</v>
      </c>
      <c r="C1478" t="s">
        <v>22</v>
      </c>
      <c r="D1478">
        <v>39</v>
      </c>
      <c r="E1478">
        <v>33793</v>
      </c>
      <c r="F1478">
        <v>1317927</v>
      </c>
      <c r="G1478" t="s">
        <v>23</v>
      </c>
      <c r="H1478" t="s">
        <v>27</v>
      </c>
      <c r="I1478" t="str">
        <f>TEXT(tblSales[[#This Row],[Date]],"mmm")</f>
        <v>Dec</v>
      </c>
    </row>
    <row r="1479" spans="1:9" x14ac:dyDescent="0.3">
      <c r="A1479" s="1">
        <v>45652</v>
      </c>
      <c r="B1479" t="s">
        <v>1204</v>
      </c>
      <c r="C1479" t="s">
        <v>22</v>
      </c>
      <c r="D1479">
        <v>7</v>
      </c>
      <c r="E1479">
        <v>21965</v>
      </c>
      <c r="F1479">
        <v>153755</v>
      </c>
      <c r="G1479" t="s">
        <v>14</v>
      </c>
      <c r="H1479" t="s">
        <v>27</v>
      </c>
      <c r="I1479" t="str">
        <f>TEXT(tblSales[[#This Row],[Date]],"mmm")</f>
        <v>Dec</v>
      </c>
    </row>
    <row r="1480" spans="1:9" x14ac:dyDescent="0.3">
      <c r="A1480" s="1">
        <v>45629</v>
      </c>
      <c r="B1480" t="s">
        <v>1221</v>
      </c>
      <c r="C1480" t="s">
        <v>35</v>
      </c>
      <c r="D1480">
        <v>35</v>
      </c>
      <c r="E1480">
        <v>41430</v>
      </c>
      <c r="F1480">
        <v>1450050</v>
      </c>
      <c r="G1480" t="s">
        <v>14</v>
      </c>
      <c r="H1480" t="s">
        <v>15</v>
      </c>
      <c r="I1480" t="str">
        <f>TEXT(tblSales[[#This Row],[Date]],"mmm")</f>
        <v>Dec</v>
      </c>
    </row>
    <row r="1481" spans="1:9" x14ac:dyDescent="0.3">
      <c r="A1481" s="1">
        <v>45654</v>
      </c>
      <c r="B1481" t="s">
        <v>1234</v>
      </c>
      <c r="C1481" t="s">
        <v>13</v>
      </c>
      <c r="D1481">
        <v>16</v>
      </c>
      <c r="E1481">
        <v>27600</v>
      </c>
      <c r="F1481">
        <v>441600</v>
      </c>
      <c r="G1481" t="s">
        <v>19</v>
      </c>
      <c r="H1481" t="s">
        <v>30</v>
      </c>
      <c r="I1481" t="str">
        <f>TEXT(tblSales[[#This Row],[Date]],"mmm")</f>
        <v>Dec</v>
      </c>
    </row>
    <row r="1482" spans="1:9" x14ac:dyDescent="0.3">
      <c r="A1482" s="1">
        <v>45631</v>
      </c>
      <c r="B1482" t="s">
        <v>1236</v>
      </c>
      <c r="C1482" t="s">
        <v>35</v>
      </c>
      <c r="D1482">
        <v>40</v>
      </c>
      <c r="E1482">
        <v>17235</v>
      </c>
      <c r="F1482">
        <v>689400</v>
      </c>
      <c r="G1482" t="s">
        <v>23</v>
      </c>
      <c r="H1482" t="s">
        <v>30</v>
      </c>
      <c r="I1482" t="str">
        <f>TEXT(tblSales[[#This Row],[Date]],"mmm")</f>
        <v>Dec</v>
      </c>
    </row>
    <row r="1483" spans="1:9" x14ac:dyDescent="0.3">
      <c r="A1483" s="1">
        <v>45634</v>
      </c>
      <c r="B1483" t="s">
        <v>1261</v>
      </c>
      <c r="C1483" t="s">
        <v>13</v>
      </c>
      <c r="D1483">
        <v>13</v>
      </c>
      <c r="E1483">
        <v>22208</v>
      </c>
      <c r="F1483">
        <v>288704</v>
      </c>
      <c r="G1483" t="s">
        <v>19</v>
      </c>
      <c r="H1483" t="s">
        <v>17</v>
      </c>
      <c r="I1483" t="str">
        <f>TEXT(tblSales[[#This Row],[Date]],"mmm")</f>
        <v>Dec</v>
      </c>
    </row>
    <row r="1484" spans="1:9" x14ac:dyDescent="0.3">
      <c r="A1484" s="1">
        <v>45633</v>
      </c>
      <c r="B1484" t="s">
        <v>1273</v>
      </c>
      <c r="C1484" t="s">
        <v>35</v>
      </c>
      <c r="D1484">
        <v>32</v>
      </c>
      <c r="E1484">
        <v>6056</v>
      </c>
      <c r="F1484">
        <v>193792</v>
      </c>
      <c r="G1484" t="s">
        <v>14</v>
      </c>
      <c r="H1484" t="s">
        <v>27</v>
      </c>
      <c r="I1484" t="str">
        <f>TEXT(tblSales[[#This Row],[Date]],"mmm")</f>
        <v>Dec</v>
      </c>
    </row>
    <row r="1485" spans="1:9" x14ac:dyDescent="0.3">
      <c r="A1485" s="1">
        <v>45651</v>
      </c>
      <c r="B1485" t="s">
        <v>1282</v>
      </c>
      <c r="C1485" t="s">
        <v>26</v>
      </c>
      <c r="D1485">
        <v>35</v>
      </c>
      <c r="E1485">
        <v>16762</v>
      </c>
      <c r="F1485">
        <v>586670</v>
      </c>
      <c r="G1485" t="s">
        <v>14</v>
      </c>
      <c r="H1485" t="s">
        <v>17</v>
      </c>
      <c r="I1485" t="str">
        <f>TEXT(tblSales[[#This Row],[Date]],"mmm")</f>
        <v>Dec</v>
      </c>
    </row>
    <row r="1486" spans="1:9" x14ac:dyDescent="0.3">
      <c r="A1486" s="1">
        <v>45632</v>
      </c>
      <c r="B1486" t="s">
        <v>1297</v>
      </c>
      <c r="C1486" t="s">
        <v>22</v>
      </c>
      <c r="D1486">
        <v>3</v>
      </c>
      <c r="E1486">
        <v>14167</v>
      </c>
      <c r="F1486">
        <v>42501</v>
      </c>
      <c r="G1486" t="s">
        <v>23</v>
      </c>
      <c r="H1486" t="s">
        <v>30</v>
      </c>
      <c r="I1486" t="str">
        <f>TEXT(tblSales[[#This Row],[Date]],"mmm")</f>
        <v>Dec</v>
      </c>
    </row>
    <row r="1487" spans="1:9" x14ac:dyDescent="0.3">
      <c r="A1487" s="1">
        <v>45633</v>
      </c>
      <c r="B1487" t="s">
        <v>1311</v>
      </c>
      <c r="C1487" t="s">
        <v>9</v>
      </c>
      <c r="D1487">
        <v>37</v>
      </c>
      <c r="E1487">
        <v>11588</v>
      </c>
      <c r="F1487">
        <v>428756</v>
      </c>
      <c r="G1487" t="s">
        <v>19</v>
      </c>
      <c r="H1487" t="s">
        <v>17</v>
      </c>
      <c r="I1487" t="str">
        <f>TEXT(tblSales[[#This Row],[Date]],"mmm")</f>
        <v>Dec</v>
      </c>
    </row>
    <row r="1488" spans="1:9" x14ac:dyDescent="0.3">
      <c r="A1488" s="1">
        <v>45657</v>
      </c>
      <c r="B1488" t="s">
        <v>1316</v>
      </c>
      <c r="C1488" t="s">
        <v>35</v>
      </c>
      <c r="D1488">
        <v>4</v>
      </c>
      <c r="E1488">
        <v>31769</v>
      </c>
      <c r="F1488">
        <v>127076</v>
      </c>
      <c r="G1488" t="s">
        <v>23</v>
      </c>
      <c r="H1488" t="s">
        <v>11</v>
      </c>
      <c r="I1488" t="str">
        <f>TEXT(tblSales[[#This Row],[Date]],"mmm")</f>
        <v>Dec</v>
      </c>
    </row>
    <row r="1489" spans="1:9" x14ac:dyDescent="0.3">
      <c r="A1489" s="1">
        <v>45630</v>
      </c>
      <c r="B1489" t="s">
        <v>1328</v>
      </c>
      <c r="C1489" t="s">
        <v>22</v>
      </c>
      <c r="D1489">
        <v>22</v>
      </c>
      <c r="E1489">
        <v>27352</v>
      </c>
      <c r="F1489">
        <v>601744</v>
      </c>
      <c r="G1489" t="s">
        <v>14</v>
      </c>
      <c r="H1489" t="s">
        <v>17</v>
      </c>
      <c r="I1489" t="str">
        <f>TEXT(tblSales[[#This Row],[Date]],"mmm")</f>
        <v>Dec</v>
      </c>
    </row>
    <row r="1490" spans="1:9" x14ac:dyDescent="0.3">
      <c r="A1490" s="1">
        <v>45632</v>
      </c>
      <c r="B1490" t="s">
        <v>1337</v>
      </c>
      <c r="C1490" t="s">
        <v>9</v>
      </c>
      <c r="D1490">
        <v>33</v>
      </c>
      <c r="E1490">
        <v>36822</v>
      </c>
      <c r="F1490">
        <v>1215126</v>
      </c>
      <c r="G1490" t="s">
        <v>19</v>
      </c>
      <c r="H1490" t="s">
        <v>11</v>
      </c>
      <c r="I1490" t="str">
        <f>TEXT(tblSales[[#This Row],[Date]],"mmm")</f>
        <v>Dec</v>
      </c>
    </row>
    <row r="1491" spans="1:9" x14ac:dyDescent="0.3">
      <c r="A1491" s="1">
        <v>45642</v>
      </c>
      <c r="B1491" t="s">
        <v>1348</v>
      </c>
      <c r="C1491" t="s">
        <v>22</v>
      </c>
      <c r="D1491">
        <v>20</v>
      </c>
      <c r="E1491">
        <v>28982</v>
      </c>
      <c r="F1491">
        <v>579640</v>
      </c>
      <c r="G1491" t="s">
        <v>10</v>
      </c>
      <c r="H1491" t="s">
        <v>11</v>
      </c>
      <c r="I1491" t="str">
        <f>TEXT(tblSales[[#This Row],[Date]],"mmm")</f>
        <v>Dec</v>
      </c>
    </row>
    <row r="1492" spans="1:9" x14ac:dyDescent="0.3">
      <c r="A1492" s="1">
        <v>45635</v>
      </c>
      <c r="B1492" t="s">
        <v>1349</v>
      </c>
      <c r="C1492" t="s">
        <v>22</v>
      </c>
      <c r="D1492">
        <v>22</v>
      </c>
      <c r="E1492">
        <v>31510</v>
      </c>
      <c r="F1492">
        <v>693220</v>
      </c>
      <c r="G1492" t="s">
        <v>23</v>
      </c>
      <c r="H1492" t="s">
        <v>15</v>
      </c>
      <c r="I1492" t="str">
        <f>TEXT(tblSales[[#This Row],[Date]],"mmm")</f>
        <v>Dec</v>
      </c>
    </row>
    <row r="1493" spans="1:9" x14ac:dyDescent="0.3">
      <c r="A1493" s="1">
        <v>45642</v>
      </c>
      <c r="B1493" t="s">
        <v>1394</v>
      </c>
      <c r="C1493" t="s">
        <v>26</v>
      </c>
      <c r="D1493">
        <v>30</v>
      </c>
      <c r="E1493">
        <v>12814</v>
      </c>
      <c r="F1493">
        <v>384420</v>
      </c>
      <c r="G1493" t="s">
        <v>10</v>
      </c>
      <c r="H1493" t="s">
        <v>30</v>
      </c>
      <c r="I1493" t="str">
        <f>TEXT(tblSales[[#This Row],[Date]],"mmm")</f>
        <v>Dec</v>
      </c>
    </row>
    <row r="1494" spans="1:9" x14ac:dyDescent="0.3">
      <c r="A1494" s="1">
        <v>45648</v>
      </c>
      <c r="B1494" t="s">
        <v>1438</v>
      </c>
      <c r="C1494" t="s">
        <v>35</v>
      </c>
      <c r="D1494">
        <v>17</v>
      </c>
      <c r="E1494">
        <v>5204</v>
      </c>
      <c r="F1494">
        <v>88468</v>
      </c>
      <c r="G1494" t="s">
        <v>19</v>
      </c>
      <c r="H1494" t="s">
        <v>15</v>
      </c>
      <c r="I1494" t="str">
        <f>TEXT(tblSales[[#This Row],[Date]],"mmm")</f>
        <v>Dec</v>
      </c>
    </row>
    <row r="1495" spans="1:9" x14ac:dyDescent="0.3">
      <c r="A1495" s="1">
        <v>45646</v>
      </c>
      <c r="B1495" t="s">
        <v>1449</v>
      </c>
      <c r="C1495" t="s">
        <v>35</v>
      </c>
      <c r="D1495">
        <v>30</v>
      </c>
      <c r="E1495">
        <v>12664</v>
      </c>
      <c r="F1495">
        <v>379920</v>
      </c>
      <c r="G1495" t="s">
        <v>10</v>
      </c>
      <c r="H1495" t="s">
        <v>17</v>
      </c>
      <c r="I1495" t="str">
        <f>TEXT(tblSales[[#This Row],[Date]],"mmm")</f>
        <v>Dec</v>
      </c>
    </row>
    <row r="1496" spans="1:9" x14ac:dyDescent="0.3">
      <c r="A1496" s="1">
        <v>45641</v>
      </c>
      <c r="B1496" t="s">
        <v>1461</v>
      </c>
      <c r="C1496" t="s">
        <v>26</v>
      </c>
      <c r="D1496">
        <v>3</v>
      </c>
      <c r="E1496">
        <v>28173</v>
      </c>
      <c r="F1496">
        <v>84519</v>
      </c>
      <c r="G1496" t="s">
        <v>19</v>
      </c>
      <c r="H1496" t="s">
        <v>11</v>
      </c>
      <c r="I1496" t="str">
        <f>TEXT(tblSales[[#This Row],[Date]],"mmm")</f>
        <v>Dec</v>
      </c>
    </row>
    <row r="1497" spans="1:9" x14ac:dyDescent="0.3">
      <c r="A1497" s="1">
        <v>45654</v>
      </c>
      <c r="B1497" t="s">
        <v>1464</v>
      </c>
      <c r="C1497" t="s">
        <v>13</v>
      </c>
      <c r="D1497">
        <v>8</v>
      </c>
      <c r="E1497">
        <v>30044</v>
      </c>
      <c r="F1497">
        <v>240352</v>
      </c>
      <c r="G1497" t="s">
        <v>19</v>
      </c>
      <c r="H1497" t="s">
        <v>15</v>
      </c>
      <c r="I1497" t="str">
        <f>TEXT(tblSales[[#This Row],[Date]],"mmm")</f>
        <v>Dec</v>
      </c>
    </row>
    <row r="1498" spans="1:9" x14ac:dyDescent="0.3">
      <c r="A1498" s="1">
        <v>45634</v>
      </c>
      <c r="B1498" t="s">
        <v>1491</v>
      </c>
      <c r="C1498" t="s">
        <v>26</v>
      </c>
      <c r="D1498">
        <v>1</v>
      </c>
      <c r="E1498">
        <v>30906</v>
      </c>
      <c r="F1498">
        <v>30906</v>
      </c>
      <c r="G1498" t="s">
        <v>14</v>
      </c>
      <c r="H1498" t="s">
        <v>15</v>
      </c>
      <c r="I1498" t="str">
        <f>TEXT(tblSales[[#This Row],[Date]],"mmm")</f>
        <v>Dec</v>
      </c>
    </row>
    <row r="1499" spans="1:9" x14ac:dyDescent="0.3">
      <c r="A1499" s="1">
        <v>45639</v>
      </c>
      <c r="B1499" t="s">
        <v>1497</v>
      </c>
      <c r="C1499" t="s">
        <v>9</v>
      </c>
      <c r="D1499">
        <v>17</v>
      </c>
      <c r="E1499">
        <v>10532</v>
      </c>
      <c r="F1499">
        <v>179044</v>
      </c>
      <c r="G1499" t="s">
        <v>10</v>
      </c>
      <c r="H1499" t="s">
        <v>17</v>
      </c>
      <c r="I1499" t="str">
        <f>TEXT(tblSales[[#This Row],[Date]],"mmm")</f>
        <v>Dec</v>
      </c>
    </row>
    <row r="1500" spans="1:9" x14ac:dyDescent="0.3">
      <c r="A1500" s="1">
        <v>45650</v>
      </c>
      <c r="B1500" t="s">
        <v>1502</v>
      </c>
      <c r="C1500" t="s">
        <v>35</v>
      </c>
      <c r="D1500">
        <v>26</v>
      </c>
      <c r="E1500">
        <v>13828</v>
      </c>
      <c r="F1500">
        <v>359528</v>
      </c>
      <c r="G1500" t="s">
        <v>14</v>
      </c>
      <c r="H1500" t="s">
        <v>15</v>
      </c>
      <c r="I1500" t="str">
        <f>TEXT(tblSales[[#This Row],[Date]],"mmm")</f>
        <v>Dec</v>
      </c>
    </row>
    <row r="1501" spans="1:9" x14ac:dyDescent="0.3">
      <c r="A1501" s="1">
        <v>45629</v>
      </c>
      <c r="B1501" t="s">
        <v>1521</v>
      </c>
      <c r="C1501" t="s">
        <v>26</v>
      </c>
      <c r="D1501">
        <v>31</v>
      </c>
      <c r="E1501">
        <v>8559</v>
      </c>
      <c r="F1501">
        <v>265329</v>
      </c>
      <c r="G1501" t="s">
        <v>23</v>
      </c>
      <c r="H1501" t="s">
        <v>11</v>
      </c>
      <c r="I1501" t="str">
        <f>TEXT(tblSales[[#This Row],[Date]],"mmm")</f>
        <v>Dec</v>
      </c>
    </row>
  </sheetData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A309-7208-4F24-A97B-0C7CEDF58CD0}">
  <dimension ref="E2:P16"/>
  <sheetViews>
    <sheetView topLeftCell="F1" workbookViewId="0">
      <selection activeCell="S5" sqref="S5"/>
    </sheetView>
  </sheetViews>
  <sheetFormatPr defaultRowHeight="14.4" x14ac:dyDescent="0.3"/>
  <cols>
    <col min="2" max="2" width="12.6640625" customWidth="1"/>
    <col min="19" max="20" width="9" bestFit="1" customWidth="1"/>
  </cols>
  <sheetData>
    <row r="2" spans="5:16" ht="15.6" x14ac:dyDescent="0.35">
      <c r="E2" s="5" t="s">
        <v>1756</v>
      </c>
      <c r="F2" s="4"/>
      <c r="G2" s="4"/>
      <c r="H2" s="4"/>
      <c r="I2" s="4"/>
      <c r="J2" s="4"/>
      <c r="K2" s="4"/>
    </row>
    <row r="3" spans="5:16" x14ac:dyDescent="0.3">
      <c r="G3" s="3"/>
    </row>
    <row r="4" spans="5:16" x14ac:dyDescent="0.3">
      <c r="E4" s="6" t="s">
        <v>1757</v>
      </c>
      <c r="F4" s="6"/>
      <c r="H4" s="8" t="s">
        <v>1758</v>
      </c>
      <c r="I4" s="9"/>
      <c r="K4" s="8" t="s">
        <v>1759</v>
      </c>
      <c r="L4" s="9"/>
      <c r="M4" s="9"/>
      <c r="O4" s="24" t="s">
        <v>1776</v>
      </c>
      <c r="P4" s="24"/>
    </row>
    <row r="6" spans="5:16" x14ac:dyDescent="0.3">
      <c r="E6" s="52">
        <f>SUM(tblSales[Sales_Amount])</f>
        <v>748288635</v>
      </c>
      <c r="F6" s="52"/>
      <c r="H6" s="52">
        <f>SUM(tblProduction[Total_Cost])</f>
        <v>24699202</v>
      </c>
      <c r="I6" s="52"/>
      <c r="K6" s="52">
        <f>SUM(tblExpense[Amount])</f>
        <v>62239514</v>
      </c>
      <c r="L6" s="52"/>
      <c r="M6" s="52"/>
    </row>
    <row r="9" spans="5:16" x14ac:dyDescent="0.3">
      <c r="E9" s="8" t="s">
        <v>1760</v>
      </c>
      <c r="F9" s="8"/>
      <c r="H9" s="8" t="s">
        <v>1761</v>
      </c>
      <c r="I9" s="9"/>
      <c r="K9" s="8" t="s">
        <v>1774</v>
      </c>
      <c r="L9" s="9"/>
    </row>
    <row r="11" spans="5:16" x14ac:dyDescent="0.3">
      <c r="E11" s="52">
        <f>E6-H6</f>
        <v>723589433</v>
      </c>
      <c r="F11" s="52"/>
      <c r="H11" s="52">
        <f>E11-K6</f>
        <v>661349919</v>
      </c>
      <c r="I11" s="52"/>
      <c r="K11" s="40">
        <f>H11/E6</f>
        <v>0.88381660239968762</v>
      </c>
      <c r="L11" s="40"/>
    </row>
    <row r="13" spans="5:16" x14ac:dyDescent="0.3">
      <c r="E13" s="2"/>
      <c r="F13" s="2"/>
    </row>
    <row r="14" spans="5:16" x14ac:dyDescent="0.3">
      <c r="E14" s="7" t="e">
        <f>SUMIFS(tblSales[Sales_Amount], #REF!, O4)</f>
        <v>#REF!</v>
      </c>
      <c r="F14" s="7"/>
    </row>
    <row r="16" spans="5:16" x14ac:dyDescent="0.3">
      <c r="E16" s="53"/>
      <c r="F16" s="53"/>
    </row>
  </sheetData>
  <sortState xmlns:xlrd2="http://schemas.microsoft.com/office/spreadsheetml/2017/richdata2" ref="O4:P4">
    <sortCondition descending="1" ref="O4"/>
    <sortCondition ref="P4"/>
  </sortState>
  <mergeCells count="16">
    <mergeCell ref="K9:L9"/>
    <mergeCell ref="K11:L11"/>
    <mergeCell ref="O4:P4"/>
    <mergeCell ref="E14:F14"/>
    <mergeCell ref="E9:F9"/>
    <mergeCell ref="E11:F11"/>
    <mergeCell ref="H9:I9"/>
    <mergeCell ref="H11:I11"/>
    <mergeCell ref="E13:F13"/>
    <mergeCell ref="E2:K2"/>
    <mergeCell ref="E4:F4"/>
    <mergeCell ref="E6:F6"/>
    <mergeCell ref="H4:I4"/>
    <mergeCell ref="H6:I6"/>
    <mergeCell ref="K4:M4"/>
    <mergeCell ref="K6:M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004D04-369F-4AF4-B517-F9C99D47B8F2}">
          <x14:formula1>
            <xm:f>Sales_Data!#REF!</xm:f>
          </x14:formula1>
          <xm:sqref>O4:P4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B741-AB5A-4015-8902-E5413FC20BF4}">
  <dimension ref="E2:I15"/>
  <sheetViews>
    <sheetView workbookViewId="0">
      <selection activeCell="H13" sqref="H13"/>
    </sheetView>
  </sheetViews>
  <sheetFormatPr defaultRowHeight="14.4" x14ac:dyDescent="0.3"/>
  <sheetData>
    <row r="2" spans="5:9" x14ac:dyDescent="0.3">
      <c r="E2" s="11" t="s">
        <v>1762</v>
      </c>
      <c r="F2" s="10"/>
      <c r="G2" s="10"/>
      <c r="H2" s="10"/>
      <c r="I2" s="10"/>
    </row>
    <row r="4" spans="5:9" x14ac:dyDescent="0.3">
      <c r="E4" s="13" t="s">
        <v>1763</v>
      </c>
      <c r="F4" s="13"/>
      <c r="H4" s="13" t="s">
        <v>1760</v>
      </c>
      <c r="I4" s="12"/>
    </row>
    <row r="6" spans="5:9" x14ac:dyDescent="0.3">
      <c r="E6" s="14">
        <f>SUM(tblProduction[Total_Cost])</f>
        <v>24699202</v>
      </c>
      <c r="F6" s="14"/>
      <c r="H6" s="14">
        <f>E10-E6</f>
        <v>723589433</v>
      </c>
      <c r="I6" s="14"/>
    </row>
    <row r="8" spans="5:9" x14ac:dyDescent="0.3">
      <c r="E8" s="13" t="s">
        <v>1764</v>
      </c>
      <c r="F8" s="12"/>
      <c r="H8" s="13" t="s">
        <v>1765</v>
      </c>
      <c r="I8" s="12"/>
    </row>
    <row r="10" spans="5:9" x14ac:dyDescent="0.3">
      <c r="E10" s="14">
        <f>SUM(tblSales[Sales_Amount])</f>
        <v>748288635</v>
      </c>
      <c r="F10" s="14"/>
      <c r="H10" s="14">
        <f>SUM(tblExpense[Amount])</f>
        <v>62239514</v>
      </c>
      <c r="I10" s="14"/>
    </row>
    <row r="13" spans="5:9" x14ac:dyDescent="0.3">
      <c r="E13" s="13" t="s">
        <v>1761</v>
      </c>
      <c r="F13" s="12"/>
    </row>
    <row r="15" spans="5:9" x14ac:dyDescent="0.3">
      <c r="E15" s="14">
        <f>H6-H10</f>
        <v>661349919</v>
      </c>
      <c r="F15" s="14"/>
    </row>
  </sheetData>
  <mergeCells count="11">
    <mergeCell ref="E10:F10"/>
    <mergeCell ref="H8:I8"/>
    <mergeCell ref="H10:I10"/>
    <mergeCell ref="E13:F13"/>
    <mergeCell ref="E15:F15"/>
    <mergeCell ref="E2:I2"/>
    <mergeCell ref="E4:F4"/>
    <mergeCell ref="H4:I4"/>
    <mergeCell ref="E6:F6"/>
    <mergeCell ref="H6:I6"/>
    <mergeCell ref="E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AB2A-40B7-4AB3-AB84-C771DB882D8D}">
  <dimension ref="F2:P22"/>
  <sheetViews>
    <sheetView workbookViewId="0">
      <selection activeCell="L6" sqref="L6:M6"/>
    </sheetView>
  </sheetViews>
  <sheetFormatPr defaultRowHeight="14.4" x14ac:dyDescent="0.3"/>
  <cols>
    <col min="10" max="10" width="15.77734375" customWidth="1"/>
    <col min="12" max="12" width="8.88671875" customWidth="1"/>
  </cols>
  <sheetData>
    <row r="2" spans="6:16" x14ac:dyDescent="0.3">
      <c r="F2" s="16" t="s">
        <v>1766</v>
      </c>
      <c r="G2" s="15"/>
      <c r="H2" s="15"/>
      <c r="I2" s="15"/>
    </row>
    <row r="4" spans="6:16" x14ac:dyDescent="0.3">
      <c r="F4" s="17" t="s">
        <v>1767</v>
      </c>
      <c r="G4" s="18"/>
      <c r="I4" s="17" t="s">
        <v>1768</v>
      </c>
      <c r="J4" s="18"/>
      <c r="L4" s="17" t="s">
        <v>1794</v>
      </c>
      <c r="M4" s="18"/>
      <c r="O4" s="17" t="s">
        <v>1799</v>
      </c>
      <c r="P4" s="18"/>
    </row>
    <row r="6" spans="6:16" x14ac:dyDescent="0.3">
      <c r="F6" s="19">
        <f>SUM(tblInventory[Closing_Inventory])</f>
        <v>1156</v>
      </c>
      <c r="G6" s="19"/>
      <c r="I6" s="19">
        <f>SUM(tblAsset[Cost])</f>
        <v>18084230</v>
      </c>
      <c r="J6" s="19"/>
      <c r="L6" s="50">
        <f>Cash_Flow!M8</f>
        <v>5000000</v>
      </c>
      <c r="M6" s="19"/>
      <c r="O6" s="19">
        <f>I14-L22</f>
        <v>232956020</v>
      </c>
      <c r="P6" s="19"/>
    </row>
    <row r="8" spans="6:16" x14ac:dyDescent="0.3">
      <c r="F8" s="17" t="s">
        <v>1791</v>
      </c>
      <c r="G8" s="18"/>
      <c r="I8" s="17" t="s">
        <v>1792</v>
      </c>
      <c r="J8" s="18"/>
    </row>
    <row r="9" spans="6:16" x14ac:dyDescent="0.3">
      <c r="F9" s="19">
        <f>SUM(tblInventory[Closing_Inventory]) * 10000</f>
        <v>11560000</v>
      </c>
      <c r="G9" s="19"/>
      <c r="I9" s="19">
        <f>MIS_Calculation!E6 * 0.3</f>
        <v>224486590.5</v>
      </c>
      <c r="J9" s="19"/>
      <c r="O9" s="17" t="s">
        <v>1800</v>
      </c>
      <c r="P9" s="18"/>
    </row>
    <row r="11" spans="6:16" x14ac:dyDescent="0.3">
      <c r="O11" s="19" t="str">
        <f>IF(I14 = L22 + O6,"Balanced","Error")</f>
        <v>Balanced</v>
      </c>
      <c r="P11" s="19"/>
    </row>
    <row r="12" spans="6:16" x14ac:dyDescent="0.3">
      <c r="F12" s="17" t="s">
        <v>1768</v>
      </c>
      <c r="G12" s="18"/>
      <c r="I12" s="17" t="s">
        <v>1793</v>
      </c>
      <c r="J12" s="18"/>
    </row>
    <row r="14" spans="6:16" x14ac:dyDescent="0.3">
      <c r="F14" s="19">
        <f>SUM(tblAsset[Cost])</f>
        <v>18084230</v>
      </c>
      <c r="G14" s="19"/>
      <c r="I14" s="19">
        <f>L6+F9+I9+F14</f>
        <v>259130820.5</v>
      </c>
      <c r="J14" s="19"/>
    </row>
    <row r="18" spans="6:13" x14ac:dyDescent="0.3">
      <c r="F18" s="16" t="s">
        <v>1795</v>
      </c>
      <c r="G18" s="15"/>
      <c r="H18" s="15"/>
    </row>
    <row r="20" spans="6:13" x14ac:dyDescent="0.3">
      <c r="F20" s="17" t="s">
        <v>1796</v>
      </c>
      <c r="G20" s="18"/>
      <c r="J20" s="44" t="s">
        <v>1797</v>
      </c>
      <c r="L20" s="46" t="s">
        <v>1798</v>
      </c>
      <c r="M20" s="46"/>
    </row>
    <row r="22" spans="6:13" x14ac:dyDescent="0.3">
      <c r="F22" s="19">
        <f>MIS_Calculation!H6 * 0.25</f>
        <v>6174800.5</v>
      </c>
      <c r="G22" s="19"/>
      <c r="J22" s="45">
        <f>20000000</f>
        <v>20000000</v>
      </c>
      <c r="L22" s="19">
        <f>F22+J22</f>
        <v>26174800.5</v>
      </c>
      <c r="M22" s="19"/>
    </row>
  </sheetData>
  <mergeCells count="24">
    <mergeCell ref="L20:M20"/>
    <mergeCell ref="L22:M22"/>
    <mergeCell ref="O4:P4"/>
    <mergeCell ref="O6:P6"/>
    <mergeCell ref="O9:P9"/>
    <mergeCell ref="O11:P11"/>
    <mergeCell ref="F18:H18"/>
    <mergeCell ref="F20:G20"/>
    <mergeCell ref="F22:G22"/>
    <mergeCell ref="F12:G12"/>
    <mergeCell ref="I12:J12"/>
    <mergeCell ref="F14:G14"/>
    <mergeCell ref="I14:J14"/>
    <mergeCell ref="L4:M4"/>
    <mergeCell ref="L6:M6"/>
    <mergeCell ref="F2:I2"/>
    <mergeCell ref="F4:G4"/>
    <mergeCell ref="F6:G6"/>
    <mergeCell ref="I4:J4"/>
    <mergeCell ref="I6:J6"/>
    <mergeCell ref="F9:G9"/>
    <mergeCell ref="I9:J9"/>
    <mergeCell ref="F8:G8"/>
    <mergeCell ref="I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D0A1-B914-41A1-A3EE-FB2494102F68}">
  <dimension ref="D2:O18"/>
  <sheetViews>
    <sheetView topLeftCell="I1" workbookViewId="0">
      <selection activeCell="J12" sqref="J12"/>
    </sheetView>
  </sheetViews>
  <sheetFormatPr defaultRowHeight="14.4" x14ac:dyDescent="0.3"/>
  <cols>
    <col min="6" max="6" width="13.33203125" bestFit="1" customWidth="1"/>
    <col min="7" max="7" width="12.77734375" bestFit="1" customWidth="1"/>
    <col min="10" max="10" width="13.33203125" bestFit="1" customWidth="1"/>
    <col min="11" max="11" width="15.44140625" bestFit="1" customWidth="1"/>
    <col min="13" max="13" width="16.109375" customWidth="1"/>
    <col min="15" max="15" width="13.5546875" customWidth="1"/>
  </cols>
  <sheetData>
    <row r="2" spans="4:15" x14ac:dyDescent="0.3">
      <c r="F2" s="20" t="s">
        <v>1772</v>
      </c>
      <c r="G2" s="21"/>
      <c r="H2" s="21"/>
      <c r="I2" s="21"/>
    </row>
    <row r="4" spans="4:15" x14ac:dyDescent="0.3">
      <c r="F4" s="22" t="s">
        <v>1769</v>
      </c>
      <c r="G4" s="23"/>
      <c r="I4" s="22" t="s">
        <v>1770</v>
      </c>
      <c r="J4" s="23"/>
    </row>
    <row r="6" spans="4:15" x14ac:dyDescent="0.3">
      <c r="F6" s="27">
        <f>SUM(tblBudget[Budget_Amount])</f>
        <v>58827936</v>
      </c>
      <c r="G6" s="27"/>
      <c r="I6" s="27">
        <f>G18-F6</f>
        <v>3411578</v>
      </c>
      <c r="J6" s="27"/>
    </row>
    <row r="8" spans="4:15" x14ac:dyDescent="0.3">
      <c r="F8" s="22" t="s">
        <v>1771</v>
      </c>
      <c r="G8" s="23"/>
    </row>
    <row r="9" spans="4:15" x14ac:dyDescent="0.3">
      <c r="D9" s="2"/>
      <c r="E9" s="2"/>
    </row>
    <row r="10" spans="4:15" x14ac:dyDescent="0.3">
      <c r="F10" s="43">
        <f>(G18-F6)/F6</f>
        <v>5.7992481667213346E-2</v>
      </c>
      <c r="G10" s="43"/>
    </row>
    <row r="12" spans="4:15" x14ac:dyDescent="0.3">
      <c r="F12" s="37" t="s">
        <v>1526</v>
      </c>
      <c r="G12" t="s">
        <v>1790</v>
      </c>
      <c r="J12" s="37" t="s">
        <v>1526</v>
      </c>
      <c r="K12" t="s">
        <v>1813</v>
      </c>
      <c r="M12" t="str">
        <f>F12</f>
        <v>Department</v>
      </c>
      <c r="N12" t="str">
        <f>G12</f>
        <v xml:space="preserve">Actual </v>
      </c>
      <c r="O12" t="str">
        <f>K12</f>
        <v xml:space="preserve">Budget_Amount </v>
      </c>
    </row>
    <row r="13" spans="4:15" x14ac:dyDescent="0.3">
      <c r="F13" s="38" t="s">
        <v>1536</v>
      </c>
      <c r="G13" s="39">
        <v>12993015</v>
      </c>
      <c r="J13" s="38" t="s">
        <v>1536</v>
      </c>
      <c r="K13" s="39">
        <v>11859813</v>
      </c>
      <c r="M13" t="str">
        <f t="shared" ref="M13:M17" si="0">F13</f>
        <v>Admin</v>
      </c>
      <c r="N13">
        <f t="shared" ref="N13:N17" si="1">G13</f>
        <v>12993015</v>
      </c>
      <c r="O13">
        <f t="shared" ref="O13:O17" si="2">K13</f>
        <v>11859813</v>
      </c>
    </row>
    <row r="14" spans="4:15" x14ac:dyDescent="0.3">
      <c r="F14" s="38" t="s">
        <v>1531</v>
      </c>
      <c r="G14" s="39">
        <v>13494287</v>
      </c>
      <c r="J14" s="38" t="s">
        <v>1531</v>
      </c>
      <c r="K14" s="39">
        <v>12992030</v>
      </c>
      <c r="M14" t="str">
        <f t="shared" si="0"/>
        <v>Finance</v>
      </c>
      <c r="N14">
        <f t="shared" si="1"/>
        <v>13494287</v>
      </c>
      <c r="O14">
        <f t="shared" si="2"/>
        <v>12992030</v>
      </c>
    </row>
    <row r="15" spans="4:15" x14ac:dyDescent="0.3">
      <c r="F15" s="38" t="s">
        <v>1529</v>
      </c>
      <c r="G15" s="39">
        <v>13513332</v>
      </c>
      <c r="J15" s="38" t="s">
        <v>1529</v>
      </c>
      <c r="K15" s="39">
        <v>10959858</v>
      </c>
      <c r="M15" t="str">
        <f t="shared" si="0"/>
        <v>HR</v>
      </c>
      <c r="N15">
        <f t="shared" si="1"/>
        <v>13513332</v>
      </c>
      <c r="O15">
        <f t="shared" si="2"/>
        <v>10959858</v>
      </c>
    </row>
    <row r="16" spans="4:15" x14ac:dyDescent="0.3">
      <c r="F16" s="38" t="s">
        <v>1538</v>
      </c>
      <c r="G16" s="39">
        <v>10411134</v>
      </c>
      <c r="J16" s="38" t="s">
        <v>1538</v>
      </c>
      <c r="K16" s="39">
        <v>10936072</v>
      </c>
      <c r="M16" t="str">
        <f t="shared" si="0"/>
        <v>Production</v>
      </c>
      <c r="N16">
        <f t="shared" si="1"/>
        <v>10411134</v>
      </c>
      <c r="O16">
        <f t="shared" si="2"/>
        <v>10936072</v>
      </c>
    </row>
    <row r="17" spans="6:15" x14ac:dyDescent="0.3">
      <c r="F17" s="38" t="s">
        <v>1533</v>
      </c>
      <c r="G17" s="39">
        <v>11827746</v>
      </c>
      <c r="J17" s="38" t="s">
        <v>1533</v>
      </c>
      <c r="K17" s="39">
        <v>12080163</v>
      </c>
      <c r="M17" t="str">
        <f t="shared" si="0"/>
        <v>Sales</v>
      </c>
      <c r="N17">
        <f t="shared" si="1"/>
        <v>11827746</v>
      </c>
      <c r="O17">
        <f t="shared" si="2"/>
        <v>12080163</v>
      </c>
    </row>
    <row r="18" spans="6:15" x14ac:dyDescent="0.3">
      <c r="F18" s="38" t="s">
        <v>1773</v>
      </c>
      <c r="G18" s="39">
        <v>62239514</v>
      </c>
      <c r="J18" s="38" t="s">
        <v>1773</v>
      </c>
      <c r="K18" s="39">
        <v>58827936</v>
      </c>
    </row>
  </sheetData>
  <mergeCells count="8">
    <mergeCell ref="F10:G10"/>
    <mergeCell ref="D9:E9"/>
    <mergeCell ref="F2:I2"/>
    <mergeCell ref="F4:G4"/>
    <mergeCell ref="F6:G6"/>
    <mergeCell ref="I4:J4"/>
    <mergeCell ref="I6:J6"/>
    <mergeCell ref="F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B899-4258-41D7-8428-893C6A317328}">
  <dimension ref="F2:M13"/>
  <sheetViews>
    <sheetView workbookViewId="0">
      <selection activeCell="H10" sqref="H10"/>
    </sheetView>
  </sheetViews>
  <sheetFormatPr defaultRowHeight="14.4" x14ac:dyDescent="0.3"/>
  <cols>
    <col min="12" max="12" width="16" customWidth="1"/>
    <col min="13" max="13" width="16.88671875" customWidth="1"/>
  </cols>
  <sheetData>
    <row r="2" spans="6:13" x14ac:dyDescent="0.3">
      <c r="F2" s="25" t="s">
        <v>1801</v>
      </c>
      <c r="G2" s="26"/>
      <c r="H2" s="26"/>
      <c r="I2" s="26"/>
      <c r="J2" s="26"/>
    </row>
    <row r="4" spans="6:13" x14ac:dyDescent="0.3">
      <c r="F4" s="47" t="s">
        <v>1802</v>
      </c>
      <c r="G4" s="47"/>
    </row>
    <row r="6" spans="6:13" x14ac:dyDescent="0.3">
      <c r="F6" s="48">
        <f>SUM(tblAsset[Depreciation])</f>
        <v>2809735.85</v>
      </c>
      <c r="G6" s="48"/>
    </row>
    <row r="7" spans="6:13" x14ac:dyDescent="0.3">
      <c r="L7" s="41" t="s">
        <v>1803</v>
      </c>
      <c r="M7" s="41" t="s">
        <v>1528</v>
      </c>
    </row>
    <row r="8" spans="6:13" ht="28.8" customHeight="1" x14ac:dyDescent="0.3">
      <c r="L8" s="42" t="s">
        <v>1804</v>
      </c>
      <c r="M8" s="49">
        <v>5000000</v>
      </c>
    </row>
    <row r="9" spans="6:13" ht="43.2" customHeight="1" x14ac:dyDescent="0.3">
      <c r="L9" s="42" t="s">
        <v>1805</v>
      </c>
      <c r="M9" s="49">
        <f>MIS_Calculation!H11+Cash_Flow!F6</f>
        <v>664159654.85000002</v>
      </c>
    </row>
    <row r="10" spans="6:13" ht="43.2" customHeight="1" x14ac:dyDescent="0.3">
      <c r="L10" s="42" t="s">
        <v>1807</v>
      </c>
      <c r="M10" s="49">
        <f xml:space="preserve"> -SUM(tblAsset[Cost])</f>
        <v>-18084230</v>
      </c>
    </row>
    <row r="11" spans="6:13" ht="43.2" customHeight="1" x14ac:dyDescent="0.3">
      <c r="L11" s="42" t="s">
        <v>1808</v>
      </c>
      <c r="M11" s="49">
        <v>20000000</v>
      </c>
    </row>
    <row r="12" spans="6:13" ht="43.2" customHeight="1" x14ac:dyDescent="0.3">
      <c r="L12" s="42" t="s">
        <v>1809</v>
      </c>
      <c r="M12" s="49">
        <f>M9+M10+M11</f>
        <v>666075424.85000002</v>
      </c>
    </row>
    <row r="13" spans="6:13" ht="28.8" customHeight="1" x14ac:dyDescent="0.3">
      <c r="L13" s="42" t="s">
        <v>1806</v>
      </c>
      <c r="M13" s="49">
        <f>M8+M12</f>
        <v>671075424.85000002</v>
      </c>
    </row>
  </sheetData>
  <mergeCells count="3">
    <mergeCell ref="F2:J2"/>
    <mergeCell ref="F4:G4"/>
    <mergeCell ref="F6:G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1"/>
  <sheetViews>
    <sheetView workbookViewId="0">
      <selection activeCell="H14" sqref="H14"/>
    </sheetView>
  </sheetViews>
  <sheetFormatPr defaultRowHeight="14.4" x14ac:dyDescent="0.3"/>
  <cols>
    <col min="1" max="1" width="18.88671875" style="1" customWidth="1"/>
    <col min="2" max="2" width="9.5546875" customWidth="1"/>
    <col min="3" max="3" width="14.44140625" customWidth="1"/>
    <col min="5" max="5" width="11.109375" customWidth="1"/>
    <col min="6" max="6" width="11.77734375" customWidth="1"/>
  </cols>
  <sheetData>
    <row r="1" spans="1:6" x14ac:dyDescent="0.3">
      <c r="A1" s="1" t="s">
        <v>0</v>
      </c>
      <c r="B1" t="s">
        <v>2</v>
      </c>
      <c r="C1" t="s">
        <v>1522</v>
      </c>
      <c r="D1" t="s">
        <v>1523</v>
      </c>
      <c r="E1" t="s">
        <v>1524</v>
      </c>
      <c r="F1" t="s">
        <v>1525</v>
      </c>
    </row>
    <row r="2" spans="1:6" x14ac:dyDescent="0.3">
      <c r="A2" s="1">
        <v>45362</v>
      </c>
      <c r="B2" t="s">
        <v>9</v>
      </c>
      <c r="C2">
        <v>4690</v>
      </c>
      <c r="D2">
        <v>3181</v>
      </c>
      <c r="E2">
        <v>1649</v>
      </c>
      <c r="F2">
        <v>9520</v>
      </c>
    </row>
    <row r="3" spans="1:6" x14ac:dyDescent="0.3">
      <c r="A3" s="1">
        <v>45454</v>
      </c>
      <c r="B3" t="s">
        <v>22</v>
      </c>
      <c r="C3">
        <v>2242</v>
      </c>
      <c r="D3">
        <v>3882</v>
      </c>
      <c r="E3">
        <v>7157</v>
      </c>
      <c r="F3">
        <v>13281</v>
      </c>
    </row>
    <row r="4" spans="1:6" x14ac:dyDescent="0.3">
      <c r="A4" s="1">
        <v>45574</v>
      </c>
      <c r="B4" t="s">
        <v>26</v>
      </c>
      <c r="C4">
        <v>17997</v>
      </c>
      <c r="D4">
        <v>5151</v>
      </c>
      <c r="E4">
        <v>3850</v>
      </c>
      <c r="F4">
        <v>26998</v>
      </c>
    </row>
    <row r="5" spans="1:6" x14ac:dyDescent="0.3">
      <c r="A5" s="1">
        <v>45316</v>
      </c>
      <c r="B5" t="s">
        <v>9</v>
      </c>
      <c r="C5">
        <v>16206</v>
      </c>
      <c r="D5">
        <v>3068</v>
      </c>
      <c r="E5">
        <v>1522</v>
      </c>
      <c r="F5">
        <v>20796</v>
      </c>
    </row>
    <row r="6" spans="1:6" x14ac:dyDescent="0.3">
      <c r="A6" s="1">
        <v>45494</v>
      </c>
      <c r="B6" t="s">
        <v>9</v>
      </c>
      <c r="C6">
        <v>19553</v>
      </c>
      <c r="D6">
        <v>9411</v>
      </c>
      <c r="E6">
        <v>1888</v>
      </c>
      <c r="F6">
        <v>30852</v>
      </c>
    </row>
    <row r="7" spans="1:6" x14ac:dyDescent="0.3">
      <c r="A7" s="1">
        <v>45491</v>
      </c>
      <c r="B7" t="s">
        <v>22</v>
      </c>
      <c r="C7">
        <v>15204</v>
      </c>
      <c r="D7">
        <v>3319</v>
      </c>
      <c r="E7">
        <v>3629</v>
      </c>
      <c r="F7">
        <v>22152</v>
      </c>
    </row>
    <row r="8" spans="1:6" x14ac:dyDescent="0.3">
      <c r="A8" s="1">
        <v>45369</v>
      </c>
      <c r="B8" t="s">
        <v>9</v>
      </c>
      <c r="C8">
        <v>17014</v>
      </c>
      <c r="D8">
        <v>7168</v>
      </c>
      <c r="E8">
        <v>4271</v>
      </c>
      <c r="F8">
        <v>28453</v>
      </c>
    </row>
    <row r="9" spans="1:6" x14ac:dyDescent="0.3">
      <c r="A9" s="1">
        <v>45341</v>
      </c>
      <c r="B9" t="s">
        <v>35</v>
      </c>
      <c r="C9">
        <v>7915</v>
      </c>
      <c r="D9">
        <v>2806</v>
      </c>
      <c r="E9">
        <v>4529</v>
      </c>
      <c r="F9">
        <v>15250</v>
      </c>
    </row>
    <row r="10" spans="1:6" x14ac:dyDescent="0.3">
      <c r="A10" s="1">
        <v>45378</v>
      </c>
      <c r="B10" t="s">
        <v>22</v>
      </c>
      <c r="C10">
        <v>9430</v>
      </c>
      <c r="D10">
        <v>7600</v>
      </c>
      <c r="E10">
        <v>5002</v>
      </c>
      <c r="F10">
        <v>22032</v>
      </c>
    </row>
    <row r="11" spans="1:6" x14ac:dyDescent="0.3">
      <c r="A11" s="1">
        <v>45489</v>
      </c>
      <c r="B11" t="s">
        <v>35</v>
      </c>
      <c r="C11">
        <v>17276</v>
      </c>
      <c r="D11">
        <v>7908</v>
      </c>
      <c r="E11">
        <v>1669</v>
      </c>
      <c r="F11">
        <v>26853</v>
      </c>
    </row>
    <row r="12" spans="1:6" x14ac:dyDescent="0.3">
      <c r="A12" s="1">
        <v>45473</v>
      </c>
      <c r="B12" t="s">
        <v>26</v>
      </c>
      <c r="C12">
        <v>14672</v>
      </c>
      <c r="D12">
        <v>1087</v>
      </c>
      <c r="E12">
        <v>7364</v>
      </c>
      <c r="F12">
        <v>23123</v>
      </c>
    </row>
    <row r="13" spans="1:6" x14ac:dyDescent="0.3">
      <c r="A13" s="1">
        <v>45506</v>
      </c>
      <c r="B13" t="s">
        <v>26</v>
      </c>
      <c r="C13">
        <v>12556</v>
      </c>
      <c r="D13">
        <v>3828</v>
      </c>
      <c r="E13">
        <v>5669</v>
      </c>
      <c r="F13">
        <v>22053</v>
      </c>
    </row>
    <row r="14" spans="1:6" x14ac:dyDescent="0.3">
      <c r="A14" s="1">
        <v>45418</v>
      </c>
      <c r="B14" t="s">
        <v>35</v>
      </c>
      <c r="C14">
        <v>10407</v>
      </c>
      <c r="D14">
        <v>1814</v>
      </c>
      <c r="E14">
        <v>6413</v>
      </c>
      <c r="F14">
        <v>18634</v>
      </c>
    </row>
    <row r="15" spans="1:6" x14ac:dyDescent="0.3">
      <c r="A15" s="1">
        <v>45548</v>
      </c>
      <c r="B15" t="s">
        <v>13</v>
      </c>
      <c r="C15">
        <v>13475</v>
      </c>
      <c r="D15">
        <v>9499</v>
      </c>
      <c r="E15">
        <v>3605</v>
      </c>
      <c r="F15">
        <v>26579</v>
      </c>
    </row>
    <row r="16" spans="1:6" x14ac:dyDescent="0.3">
      <c r="A16" s="1">
        <v>45457</v>
      </c>
      <c r="B16" t="s">
        <v>22</v>
      </c>
      <c r="C16">
        <v>18792</v>
      </c>
      <c r="D16">
        <v>2041</v>
      </c>
      <c r="E16">
        <v>7135</v>
      </c>
      <c r="F16">
        <v>27968</v>
      </c>
    </row>
    <row r="17" spans="1:6" x14ac:dyDescent="0.3">
      <c r="A17" s="1">
        <v>45552</v>
      </c>
      <c r="B17" t="s">
        <v>22</v>
      </c>
      <c r="C17">
        <v>19398</v>
      </c>
      <c r="D17">
        <v>5142</v>
      </c>
      <c r="E17">
        <v>5794</v>
      </c>
      <c r="F17">
        <v>30334</v>
      </c>
    </row>
    <row r="18" spans="1:6" x14ac:dyDescent="0.3">
      <c r="A18" s="1">
        <v>45367</v>
      </c>
      <c r="B18" t="s">
        <v>26</v>
      </c>
      <c r="C18">
        <v>7315</v>
      </c>
      <c r="D18">
        <v>6430</v>
      </c>
      <c r="E18">
        <v>681</v>
      </c>
      <c r="F18">
        <v>14426</v>
      </c>
    </row>
    <row r="19" spans="1:6" x14ac:dyDescent="0.3">
      <c r="A19" s="1">
        <v>45502</v>
      </c>
      <c r="B19" t="s">
        <v>35</v>
      </c>
      <c r="C19">
        <v>5967</v>
      </c>
      <c r="D19">
        <v>9729</v>
      </c>
      <c r="E19">
        <v>3277</v>
      </c>
      <c r="F19">
        <v>18973</v>
      </c>
    </row>
    <row r="20" spans="1:6" x14ac:dyDescent="0.3">
      <c r="A20" s="1">
        <v>45403</v>
      </c>
      <c r="B20" t="s">
        <v>9</v>
      </c>
      <c r="C20">
        <v>14399</v>
      </c>
      <c r="D20">
        <v>3618</v>
      </c>
      <c r="E20">
        <v>3911</v>
      </c>
      <c r="F20">
        <v>21928</v>
      </c>
    </row>
    <row r="21" spans="1:6" x14ac:dyDescent="0.3">
      <c r="A21" s="1">
        <v>45608</v>
      </c>
      <c r="B21" t="s">
        <v>13</v>
      </c>
      <c r="C21">
        <v>19888</v>
      </c>
      <c r="D21">
        <v>5747</v>
      </c>
      <c r="E21">
        <v>5290</v>
      </c>
      <c r="F21">
        <v>30925</v>
      </c>
    </row>
    <row r="22" spans="1:6" x14ac:dyDescent="0.3">
      <c r="A22" s="1">
        <v>45458</v>
      </c>
      <c r="B22" t="s">
        <v>22</v>
      </c>
      <c r="C22">
        <v>15023</v>
      </c>
      <c r="D22">
        <v>1523</v>
      </c>
      <c r="E22">
        <v>3338</v>
      </c>
      <c r="F22">
        <v>19884</v>
      </c>
    </row>
    <row r="23" spans="1:6" x14ac:dyDescent="0.3">
      <c r="A23" s="1">
        <v>45365</v>
      </c>
      <c r="B23" t="s">
        <v>35</v>
      </c>
      <c r="C23">
        <v>2271</v>
      </c>
      <c r="D23">
        <v>4061</v>
      </c>
      <c r="E23">
        <v>1967</v>
      </c>
      <c r="F23">
        <v>8299</v>
      </c>
    </row>
    <row r="24" spans="1:6" x14ac:dyDescent="0.3">
      <c r="A24" s="1">
        <v>45614</v>
      </c>
      <c r="B24" t="s">
        <v>35</v>
      </c>
      <c r="C24">
        <v>10008</v>
      </c>
      <c r="D24">
        <v>4340</v>
      </c>
      <c r="E24">
        <v>7735</v>
      </c>
      <c r="F24">
        <v>22083</v>
      </c>
    </row>
    <row r="25" spans="1:6" x14ac:dyDescent="0.3">
      <c r="A25" s="1">
        <v>45468</v>
      </c>
      <c r="B25" t="s">
        <v>22</v>
      </c>
      <c r="C25">
        <v>6356</v>
      </c>
      <c r="D25">
        <v>2941</v>
      </c>
      <c r="E25">
        <v>5943</v>
      </c>
      <c r="F25">
        <v>15240</v>
      </c>
    </row>
    <row r="26" spans="1:6" x14ac:dyDescent="0.3">
      <c r="A26" s="1">
        <v>45334</v>
      </c>
      <c r="B26" t="s">
        <v>26</v>
      </c>
      <c r="C26">
        <v>3289</v>
      </c>
      <c r="D26">
        <v>9064</v>
      </c>
      <c r="E26">
        <v>2206</v>
      </c>
      <c r="F26">
        <v>14559</v>
      </c>
    </row>
    <row r="27" spans="1:6" x14ac:dyDescent="0.3">
      <c r="A27" s="1">
        <v>45649</v>
      </c>
      <c r="B27" t="s">
        <v>13</v>
      </c>
      <c r="C27">
        <v>5493</v>
      </c>
      <c r="D27">
        <v>8037</v>
      </c>
      <c r="E27">
        <v>2792</v>
      </c>
      <c r="F27">
        <v>16322</v>
      </c>
    </row>
    <row r="28" spans="1:6" x14ac:dyDescent="0.3">
      <c r="A28" s="1">
        <v>45448</v>
      </c>
      <c r="B28" t="s">
        <v>35</v>
      </c>
      <c r="C28">
        <v>18747</v>
      </c>
      <c r="D28">
        <v>9936</v>
      </c>
      <c r="E28">
        <v>4668</v>
      </c>
      <c r="F28">
        <v>33351</v>
      </c>
    </row>
    <row r="29" spans="1:6" x14ac:dyDescent="0.3">
      <c r="A29" s="1">
        <v>45379</v>
      </c>
      <c r="B29" t="s">
        <v>13</v>
      </c>
      <c r="C29">
        <v>9335</v>
      </c>
      <c r="D29">
        <v>2647</v>
      </c>
      <c r="E29">
        <v>3779</v>
      </c>
      <c r="F29">
        <v>15761</v>
      </c>
    </row>
    <row r="30" spans="1:6" x14ac:dyDescent="0.3">
      <c r="A30" s="1">
        <v>45640</v>
      </c>
      <c r="B30" t="s">
        <v>9</v>
      </c>
      <c r="C30">
        <v>12950</v>
      </c>
      <c r="D30">
        <v>6819</v>
      </c>
      <c r="E30">
        <v>2423</v>
      </c>
      <c r="F30">
        <v>22192</v>
      </c>
    </row>
    <row r="31" spans="1:6" x14ac:dyDescent="0.3">
      <c r="A31" s="1">
        <v>45603</v>
      </c>
      <c r="B31" t="s">
        <v>26</v>
      </c>
      <c r="C31">
        <v>7093</v>
      </c>
      <c r="D31">
        <v>5973</v>
      </c>
      <c r="E31">
        <v>1147</v>
      </c>
      <c r="F31">
        <v>14213</v>
      </c>
    </row>
    <row r="32" spans="1:6" x14ac:dyDescent="0.3">
      <c r="A32" s="1">
        <v>45458</v>
      </c>
      <c r="B32" t="s">
        <v>22</v>
      </c>
      <c r="C32">
        <v>13798</v>
      </c>
      <c r="D32">
        <v>7302</v>
      </c>
      <c r="E32">
        <v>1039</v>
      </c>
      <c r="F32">
        <v>22139</v>
      </c>
    </row>
    <row r="33" spans="1:6" x14ac:dyDescent="0.3">
      <c r="A33" s="1">
        <v>45327</v>
      </c>
      <c r="B33" t="s">
        <v>22</v>
      </c>
      <c r="C33">
        <v>9834</v>
      </c>
      <c r="D33">
        <v>7894</v>
      </c>
      <c r="E33">
        <v>5151</v>
      </c>
      <c r="F33">
        <v>22879</v>
      </c>
    </row>
    <row r="34" spans="1:6" x14ac:dyDescent="0.3">
      <c r="A34" s="1">
        <v>45505</v>
      </c>
      <c r="B34" t="s">
        <v>22</v>
      </c>
      <c r="C34">
        <v>16638</v>
      </c>
      <c r="D34">
        <v>7919</v>
      </c>
      <c r="E34">
        <v>7182</v>
      </c>
      <c r="F34">
        <v>31739</v>
      </c>
    </row>
    <row r="35" spans="1:6" x14ac:dyDescent="0.3">
      <c r="A35" s="1">
        <v>45440</v>
      </c>
      <c r="B35" t="s">
        <v>26</v>
      </c>
      <c r="C35">
        <v>8254</v>
      </c>
      <c r="D35">
        <v>2488</v>
      </c>
      <c r="E35">
        <v>7525</v>
      </c>
      <c r="F35">
        <v>18267</v>
      </c>
    </row>
    <row r="36" spans="1:6" x14ac:dyDescent="0.3">
      <c r="A36" s="1">
        <v>45491</v>
      </c>
      <c r="B36" t="s">
        <v>9</v>
      </c>
      <c r="C36">
        <v>12014</v>
      </c>
      <c r="D36">
        <v>1384</v>
      </c>
      <c r="E36">
        <v>6930</v>
      </c>
      <c r="F36">
        <v>20328</v>
      </c>
    </row>
    <row r="37" spans="1:6" x14ac:dyDescent="0.3">
      <c r="A37" s="1">
        <v>45329</v>
      </c>
      <c r="B37" t="s">
        <v>35</v>
      </c>
      <c r="C37">
        <v>12507</v>
      </c>
      <c r="D37">
        <v>2887</v>
      </c>
      <c r="E37">
        <v>618</v>
      </c>
      <c r="F37">
        <v>16012</v>
      </c>
    </row>
    <row r="38" spans="1:6" x14ac:dyDescent="0.3">
      <c r="A38" s="1">
        <v>45304</v>
      </c>
      <c r="B38" t="s">
        <v>26</v>
      </c>
      <c r="C38">
        <v>17616</v>
      </c>
      <c r="D38">
        <v>7442</v>
      </c>
      <c r="E38">
        <v>3349</v>
      </c>
      <c r="F38">
        <v>28407</v>
      </c>
    </row>
    <row r="39" spans="1:6" x14ac:dyDescent="0.3">
      <c r="A39" s="1">
        <v>45466</v>
      </c>
      <c r="B39" t="s">
        <v>35</v>
      </c>
      <c r="C39">
        <v>9377</v>
      </c>
      <c r="D39">
        <v>3778</v>
      </c>
      <c r="E39">
        <v>938</v>
      </c>
      <c r="F39">
        <v>14093</v>
      </c>
    </row>
    <row r="40" spans="1:6" x14ac:dyDescent="0.3">
      <c r="A40" s="1">
        <v>45615</v>
      </c>
      <c r="B40" t="s">
        <v>26</v>
      </c>
      <c r="C40">
        <v>4027</v>
      </c>
      <c r="D40">
        <v>6709</v>
      </c>
      <c r="E40">
        <v>2578</v>
      </c>
      <c r="F40">
        <v>13314</v>
      </c>
    </row>
    <row r="41" spans="1:6" x14ac:dyDescent="0.3">
      <c r="A41" s="1">
        <v>45552</v>
      </c>
      <c r="B41" t="s">
        <v>9</v>
      </c>
      <c r="C41">
        <v>14710</v>
      </c>
      <c r="D41">
        <v>9291</v>
      </c>
      <c r="E41">
        <v>2899</v>
      </c>
      <c r="F41">
        <v>26900</v>
      </c>
    </row>
    <row r="42" spans="1:6" x14ac:dyDescent="0.3">
      <c r="A42" s="1">
        <v>45371</v>
      </c>
      <c r="B42" t="s">
        <v>35</v>
      </c>
      <c r="C42">
        <v>2214</v>
      </c>
      <c r="D42">
        <v>2545</v>
      </c>
      <c r="E42">
        <v>6525</v>
      </c>
      <c r="F42">
        <v>11284</v>
      </c>
    </row>
    <row r="43" spans="1:6" x14ac:dyDescent="0.3">
      <c r="A43" s="1">
        <v>45318</v>
      </c>
      <c r="B43" t="s">
        <v>13</v>
      </c>
      <c r="C43">
        <v>5119</v>
      </c>
      <c r="D43">
        <v>1373</v>
      </c>
      <c r="E43">
        <v>3064</v>
      </c>
      <c r="F43">
        <v>9556</v>
      </c>
    </row>
    <row r="44" spans="1:6" x14ac:dyDescent="0.3">
      <c r="A44" s="1">
        <v>45511</v>
      </c>
      <c r="B44" t="s">
        <v>35</v>
      </c>
      <c r="C44">
        <v>2740</v>
      </c>
      <c r="D44">
        <v>6182</v>
      </c>
      <c r="E44">
        <v>7631</v>
      </c>
      <c r="F44">
        <v>16553</v>
      </c>
    </row>
    <row r="45" spans="1:6" x14ac:dyDescent="0.3">
      <c r="A45" s="1">
        <v>45509</v>
      </c>
      <c r="B45" t="s">
        <v>13</v>
      </c>
      <c r="C45">
        <v>17367</v>
      </c>
      <c r="D45">
        <v>4015</v>
      </c>
      <c r="E45">
        <v>5391</v>
      </c>
      <c r="F45">
        <v>26773</v>
      </c>
    </row>
    <row r="46" spans="1:6" x14ac:dyDescent="0.3">
      <c r="A46" s="1">
        <v>45301</v>
      </c>
      <c r="B46" t="s">
        <v>26</v>
      </c>
      <c r="C46">
        <v>13589</v>
      </c>
      <c r="D46">
        <v>5390</v>
      </c>
      <c r="E46">
        <v>4393</v>
      </c>
      <c r="F46">
        <v>23372</v>
      </c>
    </row>
    <row r="47" spans="1:6" x14ac:dyDescent="0.3">
      <c r="A47" s="1">
        <v>45318</v>
      </c>
      <c r="B47" t="s">
        <v>22</v>
      </c>
      <c r="C47">
        <v>12761</v>
      </c>
      <c r="D47">
        <v>6228</v>
      </c>
      <c r="E47">
        <v>6323</v>
      </c>
      <c r="F47">
        <v>25312</v>
      </c>
    </row>
    <row r="48" spans="1:6" x14ac:dyDescent="0.3">
      <c r="A48" s="1">
        <v>45579</v>
      </c>
      <c r="B48" t="s">
        <v>22</v>
      </c>
      <c r="C48">
        <v>16398</v>
      </c>
      <c r="D48">
        <v>2176</v>
      </c>
      <c r="E48">
        <v>5205</v>
      </c>
      <c r="F48">
        <v>23779</v>
      </c>
    </row>
    <row r="49" spans="1:6" x14ac:dyDescent="0.3">
      <c r="A49" s="1">
        <v>45599</v>
      </c>
      <c r="B49" t="s">
        <v>9</v>
      </c>
      <c r="C49">
        <v>5319</v>
      </c>
      <c r="D49">
        <v>5323</v>
      </c>
      <c r="E49">
        <v>2080</v>
      </c>
      <c r="F49">
        <v>12722</v>
      </c>
    </row>
    <row r="50" spans="1:6" x14ac:dyDescent="0.3">
      <c r="A50" s="1">
        <v>45313</v>
      </c>
      <c r="B50" t="s">
        <v>22</v>
      </c>
      <c r="C50">
        <v>18769</v>
      </c>
      <c r="D50">
        <v>6908</v>
      </c>
      <c r="E50">
        <v>1760</v>
      </c>
      <c r="F50">
        <v>27437</v>
      </c>
    </row>
    <row r="51" spans="1:6" x14ac:dyDescent="0.3">
      <c r="A51" s="1">
        <v>45538</v>
      </c>
      <c r="B51" t="s">
        <v>13</v>
      </c>
      <c r="C51">
        <v>3295</v>
      </c>
      <c r="D51">
        <v>1854</v>
      </c>
      <c r="E51">
        <v>1484</v>
      </c>
      <c r="F51">
        <v>6633</v>
      </c>
    </row>
    <row r="52" spans="1:6" x14ac:dyDescent="0.3">
      <c r="A52" s="1">
        <v>45632</v>
      </c>
      <c r="B52" t="s">
        <v>13</v>
      </c>
      <c r="C52">
        <v>8016</v>
      </c>
      <c r="D52">
        <v>5702</v>
      </c>
      <c r="E52">
        <v>2495</v>
      </c>
      <c r="F52">
        <v>16213</v>
      </c>
    </row>
    <row r="53" spans="1:6" x14ac:dyDescent="0.3">
      <c r="A53" s="1">
        <v>45644</v>
      </c>
      <c r="B53" t="s">
        <v>26</v>
      </c>
      <c r="C53">
        <v>5686</v>
      </c>
      <c r="D53">
        <v>4591</v>
      </c>
      <c r="E53">
        <v>1885</v>
      </c>
      <c r="F53">
        <v>12162</v>
      </c>
    </row>
    <row r="54" spans="1:6" x14ac:dyDescent="0.3">
      <c r="A54" s="1">
        <v>45386</v>
      </c>
      <c r="B54" t="s">
        <v>26</v>
      </c>
      <c r="C54">
        <v>17267</v>
      </c>
      <c r="D54">
        <v>8435</v>
      </c>
      <c r="E54">
        <v>5179</v>
      </c>
      <c r="F54">
        <v>30881</v>
      </c>
    </row>
    <row r="55" spans="1:6" x14ac:dyDescent="0.3">
      <c r="A55" s="1">
        <v>45294</v>
      </c>
      <c r="B55" t="s">
        <v>9</v>
      </c>
      <c r="C55">
        <v>13333</v>
      </c>
      <c r="D55">
        <v>2303</v>
      </c>
      <c r="E55">
        <v>5000</v>
      </c>
      <c r="F55">
        <v>20636</v>
      </c>
    </row>
    <row r="56" spans="1:6" x14ac:dyDescent="0.3">
      <c r="A56" s="1">
        <v>45480</v>
      </c>
      <c r="B56" t="s">
        <v>26</v>
      </c>
      <c r="C56">
        <v>10317</v>
      </c>
      <c r="D56">
        <v>7395</v>
      </c>
      <c r="E56">
        <v>520</v>
      </c>
      <c r="F56">
        <v>18232</v>
      </c>
    </row>
    <row r="57" spans="1:6" x14ac:dyDescent="0.3">
      <c r="A57" s="1">
        <v>45559</v>
      </c>
      <c r="B57" t="s">
        <v>9</v>
      </c>
      <c r="C57">
        <v>18444</v>
      </c>
      <c r="D57">
        <v>9480</v>
      </c>
      <c r="E57">
        <v>5147</v>
      </c>
      <c r="F57">
        <v>33071</v>
      </c>
    </row>
    <row r="58" spans="1:6" x14ac:dyDescent="0.3">
      <c r="A58" s="1">
        <v>45505</v>
      </c>
      <c r="B58" t="s">
        <v>13</v>
      </c>
      <c r="C58">
        <v>6997</v>
      </c>
      <c r="D58">
        <v>2763</v>
      </c>
      <c r="E58">
        <v>7874</v>
      </c>
      <c r="F58">
        <v>17634</v>
      </c>
    </row>
    <row r="59" spans="1:6" x14ac:dyDescent="0.3">
      <c r="A59" s="1">
        <v>45603</v>
      </c>
      <c r="B59" t="s">
        <v>22</v>
      </c>
      <c r="C59">
        <v>6291</v>
      </c>
      <c r="D59">
        <v>7113</v>
      </c>
      <c r="E59">
        <v>5665</v>
      </c>
      <c r="F59">
        <v>19069</v>
      </c>
    </row>
    <row r="60" spans="1:6" x14ac:dyDescent="0.3">
      <c r="A60" s="1">
        <v>45464</v>
      </c>
      <c r="B60" t="s">
        <v>13</v>
      </c>
      <c r="C60">
        <v>7468</v>
      </c>
      <c r="D60">
        <v>9617</v>
      </c>
      <c r="E60">
        <v>1166</v>
      </c>
      <c r="F60">
        <v>18251</v>
      </c>
    </row>
    <row r="61" spans="1:6" x14ac:dyDescent="0.3">
      <c r="A61" s="1">
        <v>45647</v>
      </c>
      <c r="B61" t="s">
        <v>26</v>
      </c>
      <c r="C61">
        <v>7326</v>
      </c>
      <c r="D61">
        <v>9451</v>
      </c>
      <c r="E61">
        <v>3726</v>
      </c>
      <c r="F61">
        <v>20503</v>
      </c>
    </row>
    <row r="62" spans="1:6" x14ac:dyDescent="0.3">
      <c r="A62" s="1">
        <v>45343</v>
      </c>
      <c r="B62" t="s">
        <v>35</v>
      </c>
      <c r="C62">
        <v>19001</v>
      </c>
      <c r="D62">
        <v>9974</v>
      </c>
      <c r="E62">
        <v>3272</v>
      </c>
      <c r="F62">
        <v>32247</v>
      </c>
    </row>
    <row r="63" spans="1:6" x14ac:dyDescent="0.3">
      <c r="A63" s="1">
        <v>45617</v>
      </c>
      <c r="B63" t="s">
        <v>35</v>
      </c>
      <c r="C63">
        <v>16263</v>
      </c>
      <c r="D63">
        <v>3160</v>
      </c>
      <c r="E63">
        <v>5759</v>
      </c>
      <c r="F63">
        <v>25182</v>
      </c>
    </row>
    <row r="64" spans="1:6" x14ac:dyDescent="0.3">
      <c r="A64" s="1">
        <v>45413</v>
      </c>
      <c r="B64" t="s">
        <v>35</v>
      </c>
      <c r="C64">
        <v>7109</v>
      </c>
      <c r="D64">
        <v>5228</v>
      </c>
      <c r="E64">
        <v>4237</v>
      </c>
      <c r="F64">
        <v>16574</v>
      </c>
    </row>
    <row r="65" spans="1:6" x14ac:dyDescent="0.3">
      <c r="A65" s="1">
        <v>45325</v>
      </c>
      <c r="B65" t="s">
        <v>13</v>
      </c>
      <c r="C65">
        <v>18817</v>
      </c>
      <c r="D65">
        <v>9650</v>
      </c>
      <c r="E65">
        <v>732</v>
      </c>
      <c r="F65">
        <v>29199</v>
      </c>
    </row>
    <row r="66" spans="1:6" x14ac:dyDescent="0.3">
      <c r="A66" s="1">
        <v>45517</v>
      </c>
      <c r="B66" t="s">
        <v>35</v>
      </c>
      <c r="C66">
        <v>7958</v>
      </c>
      <c r="D66">
        <v>3976</v>
      </c>
      <c r="E66">
        <v>6363</v>
      </c>
      <c r="F66">
        <v>18297</v>
      </c>
    </row>
    <row r="67" spans="1:6" x14ac:dyDescent="0.3">
      <c r="A67" s="1">
        <v>45296</v>
      </c>
      <c r="B67" t="s">
        <v>22</v>
      </c>
      <c r="C67">
        <v>10548</v>
      </c>
      <c r="D67">
        <v>4568</v>
      </c>
      <c r="E67">
        <v>4785</v>
      </c>
      <c r="F67">
        <v>19901</v>
      </c>
    </row>
    <row r="68" spans="1:6" x14ac:dyDescent="0.3">
      <c r="A68" s="1">
        <v>45640</v>
      </c>
      <c r="B68" t="s">
        <v>9</v>
      </c>
      <c r="C68">
        <v>3639</v>
      </c>
      <c r="D68">
        <v>6991</v>
      </c>
      <c r="E68">
        <v>3130</v>
      </c>
      <c r="F68">
        <v>13760</v>
      </c>
    </row>
    <row r="69" spans="1:6" x14ac:dyDescent="0.3">
      <c r="A69" s="1">
        <v>45432</v>
      </c>
      <c r="B69" t="s">
        <v>26</v>
      </c>
      <c r="C69">
        <v>15479</v>
      </c>
      <c r="D69">
        <v>4793</v>
      </c>
      <c r="E69">
        <v>1502</v>
      </c>
      <c r="F69">
        <v>21774</v>
      </c>
    </row>
    <row r="70" spans="1:6" x14ac:dyDescent="0.3">
      <c r="A70" s="1">
        <v>45608</v>
      </c>
      <c r="B70" t="s">
        <v>35</v>
      </c>
      <c r="C70">
        <v>8267</v>
      </c>
      <c r="D70">
        <v>3043</v>
      </c>
      <c r="E70">
        <v>4045</v>
      </c>
      <c r="F70">
        <v>15355</v>
      </c>
    </row>
    <row r="71" spans="1:6" x14ac:dyDescent="0.3">
      <c r="A71" s="1">
        <v>45618</v>
      </c>
      <c r="B71" t="s">
        <v>9</v>
      </c>
      <c r="C71">
        <v>8664</v>
      </c>
      <c r="D71">
        <v>2895</v>
      </c>
      <c r="E71">
        <v>4470</v>
      </c>
      <c r="F71">
        <v>16029</v>
      </c>
    </row>
    <row r="72" spans="1:6" x14ac:dyDescent="0.3">
      <c r="A72" s="1">
        <v>45452</v>
      </c>
      <c r="B72" t="s">
        <v>13</v>
      </c>
      <c r="C72">
        <v>5885</v>
      </c>
      <c r="D72">
        <v>7150</v>
      </c>
      <c r="E72">
        <v>7578</v>
      </c>
      <c r="F72">
        <v>20613</v>
      </c>
    </row>
    <row r="73" spans="1:6" x14ac:dyDescent="0.3">
      <c r="A73" s="1">
        <v>45584</v>
      </c>
      <c r="B73" t="s">
        <v>22</v>
      </c>
      <c r="C73">
        <v>10338</v>
      </c>
      <c r="D73">
        <v>9088</v>
      </c>
      <c r="E73">
        <v>1155</v>
      </c>
      <c r="F73">
        <v>20581</v>
      </c>
    </row>
    <row r="74" spans="1:6" x14ac:dyDescent="0.3">
      <c r="A74" s="1">
        <v>45618</v>
      </c>
      <c r="B74" t="s">
        <v>22</v>
      </c>
      <c r="C74">
        <v>16930</v>
      </c>
      <c r="D74">
        <v>8481</v>
      </c>
      <c r="E74">
        <v>6598</v>
      </c>
      <c r="F74">
        <v>32009</v>
      </c>
    </row>
    <row r="75" spans="1:6" x14ac:dyDescent="0.3">
      <c r="A75" s="1">
        <v>45449</v>
      </c>
      <c r="B75" t="s">
        <v>26</v>
      </c>
      <c r="C75">
        <v>13886</v>
      </c>
      <c r="D75">
        <v>7753</v>
      </c>
      <c r="E75">
        <v>1733</v>
      </c>
      <c r="F75">
        <v>23372</v>
      </c>
    </row>
    <row r="76" spans="1:6" x14ac:dyDescent="0.3">
      <c r="A76" s="1">
        <v>45444</v>
      </c>
      <c r="B76" t="s">
        <v>22</v>
      </c>
      <c r="C76">
        <v>8084</v>
      </c>
      <c r="D76">
        <v>6502</v>
      </c>
      <c r="E76">
        <v>4276</v>
      </c>
      <c r="F76">
        <v>18862</v>
      </c>
    </row>
    <row r="77" spans="1:6" x14ac:dyDescent="0.3">
      <c r="A77" s="1">
        <v>45333</v>
      </c>
      <c r="B77" t="s">
        <v>35</v>
      </c>
      <c r="C77">
        <v>5581</v>
      </c>
      <c r="D77">
        <v>2482</v>
      </c>
      <c r="E77">
        <v>5711</v>
      </c>
      <c r="F77">
        <v>13774</v>
      </c>
    </row>
    <row r="78" spans="1:6" x14ac:dyDescent="0.3">
      <c r="A78" s="1">
        <v>45609</v>
      </c>
      <c r="B78" t="s">
        <v>22</v>
      </c>
      <c r="C78">
        <v>14574</v>
      </c>
      <c r="D78">
        <v>6534</v>
      </c>
      <c r="E78">
        <v>3103</v>
      </c>
      <c r="F78">
        <v>24211</v>
      </c>
    </row>
    <row r="79" spans="1:6" x14ac:dyDescent="0.3">
      <c r="A79" s="1">
        <v>45368</v>
      </c>
      <c r="B79" t="s">
        <v>9</v>
      </c>
      <c r="C79">
        <v>18061</v>
      </c>
      <c r="D79">
        <v>9153</v>
      </c>
      <c r="E79">
        <v>6683</v>
      </c>
      <c r="F79">
        <v>33897</v>
      </c>
    </row>
    <row r="80" spans="1:6" x14ac:dyDescent="0.3">
      <c r="A80" s="1">
        <v>45293</v>
      </c>
      <c r="B80" t="s">
        <v>22</v>
      </c>
      <c r="C80">
        <v>2388</v>
      </c>
      <c r="D80">
        <v>4723</v>
      </c>
      <c r="E80">
        <v>2010</v>
      </c>
      <c r="F80">
        <v>9121</v>
      </c>
    </row>
    <row r="81" spans="1:6" x14ac:dyDescent="0.3">
      <c r="A81" s="1">
        <v>45509</v>
      </c>
      <c r="B81" t="s">
        <v>22</v>
      </c>
      <c r="C81">
        <v>5088</v>
      </c>
      <c r="D81">
        <v>9864</v>
      </c>
      <c r="E81">
        <v>4035</v>
      </c>
      <c r="F81">
        <v>18987</v>
      </c>
    </row>
    <row r="82" spans="1:6" x14ac:dyDescent="0.3">
      <c r="A82" s="1">
        <v>45456</v>
      </c>
      <c r="B82" t="s">
        <v>35</v>
      </c>
      <c r="C82">
        <v>8650</v>
      </c>
      <c r="D82">
        <v>1774</v>
      </c>
      <c r="E82">
        <v>5426</v>
      </c>
      <c r="F82">
        <v>15850</v>
      </c>
    </row>
    <row r="83" spans="1:6" x14ac:dyDescent="0.3">
      <c r="A83" s="1">
        <v>45346</v>
      </c>
      <c r="B83" t="s">
        <v>9</v>
      </c>
      <c r="C83">
        <v>7918</v>
      </c>
      <c r="D83">
        <v>5503</v>
      </c>
      <c r="E83">
        <v>7791</v>
      </c>
      <c r="F83">
        <v>21212</v>
      </c>
    </row>
    <row r="84" spans="1:6" x14ac:dyDescent="0.3">
      <c r="A84" s="1">
        <v>45559</v>
      </c>
      <c r="B84" t="s">
        <v>22</v>
      </c>
      <c r="C84">
        <v>17824</v>
      </c>
      <c r="D84">
        <v>6817</v>
      </c>
      <c r="E84">
        <v>655</v>
      </c>
      <c r="F84">
        <v>25296</v>
      </c>
    </row>
    <row r="85" spans="1:6" x14ac:dyDescent="0.3">
      <c r="A85" s="1">
        <v>45296</v>
      </c>
      <c r="B85" t="s">
        <v>9</v>
      </c>
      <c r="C85">
        <v>15209</v>
      </c>
      <c r="D85">
        <v>4709</v>
      </c>
      <c r="E85">
        <v>942</v>
      </c>
      <c r="F85">
        <v>20860</v>
      </c>
    </row>
    <row r="86" spans="1:6" x14ac:dyDescent="0.3">
      <c r="A86" s="1">
        <v>45605</v>
      </c>
      <c r="B86" t="s">
        <v>26</v>
      </c>
      <c r="C86">
        <v>6858</v>
      </c>
      <c r="D86">
        <v>1211</v>
      </c>
      <c r="E86">
        <v>6613</v>
      </c>
      <c r="F86">
        <v>14682</v>
      </c>
    </row>
    <row r="87" spans="1:6" x14ac:dyDescent="0.3">
      <c r="A87" s="1">
        <v>45424</v>
      </c>
      <c r="B87" t="s">
        <v>13</v>
      </c>
      <c r="C87">
        <v>14280</v>
      </c>
      <c r="D87">
        <v>1963</v>
      </c>
      <c r="E87">
        <v>4120</v>
      </c>
      <c r="F87">
        <v>20363</v>
      </c>
    </row>
    <row r="88" spans="1:6" x14ac:dyDescent="0.3">
      <c r="A88" s="1">
        <v>45504</v>
      </c>
      <c r="B88" t="s">
        <v>13</v>
      </c>
      <c r="C88">
        <v>3628</v>
      </c>
      <c r="D88">
        <v>2518</v>
      </c>
      <c r="E88">
        <v>5058</v>
      </c>
      <c r="F88">
        <v>11204</v>
      </c>
    </row>
    <row r="89" spans="1:6" x14ac:dyDescent="0.3">
      <c r="A89" s="1">
        <v>45591</v>
      </c>
      <c r="B89" t="s">
        <v>26</v>
      </c>
      <c r="C89">
        <v>9026</v>
      </c>
      <c r="D89">
        <v>7107</v>
      </c>
      <c r="E89">
        <v>3592</v>
      </c>
      <c r="F89">
        <v>19725</v>
      </c>
    </row>
    <row r="90" spans="1:6" x14ac:dyDescent="0.3">
      <c r="A90" s="1">
        <v>45491</v>
      </c>
      <c r="B90" t="s">
        <v>26</v>
      </c>
      <c r="C90">
        <v>3539</v>
      </c>
      <c r="D90">
        <v>9511</v>
      </c>
      <c r="E90">
        <v>5945</v>
      </c>
      <c r="F90">
        <v>18995</v>
      </c>
    </row>
    <row r="91" spans="1:6" x14ac:dyDescent="0.3">
      <c r="A91" s="1">
        <v>45456</v>
      </c>
      <c r="B91" t="s">
        <v>22</v>
      </c>
      <c r="C91">
        <v>12935</v>
      </c>
      <c r="D91">
        <v>1910</v>
      </c>
      <c r="E91">
        <v>2029</v>
      </c>
      <c r="F91">
        <v>16874</v>
      </c>
    </row>
    <row r="92" spans="1:6" x14ac:dyDescent="0.3">
      <c r="A92" s="1">
        <v>45634</v>
      </c>
      <c r="B92" t="s">
        <v>9</v>
      </c>
      <c r="C92">
        <v>12935</v>
      </c>
      <c r="D92">
        <v>8399</v>
      </c>
      <c r="E92">
        <v>4354</v>
      </c>
      <c r="F92">
        <v>25688</v>
      </c>
    </row>
    <row r="93" spans="1:6" x14ac:dyDescent="0.3">
      <c r="A93" s="1">
        <v>45565</v>
      </c>
      <c r="B93" t="s">
        <v>35</v>
      </c>
      <c r="C93">
        <v>2069</v>
      </c>
      <c r="D93">
        <v>9866</v>
      </c>
      <c r="E93">
        <v>2209</v>
      </c>
      <c r="F93">
        <v>14144</v>
      </c>
    </row>
    <row r="94" spans="1:6" x14ac:dyDescent="0.3">
      <c r="A94" s="1">
        <v>45654</v>
      </c>
      <c r="B94" t="s">
        <v>9</v>
      </c>
      <c r="C94">
        <v>7572</v>
      </c>
      <c r="D94">
        <v>7484</v>
      </c>
      <c r="E94">
        <v>4360</v>
      </c>
      <c r="F94">
        <v>19416</v>
      </c>
    </row>
    <row r="95" spans="1:6" x14ac:dyDescent="0.3">
      <c r="A95" s="1">
        <v>45652</v>
      </c>
      <c r="B95" t="s">
        <v>22</v>
      </c>
      <c r="C95">
        <v>8863</v>
      </c>
      <c r="D95">
        <v>6242</v>
      </c>
      <c r="E95">
        <v>6380</v>
      </c>
      <c r="F95">
        <v>21485</v>
      </c>
    </row>
    <row r="96" spans="1:6" x14ac:dyDescent="0.3">
      <c r="A96" s="1">
        <v>45443</v>
      </c>
      <c r="B96" t="s">
        <v>26</v>
      </c>
      <c r="C96">
        <v>9283</v>
      </c>
      <c r="D96">
        <v>7573</v>
      </c>
      <c r="E96">
        <v>4134</v>
      </c>
      <c r="F96">
        <v>20990</v>
      </c>
    </row>
    <row r="97" spans="1:6" x14ac:dyDescent="0.3">
      <c r="A97" s="1">
        <v>45623</v>
      </c>
      <c r="B97" t="s">
        <v>35</v>
      </c>
      <c r="C97">
        <v>11324</v>
      </c>
      <c r="D97">
        <v>3252</v>
      </c>
      <c r="E97">
        <v>3092</v>
      </c>
      <c r="F97">
        <v>17668</v>
      </c>
    </row>
    <row r="98" spans="1:6" x14ac:dyDescent="0.3">
      <c r="A98" s="1">
        <v>45391</v>
      </c>
      <c r="B98" t="s">
        <v>22</v>
      </c>
      <c r="C98">
        <v>6947</v>
      </c>
      <c r="D98">
        <v>6649</v>
      </c>
      <c r="E98">
        <v>5703</v>
      </c>
      <c r="F98">
        <v>19299</v>
      </c>
    </row>
    <row r="99" spans="1:6" x14ac:dyDescent="0.3">
      <c r="A99" s="1">
        <v>45618</v>
      </c>
      <c r="B99" t="s">
        <v>35</v>
      </c>
      <c r="C99">
        <v>9961</v>
      </c>
      <c r="D99">
        <v>8747</v>
      </c>
      <c r="E99">
        <v>3536</v>
      </c>
      <c r="F99">
        <v>22244</v>
      </c>
    </row>
    <row r="100" spans="1:6" x14ac:dyDescent="0.3">
      <c r="A100" s="1">
        <v>45366</v>
      </c>
      <c r="B100" t="s">
        <v>35</v>
      </c>
      <c r="C100">
        <v>11970</v>
      </c>
      <c r="D100">
        <v>2415</v>
      </c>
      <c r="E100">
        <v>3120</v>
      </c>
      <c r="F100">
        <v>17505</v>
      </c>
    </row>
    <row r="101" spans="1:6" x14ac:dyDescent="0.3">
      <c r="A101" s="1">
        <v>45565</v>
      </c>
      <c r="B101" t="s">
        <v>9</v>
      </c>
      <c r="C101">
        <v>18469</v>
      </c>
      <c r="D101">
        <v>4905</v>
      </c>
      <c r="E101">
        <v>5634</v>
      </c>
      <c r="F101">
        <v>29008</v>
      </c>
    </row>
    <row r="102" spans="1:6" x14ac:dyDescent="0.3">
      <c r="A102" s="1">
        <v>45632</v>
      </c>
      <c r="B102" t="s">
        <v>13</v>
      </c>
      <c r="C102">
        <v>3595</v>
      </c>
      <c r="D102">
        <v>1771</v>
      </c>
      <c r="E102">
        <v>4740</v>
      </c>
      <c r="F102">
        <v>10106</v>
      </c>
    </row>
    <row r="103" spans="1:6" x14ac:dyDescent="0.3">
      <c r="A103" s="1">
        <v>45635</v>
      </c>
      <c r="B103" t="s">
        <v>22</v>
      </c>
      <c r="C103">
        <v>15960</v>
      </c>
      <c r="D103">
        <v>2129</v>
      </c>
      <c r="E103">
        <v>3212</v>
      </c>
      <c r="F103">
        <v>21301</v>
      </c>
    </row>
    <row r="104" spans="1:6" x14ac:dyDescent="0.3">
      <c r="A104" s="1">
        <v>45536</v>
      </c>
      <c r="B104" t="s">
        <v>9</v>
      </c>
      <c r="C104">
        <v>4185</v>
      </c>
      <c r="D104">
        <v>6781</v>
      </c>
      <c r="E104">
        <v>2273</v>
      </c>
      <c r="F104">
        <v>13239</v>
      </c>
    </row>
    <row r="105" spans="1:6" x14ac:dyDescent="0.3">
      <c r="A105" s="1">
        <v>45318</v>
      </c>
      <c r="B105" t="s">
        <v>26</v>
      </c>
      <c r="C105">
        <v>18918</v>
      </c>
      <c r="D105">
        <v>5894</v>
      </c>
      <c r="E105">
        <v>6775</v>
      </c>
      <c r="F105">
        <v>31587</v>
      </c>
    </row>
    <row r="106" spans="1:6" x14ac:dyDescent="0.3">
      <c r="A106" s="1">
        <v>45414</v>
      </c>
      <c r="B106" t="s">
        <v>13</v>
      </c>
      <c r="C106">
        <v>13060</v>
      </c>
      <c r="D106">
        <v>8051</v>
      </c>
      <c r="E106">
        <v>6126</v>
      </c>
      <c r="F106">
        <v>27237</v>
      </c>
    </row>
    <row r="107" spans="1:6" x14ac:dyDescent="0.3">
      <c r="A107" s="1">
        <v>45395</v>
      </c>
      <c r="B107" t="s">
        <v>13</v>
      </c>
      <c r="C107">
        <v>19443</v>
      </c>
      <c r="D107">
        <v>6226</v>
      </c>
      <c r="E107">
        <v>2689</v>
      </c>
      <c r="F107">
        <v>28358</v>
      </c>
    </row>
    <row r="108" spans="1:6" x14ac:dyDescent="0.3">
      <c r="A108" s="1">
        <v>45418</v>
      </c>
      <c r="B108" t="s">
        <v>13</v>
      </c>
      <c r="C108">
        <v>7664</v>
      </c>
      <c r="D108">
        <v>5730</v>
      </c>
      <c r="E108">
        <v>6916</v>
      </c>
      <c r="F108">
        <v>20310</v>
      </c>
    </row>
    <row r="109" spans="1:6" x14ac:dyDescent="0.3">
      <c r="A109" s="1">
        <v>45491</v>
      </c>
      <c r="B109" t="s">
        <v>22</v>
      </c>
      <c r="C109">
        <v>16617</v>
      </c>
      <c r="D109">
        <v>6171</v>
      </c>
      <c r="E109">
        <v>3825</v>
      </c>
      <c r="F109">
        <v>26613</v>
      </c>
    </row>
    <row r="110" spans="1:6" x14ac:dyDescent="0.3">
      <c r="A110" s="1">
        <v>45642</v>
      </c>
      <c r="B110" t="s">
        <v>35</v>
      </c>
      <c r="C110">
        <v>16501</v>
      </c>
      <c r="D110">
        <v>8333</v>
      </c>
      <c r="E110">
        <v>6691</v>
      </c>
      <c r="F110">
        <v>31525</v>
      </c>
    </row>
    <row r="111" spans="1:6" x14ac:dyDescent="0.3">
      <c r="A111" s="1">
        <v>45324</v>
      </c>
      <c r="B111" t="s">
        <v>13</v>
      </c>
      <c r="C111">
        <v>11060</v>
      </c>
      <c r="D111">
        <v>8123</v>
      </c>
      <c r="E111">
        <v>4660</v>
      </c>
      <c r="F111">
        <v>23843</v>
      </c>
    </row>
    <row r="112" spans="1:6" x14ac:dyDescent="0.3">
      <c r="A112" s="1">
        <v>45404</v>
      </c>
      <c r="B112" t="s">
        <v>26</v>
      </c>
      <c r="C112">
        <v>6271</v>
      </c>
      <c r="D112">
        <v>8245</v>
      </c>
      <c r="E112">
        <v>2243</v>
      </c>
      <c r="F112">
        <v>16759</v>
      </c>
    </row>
    <row r="113" spans="1:6" x14ac:dyDescent="0.3">
      <c r="A113" s="1">
        <v>45389</v>
      </c>
      <c r="B113" t="s">
        <v>26</v>
      </c>
      <c r="C113">
        <v>10059</v>
      </c>
      <c r="D113">
        <v>6498</v>
      </c>
      <c r="E113">
        <v>7373</v>
      </c>
      <c r="F113">
        <v>23930</v>
      </c>
    </row>
    <row r="114" spans="1:6" x14ac:dyDescent="0.3">
      <c r="A114" s="1">
        <v>45433</v>
      </c>
      <c r="B114" t="s">
        <v>26</v>
      </c>
      <c r="C114">
        <v>14193</v>
      </c>
      <c r="D114">
        <v>9522</v>
      </c>
      <c r="E114">
        <v>6618</v>
      </c>
      <c r="F114">
        <v>30333</v>
      </c>
    </row>
    <row r="115" spans="1:6" x14ac:dyDescent="0.3">
      <c r="A115" s="1">
        <v>45545</v>
      </c>
      <c r="B115" t="s">
        <v>22</v>
      </c>
      <c r="C115">
        <v>13177</v>
      </c>
      <c r="D115">
        <v>4838</v>
      </c>
      <c r="E115">
        <v>3811</v>
      </c>
      <c r="F115">
        <v>21826</v>
      </c>
    </row>
    <row r="116" spans="1:6" x14ac:dyDescent="0.3">
      <c r="A116" s="1">
        <v>45605</v>
      </c>
      <c r="B116" t="s">
        <v>13</v>
      </c>
      <c r="C116">
        <v>16061</v>
      </c>
      <c r="D116">
        <v>8460</v>
      </c>
      <c r="E116">
        <v>4776</v>
      </c>
      <c r="F116">
        <v>29297</v>
      </c>
    </row>
    <row r="117" spans="1:6" x14ac:dyDescent="0.3">
      <c r="A117" s="1">
        <v>45539</v>
      </c>
      <c r="B117" t="s">
        <v>35</v>
      </c>
      <c r="C117">
        <v>13016</v>
      </c>
      <c r="D117">
        <v>5361</v>
      </c>
      <c r="E117">
        <v>4313</v>
      </c>
      <c r="F117">
        <v>22690</v>
      </c>
    </row>
    <row r="118" spans="1:6" x14ac:dyDescent="0.3">
      <c r="A118" s="1">
        <v>45636</v>
      </c>
      <c r="B118" t="s">
        <v>13</v>
      </c>
      <c r="C118">
        <v>4244</v>
      </c>
      <c r="D118">
        <v>5777</v>
      </c>
      <c r="E118">
        <v>807</v>
      </c>
      <c r="F118">
        <v>10828</v>
      </c>
    </row>
    <row r="119" spans="1:6" x14ac:dyDescent="0.3">
      <c r="A119" s="1">
        <v>45552</v>
      </c>
      <c r="B119" t="s">
        <v>35</v>
      </c>
      <c r="C119">
        <v>8927</v>
      </c>
      <c r="D119">
        <v>9577</v>
      </c>
      <c r="E119">
        <v>3965</v>
      </c>
      <c r="F119">
        <v>22469</v>
      </c>
    </row>
    <row r="120" spans="1:6" x14ac:dyDescent="0.3">
      <c r="A120" s="1">
        <v>45427</v>
      </c>
      <c r="B120" t="s">
        <v>22</v>
      </c>
      <c r="C120">
        <v>9581</v>
      </c>
      <c r="D120">
        <v>1047</v>
      </c>
      <c r="E120">
        <v>4037</v>
      </c>
      <c r="F120">
        <v>14665</v>
      </c>
    </row>
    <row r="121" spans="1:6" x14ac:dyDescent="0.3">
      <c r="A121" s="1">
        <v>45380</v>
      </c>
      <c r="B121" t="s">
        <v>35</v>
      </c>
      <c r="C121">
        <v>7255</v>
      </c>
      <c r="D121">
        <v>7890</v>
      </c>
      <c r="E121">
        <v>5751</v>
      </c>
      <c r="F121">
        <v>20896</v>
      </c>
    </row>
    <row r="122" spans="1:6" x14ac:dyDescent="0.3">
      <c r="A122" s="1">
        <v>45303</v>
      </c>
      <c r="B122" t="s">
        <v>9</v>
      </c>
      <c r="C122">
        <v>9657</v>
      </c>
      <c r="D122">
        <v>6375</v>
      </c>
      <c r="E122">
        <v>4203</v>
      </c>
      <c r="F122">
        <v>20235</v>
      </c>
    </row>
    <row r="123" spans="1:6" x14ac:dyDescent="0.3">
      <c r="A123" s="1">
        <v>45320</v>
      </c>
      <c r="B123" t="s">
        <v>22</v>
      </c>
      <c r="C123">
        <v>15458</v>
      </c>
      <c r="D123">
        <v>2911</v>
      </c>
      <c r="E123">
        <v>2411</v>
      </c>
      <c r="F123">
        <v>20780</v>
      </c>
    </row>
    <row r="124" spans="1:6" x14ac:dyDescent="0.3">
      <c r="A124" s="1">
        <v>45620</v>
      </c>
      <c r="B124" t="s">
        <v>22</v>
      </c>
      <c r="C124">
        <v>19904</v>
      </c>
      <c r="D124">
        <v>9481</v>
      </c>
      <c r="E124">
        <v>2034</v>
      </c>
      <c r="F124">
        <v>31419</v>
      </c>
    </row>
    <row r="125" spans="1:6" x14ac:dyDescent="0.3">
      <c r="A125" s="1">
        <v>45586</v>
      </c>
      <c r="B125" t="s">
        <v>35</v>
      </c>
      <c r="C125">
        <v>18480</v>
      </c>
      <c r="D125">
        <v>6380</v>
      </c>
      <c r="E125">
        <v>3979</v>
      </c>
      <c r="F125">
        <v>28839</v>
      </c>
    </row>
    <row r="126" spans="1:6" x14ac:dyDescent="0.3">
      <c r="A126" s="1">
        <v>45534</v>
      </c>
      <c r="B126" t="s">
        <v>26</v>
      </c>
      <c r="C126">
        <v>19757</v>
      </c>
      <c r="D126">
        <v>1233</v>
      </c>
      <c r="E126">
        <v>4530</v>
      </c>
      <c r="F126">
        <v>25520</v>
      </c>
    </row>
    <row r="127" spans="1:6" x14ac:dyDescent="0.3">
      <c r="A127" s="1">
        <v>45436</v>
      </c>
      <c r="B127" t="s">
        <v>22</v>
      </c>
      <c r="C127">
        <v>8466</v>
      </c>
      <c r="D127">
        <v>2156</v>
      </c>
      <c r="E127">
        <v>2804</v>
      </c>
      <c r="F127">
        <v>13426</v>
      </c>
    </row>
    <row r="128" spans="1:6" x14ac:dyDescent="0.3">
      <c r="A128" s="1">
        <v>45292</v>
      </c>
      <c r="B128" t="s">
        <v>35</v>
      </c>
      <c r="C128">
        <v>15652</v>
      </c>
      <c r="D128">
        <v>3324</v>
      </c>
      <c r="E128">
        <v>7220</v>
      </c>
      <c r="F128">
        <v>26196</v>
      </c>
    </row>
    <row r="129" spans="1:6" x14ac:dyDescent="0.3">
      <c r="A129" s="1">
        <v>45529</v>
      </c>
      <c r="B129" t="s">
        <v>9</v>
      </c>
      <c r="C129">
        <v>6181</v>
      </c>
      <c r="D129">
        <v>5161</v>
      </c>
      <c r="E129">
        <v>6122</v>
      </c>
      <c r="F129">
        <v>17464</v>
      </c>
    </row>
    <row r="130" spans="1:6" x14ac:dyDescent="0.3">
      <c r="A130" s="1">
        <v>45644</v>
      </c>
      <c r="B130" t="s">
        <v>26</v>
      </c>
      <c r="C130">
        <v>10538</v>
      </c>
      <c r="D130">
        <v>4221</v>
      </c>
      <c r="E130">
        <v>1680</v>
      </c>
      <c r="F130">
        <v>16439</v>
      </c>
    </row>
    <row r="131" spans="1:6" x14ac:dyDescent="0.3">
      <c r="A131" s="1">
        <v>45618</v>
      </c>
      <c r="B131" t="s">
        <v>13</v>
      </c>
      <c r="C131">
        <v>14167</v>
      </c>
      <c r="D131">
        <v>1183</v>
      </c>
      <c r="E131">
        <v>3905</v>
      </c>
      <c r="F131">
        <v>19255</v>
      </c>
    </row>
    <row r="132" spans="1:6" x14ac:dyDescent="0.3">
      <c r="A132" s="1">
        <v>45616</v>
      </c>
      <c r="B132" t="s">
        <v>22</v>
      </c>
      <c r="C132">
        <v>7978</v>
      </c>
      <c r="D132">
        <v>1507</v>
      </c>
      <c r="E132">
        <v>7750</v>
      </c>
      <c r="F132">
        <v>17235</v>
      </c>
    </row>
    <row r="133" spans="1:6" x14ac:dyDescent="0.3">
      <c r="A133" s="1">
        <v>45370</v>
      </c>
      <c r="B133" t="s">
        <v>22</v>
      </c>
      <c r="C133">
        <v>6496</v>
      </c>
      <c r="D133">
        <v>6605</v>
      </c>
      <c r="E133">
        <v>4474</v>
      </c>
      <c r="F133">
        <v>17575</v>
      </c>
    </row>
    <row r="134" spans="1:6" x14ac:dyDescent="0.3">
      <c r="A134" s="1">
        <v>45581</v>
      </c>
      <c r="B134" t="s">
        <v>35</v>
      </c>
      <c r="C134">
        <v>2315</v>
      </c>
      <c r="D134">
        <v>5479</v>
      </c>
      <c r="E134">
        <v>7406</v>
      </c>
      <c r="F134">
        <v>15200</v>
      </c>
    </row>
    <row r="135" spans="1:6" x14ac:dyDescent="0.3">
      <c r="A135" s="1">
        <v>45583</v>
      </c>
      <c r="B135" t="s">
        <v>26</v>
      </c>
      <c r="C135">
        <v>9757</v>
      </c>
      <c r="D135">
        <v>3790</v>
      </c>
      <c r="E135">
        <v>5396</v>
      </c>
      <c r="F135">
        <v>18943</v>
      </c>
    </row>
    <row r="136" spans="1:6" x14ac:dyDescent="0.3">
      <c r="A136" s="1">
        <v>45498</v>
      </c>
      <c r="B136" t="s">
        <v>13</v>
      </c>
      <c r="C136">
        <v>16473</v>
      </c>
      <c r="D136">
        <v>4828</v>
      </c>
      <c r="E136">
        <v>5069</v>
      </c>
      <c r="F136">
        <v>26370</v>
      </c>
    </row>
    <row r="137" spans="1:6" x14ac:dyDescent="0.3">
      <c r="A137" s="1">
        <v>45619</v>
      </c>
      <c r="B137" t="s">
        <v>22</v>
      </c>
      <c r="C137">
        <v>12067</v>
      </c>
      <c r="D137">
        <v>9714</v>
      </c>
      <c r="E137">
        <v>1543</v>
      </c>
      <c r="F137">
        <v>23324</v>
      </c>
    </row>
    <row r="138" spans="1:6" x14ac:dyDescent="0.3">
      <c r="A138" s="1">
        <v>45552</v>
      </c>
      <c r="B138" t="s">
        <v>9</v>
      </c>
      <c r="C138">
        <v>19935</v>
      </c>
      <c r="D138">
        <v>4834</v>
      </c>
      <c r="E138">
        <v>1213</v>
      </c>
      <c r="F138">
        <v>25982</v>
      </c>
    </row>
    <row r="139" spans="1:6" x14ac:dyDescent="0.3">
      <c r="A139" s="1">
        <v>45456</v>
      </c>
      <c r="B139" t="s">
        <v>13</v>
      </c>
      <c r="C139">
        <v>13175</v>
      </c>
      <c r="D139">
        <v>8359</v>
      </c>
      <c r="E139">
        <v>7088</v>
      </c>
      <c r="F139">
        <v>28622</v>
      </c>
    </row>
    <row r="140" spans="1:6" x14ac:dyDescent="0.3">
      <c r="A140" s="1">
        <v>45329</v>
      </c>
      <c r="B140" t="s">
        <v>22</v>
      </c>
      <c r="C140">
        <v>13617</v>
      </c>
      <c r="D140">
        <v>8537</v>
      </c>
      <c r="E140">
        <v>6439</v>
      </c>
      <c r="F140">
        <v>28593</v>
      </c>
    </row>
    <row r="141" spans="1:6" x14ac:dyDescent="0.3">
      <c r="A141" s="1">
        <v>45378</v>
      </c>
      <c r="B141" t="s">
        <v>9</v>
      </c>
      <c r="C141">
        <v>10697</v>
      </c>
      <c r="D141">
        <v>4002</v>
      </c>
      <c r="E141">
        <v>3525</v>
      </c>
      <c r="F141">
        <v>18224</v>
      </c>
    </row>
    <row r="142" spans="1:6" x14ac:dyDescent="0.3">
      <c r="A142" s="1">
        <v>45392</v>
      </c>
      <c r="B142" t="s">
        <v>9</v>
      </c>
      <c r="C142">
        <v>15907</v>
      </c>
      <c r="D142">
        <v>7009</v>
      </c>
      <c r="E142">
        <v>6044</v>
      </c>
      <c r="F142">
        <v>28960</v>
      </c>
    </row>
    <row r="143" spans="1:6" x14ac:dyDescent="0.3">
      <c r="A143" s="1">
        <v>45555</v>
      </c>
      <c r="B143" t="s">
        <v>13</v>
      </c>
      <c r="C143">
        <v>13467</v>
      </c>
      <c r="D143">
        <v>3383</v>
      </c>
      <c r="E143">
        <v>5580</v>
      </c>
      <c r="F143">
        <v>22430</v>
      </c>
    </row>
    <row r="144" spans="1:6" x14ac:dyDescent="0.3">
      <c r="A144" s="1">
        <v>45607</v>
      </c>
      <c r="B144" t="s">
        <v>22</v>
      </c>
      <c r="C144">
        <v>14216</v>
      </c>
      <c r="D144">
        <v>4661</v>
      </c>
      <c r="E144">
        <v>2496</v>
      </c>
      <c r="F144">
        <v>21373</v>
      </c>
    </row>
    <row r="145" spans="1:6" x14ac:dyDescent="0.3">
      <c r="A145" s="1">
        <v>45388</v>
      </c>
      <c r="B145" t="s">
        <v>22</v>
      </c>
      <c r="C145">
        <v>12150</v>
      </c>
      <c r="D145">
        <v>6856</v>
      </c>
      <c r="E145">
        <v>640</v>
      </c>
      <c r="F145">
        <v>19646</v>
      </c>
    </row>
    <row r="146" spans="1:6" x14ac:dyDescent="0.3">
      <c r="A146" s="1">
        <v>45510</v>
      </c>
      <c r="B146" t="s">
        <v>22</v>
      </c>
      <c r="C146">
        <v>4703</v>
      </c>
      <c r="D146">
        <v>9983</v>
      </c>
      <c r="E146">
        <v>4704</v>
      </c>
      <c r="F146">
        <v>19390</v>
      </c>
    </row>
    <row r="147" spans="1:6" x14ac:dyDescent="0.3">
      <c r="A147" s="1">
        <v>45538</v>
      </c>
      <c r="B147" t="s">
        <v>35</v>
      </c>
      <c r="C147">
        <v>3748</v>
      </c>
      <c r="D147">
        <v>3353</v>
      </c>
      <c r="E147">
        <v>5006</v>
      </c>
      <c r="F147">
        <v>12107</v>
      </c>
    </row>
    <row r="148" spans="1:6" x14ac:dyDescent="0.3">
      <c r="A148" s="1">
        <v>45418</v>
      </c>
      <c r="B148" t="s">
        <v>22</v>
      </c>
      <c r="C148">
        <v>9186</v>
      </c>
      <c r="D148">
        <v>8666</v>
      </c>
      <c r="E148">
        <v>7736</v>
      </c>
      <c r="F148">
        <v>25588</v>
      </c>
    </row>
    <row r="149" spans="1:6" x14ac:dyDescent="0.3">
      <c r="A149" s="1">
        <v>45429</v>
      </c>
      <c r="B149" t="s">
        <v>35</v>
      </c>
      <c r="C149">
        <v>5087</v>
      </c>
      <c r="D149">
        <v>1369</v>
      </c>
      <c r="E149">
        <v>646</v>
      </c>
      <c r="F149">
        <v>7102</v>
      </c>
    </row>
    <row r="150" spans="1:6" x14ac:dyDescent="0.3">
      <c r="A150" s="1">
        <v>45603</v>
      </c>
      <c r="B150" t="s">
        <v>13</v>
      </c>
      <c r="C150">
        <v>15457</v>
      </c>
      <c r="D150">
        <v>3071</v>
      </c>
      <c r="E150">
        <v>6349</v>
      </c>
      <c r="F150">
        <v>24877</v>
      </c>
    </row>
    <row r="151" spans="1:6" x14ac:dyDescent="0.3">
      <c r="A151" s="1">
        <v>45403</v>
      </c>
      <c r="B151" t="s">
        <v>35</v>
      </c>
      <c r="C151">
        <v>18640</v>
      </c>
      <c r="D151">
        <v>4130</v>
      </c>
      <c r="E151">
        <v>3349</v>
      </c>
      <c r="F151">
        <v>26119</v>
      </c>
    </row>
    <row r="152" spans="1:6" x14ac:dyDescent="0.3">
      <c r="A152" s="1">
        <v>45652</v>
      </c>
      <c r="B152" t="s">
        <v>26</v>
      </c>
      <c r="C152">
        <v>18362</v>
      </c>
      <c r="D152">
        <v>7397</v>
      </c>
      <c r="E152">
        <v>4344</v>
      </c>
      <c r="F152">
        <v>30103</v>
      </c>
    </row>
    <row r="153" spans="1:6" x14ac:dyDescent="0.3">
      <c r="A153" s="1">
        <v>45369</v>
      </c>
      <c r="B153" t="s">
        <v>13</v>
      </c>
      <c r="C153">
        <v>14473</v>
      </c>
      <c r="D153">
        <v>1080</v>
      </c>
      <c r="E153">
        <v>3841</v>
      </c>
      <c r="F153">
        <v>19394</v>
      </c>
    </row>
    <row r="154" spans="1:6" x14ac:dyDescent="0.3">
      <c r="A154" s="1">
        <v>45465</v>
      </c>
      <c r="B154" t="s">
        <v>26</v>
      </c>
      <c r="C154">
        <v>9852</v>
      </c>
      <c r="D154">
        <v>7560</v>
      </c>
      <c r="E154">
        <v>4495</v>
      </c>
      <c r="F154">
        <v>21907</v>
      </c>
    </row>
    <row r="155" spans="1:6" x14ac:dyDescent="0.3">
      <c r="A155" s="1">
        <v>45533</v>
      </c>
      <c r="B155" t="s">
        <v>35</v>
      </c>
      <c r="C155">
        <v>9532</v>
      </c>
      <c r="D155">
        <v>4543</v>
      </c>
      <c r="E155">
        <v>6858</v>
      </c>
      <c r="F155">
        <v>20933</v>
      </c>
    </row>
    <row r="156" spans="1:6" x14ac:dyDescent="0.3">
      <c r="A156" s="1">
        <v>45484</v>
      </c>
      <c r="B156" t="s">
        <v>26</v>
      </c>
      <c r="C156">
        <v>12658</v>
      </c>
      <c r="D156">
        <v>5955</v>
      </c>
      <c r="E156">
        <v>5306</v>
      </c>
      <c r="F156">
        <v>23919</v>
      </c>
    </row>
    <row r="157" spans="1:6" x14ac:dyDescent="0.3">
      <c r="A157" s="1">
        <v>45523</v>
      </c>
      <c r="B157" t="s">
        <v>35</v>
      </c>
      <c r="C157">
        <v>11024</v>
      </c>
      <c r="D157">
        <v>1555</v>
      </c>
      <c r="E157">
        <v>7639</v>
      </c>
      <c r="F157">
        <v>20218</v>
      </c>
    </row>
    <row r="158" spans="1:6" x14ac:dyDescent="0.3">
      <c r="A158" s="1">
        <v>45577</v>
      </c>
      <c r="B158" t="s">
        <v>9</v>
      </c>
      <c r="C158">
        <v>9557</v>
      </c>
      <c r="D158">
        <v>5091</v>
      </c>
      <c r="E158">
        <v>4655</v>
      </c>
      <c r="F158">
        <v>19303</v>
      </c>
    </row>
    <row r="159" spans="1:6" x14ac:dyDescent="0.3">
      <c r="A159" s="1">
        <v>45580</v>
      </c>
      <c r="B159" t="s">
        <v>26</v>
      </c>
      <c r="C159">
        <v>7458</v>
      </c>
      <c r="D159">
        <v>9572</v>
      </c>
      <c r="E159">
        <v>2542</v>
      </c>
      <c r="F159">
        <v>19572</v>
      </c>
    </row>
    <row r="160" spans="1:6" x14ac:dyDescent="0.3">
      <c r="A160" s="1">
        <v>45418</v>
      </c>
      <c r="B160" t="s">
        <v>35</v>
      </c>
      <c r="C160">
        <v>2759</v>
      </c>
      <c r="D160">
        <v>3793</v>
      </c>
      <c r="E160">
        <v>663</v>
      </c>
      <c r="F160">
        <v>7215</v>
      </c>
    </row>
    <row r="161" spans="1:6" x14ac:dyDescent="0.3">
      <c r="A161" s="1">
        <v>45411</v>
      </c>
      <c r="B161" t="s">
        <v>26</v>
      </c>
      <c r="C161">
        <v>14410</v>
      </c>
      <c r="D161">
        <v>8327</v>
      </c>
      <c r="E161">
        <v>1396</v>
      </c>
      <c r="F161">
        <v>24133</v>
      </c>
    </row>
    <row r="162" spans="1:6" x14ac:dyDescent="0.3">
      <c r="A162" s="1">
        <v>45406</v>
      </c>
      <c r="B162" t="s">
        <v>26</v>
      </c>
      <c r="C162">
        <v>11441</v>
      </c>
      <c r="D162">
        <v>9877</v>
      </c>
      <c r="E162">
        <v>4094</v>
      </c>
      <c r="F162">
        <v>25412</v>
      </c>
    </row>
    <row r="163" spans="1:6" x14ac:dyDescent="0.3">
      <c r="A163" s="1">
        <v>45481</v>
      </c>
      <c r="B163" t="s">
        <v>26</v>
      </c>
      <c r="C163">
        <v>4062</v>
      </c>
      <c r="D163">
        <v>4453</v>
      </c>
      <c r="E163">
        <v>1747</v>
      </c>
      <c r="F163">
        <v>10262</v>
      </c>
    </row>
    <row r="164" spans="1:6" x14ac:dyDescent="0.3">
      <c r="A164" s="1">
        <v>45426</v>
      </c>
      <c r="B164" t="s">
        <v>13</v>
      </c>
      <c r="C164">
        <v>2908</v>
      </c>
      <c r="D164">
        <v>6887</v>
      </c>
      <c r="E164">
        <v>2874</v>
      </c>
      <c r="F164">
        <v>12669</v>
      </c>
    </row>
    <row r="165" spans="1:6" x14ac:dyDescent="0.3">
      <c r="A165" s="1">
        <v>45465</v>
      </c>
      <c r="B165" t="s">
        <v>35</v>
      </c>
      <c r="C165">
        <v>10227</v>
      </c>
      <c r="D165">
        <v>1103</v>
      </c>
      <c r="E165">
        <v>4507</v>
      </c>
      <c r="F165">
        <v>15837</v>
      </c>
    </row>
    <row r="166" spans="1:6" x14ac:dyDescent="0.3">
      <c r="A166" s="1">
        <v>45346</v>
      </c>
      <c r="B166" t="s">
        <v>35</v>
      </c>
      <c r="C166">
        <v>19444</v>
      </c>
      <c r="D166">
        <v>4017</v>
      </c>
      <c r="E166">
        <v>5403</v>
      </c>
      <c r="F166">
        <v>28864</v>
      </c>
    </row>
    <row r="167" spans="1:6" x14ac:dyDescent="0.3">
      <c r="A167" s="1">
        <v>45616</v>
      </c>
      <c r="B167" t="s">
        <v>22</v>
      </c>
      <c r="C167">
        <v>19058</v>
      </c>
      <c r="D167">
        <v>2908</v>
      </c>
      <c r="E167">
        <v>3737</v>
      </c>
      <c r="F167">
        <v>25703</v>
      </c>
    </row>
    <row r="168" spans="1:6" x14ac:dyDescent="0.3">
      <c r="A168" s="1">
        <v>45604</v>
      </c>
      <c r="B168" t="s">
        <v>13</v>
      </c>
      <c r="C168">
        <v>4150</v>
      </c>
      <c r="D168">
        <v>5558</v>
      </c>
      <c r="E168">
        <v>6022</v>
      </c>
      <c r="F168">
        <v>15730</v>
      </c>
    </row>
    <row r="169" spans="1:6" x14ac:dyDescent="0.3">
      <c r="A169" s="1">
        <v>45570</v>
      </c>
      <c r="B169" t="s">
        <v>22</v>
      </c>
      <c r="C169">
        <v>6227</v>
      </c>
      <c r="D169">
        <v>9516</v>
      </c>
      <c r="E169">
        <v>2150</v>
      </c>
      <c r="F169">
        <v>17893</v>
      </c>
    </row>
    <row r="170" spans="1:6" x14ac:dyDescent="0.3">
      <c r="A170" s="1">
        <v>45373</v>
      </c>
      <c r="B170" t="s">
        <v>26</v>
      </c>
      <c r="C170">
        <v>18818</v>
      </c>
      <c r="D170">
        <v>2322</v>
      </c>
      <c r="E170">
        <v>6963</v>
      </c>
      <c r="F170">
        <v>28103</v>
      </c>
    </row>
    <row r="171" spans="1:6" x14ac:dyDescent="0.3">
      <c r="A171" s="1">
        <v>45494</v>
      </c>
      <c r="B171" t="s">
        <v>35</v>
      </c>
      <c r="C171">
        <v>6194</v>
      </c>
      <c r="D171">
        <v>8332</v>
      </c>
      <c r="E171">
        <v>1867</v>
      </c>
      <c r="F171">
        <v>16393</v>
      </c>
    </row>
    <row r="172" spans="1:6" x14ac:dyDescent="0.3">
      <c r="A172" s="1">
        <v>45422</v>
      </c>
      <c r="B172" t="s">
        <v>22</v>
      </c>
      <c r="C172">
        <v>9670</v>
      </c>
      <c r="D172">
        <v>6351</v>
      </c>
      <c r="E172">
        <v>3067</v>
      </c>
      <c r="F172">
        <v>19088</v>
      </c>
    </row>
    <row r="173" spans="1:6" x14ac:dyDescent="0.3">
      <c r="A173" s="1">
        <v>45611</v>
      </c>
      <c r="B173" t="s">
        <v>35</v>
      </c>
      <c r="C173">
        <v>9690</v>
      </c>
      <c r="D173">
        <v>6342</v>
      </c>
      <c r="E173">
        <v>3832</v>
      </c>
      <c r="F173">
        <v>19864</v>
      </c>
    </row>
    <row r="174" spans="1:6" x14ac:dyDescent="0.3">
      <c r="A174" s="1">
        <v>45573</v>
      </c>
      <c r="B174" t="s">
        <v>13</v>
      </c>
      <c r="C174">
        <v>2327</v>
      </c>
      <c r="D174">
        <v>3839</v>
      </c>
      <c r="E174">
        <v>3420</v>
      </c>
      <c r="F174">
        <v>9586</v>
      </c>
    </row>
    <row r="175" spans="1:6" x14ac:dyDescent="0.3">
      <c r="A175" s="1">
        <v>45465</v>
      </c>
      <c r="B175" t="s">
        <v>35</v>
      </c>
      <c r="C175">
        <v>3261</v>
      </c>
      <c r="D175">
        <v>8775</v>
      </c>
      <c r="E175">
        <v>1585</v>
      </c>
      <c r="F175">
        <v>13621</v>
      </c>
    </row>
    <row r="176" spans="1:6" x14ac:dyDescent="0.3">
      <c r="A176" s="1">
        <v>45465</v>
      </c>
      <c r="B176" t="s">
        <v>22</v>
      </c>
      <c r="C176">
        <v>17677</v>
      </c>
      <c r="D176">
        <v>6964</v>
      </c>
      <c r="E176">
        <v>7403</v>
      </c>
      <c r="F176">
        <v>32044</v>
      </c>
    </row>
    <row r="177" spans="1:6" x14ac:dyDescent="0.3">
      <c r="A177" s="1">
        <v>45448</v>
      </c>
      <c r="B177" t="s">
        <v>13</v>
      </c>
      <c r="C177">
        <v>18857</v>
      </c>
      <c r="D177">
        <v>1810</v>
      </c>
      <c r="E177">
        <v>5854</v>
      </c>
      <c r="F177">
        <v>26521</v>
      </c>
    </row>
    <row r="178" spans="1:6" x14ac:dyDescent="0.3">
      <c r="A178" s="1">
        <v>45301</v>
      </c>
      <c r="B178" t="s">
        <v>22</v>
      </c>
      <c r="C178">
        <v>13379</v>
      </c>
      <c r="D178">
        <v>2045</v>
      </c>
      <c r="E178">
        <v>6231</v>
      </c>
      <c r="F178">
        <v>21655</v>
      </c>
    </row>
    <row r="179" spans="1:6" x14ac:dyDescent="0.3">
      <c r="A179" s="1">
        <v>45612</v>
      </c>
      <c r="B179" t="s">
        <v>35</v>
      </c>
      <c r="C179">
        <v>14271</v>
      </c>
      <c r="D179">
        <v>2298</v>
      </c>
      <c r="E179">
        <v>5620</v>
      </c>
      <c r="F179">
        <v>22189</v>
      </c>
    </row>
    <row r="180" spans="1:6" x14ac:dyDescent="0.3">
      <c r="A180" s="1">
        <v>45424</v>
      </c>
      <c r="B180" t="s">
        <v>13</v>
      </c>
      <c r="C180">
        <v>17722</v>
      </c>
      <c r="D180">
        <v>1528</v>
      </c>
      <c r="E180">
        <v>6874</v>
      </c>
      <c r="F180">
        <v>26124</v>
      </c>
    </row>
    <row r="181" spans="1:6" x14ac:dyDescent="0.3">
      <c r="A181" s="1">
        <v>45428</v>
      </c>
      <c r="B181" t="s">
        <v>13</v>
      </c>
      <c r="C181">
        <v>3458</v>
      </c>
      <c r="D181">
        <v>3761</v>
      </c>
      <c r="E181">
        <v>5407</v>
      </c>
      <c r="F181">
        <v>12626</v>
      </c>
    </row>
    <row r="182" spans="1:6" x14ac:dyDescent="0.3">
      <c r="A182" s="1">
        <v>45524</v>
      </c>
      <c r="B182" t="s">
        <v>35</v>
      </c>
      <c r="C182">
        <v>4795</v>
      </c>
      <c r="D182">
        <v>7592</v>
      </c>
      <c r="E182">
        <v>5023</v>
      </c>
      <c r="F182">
        <v>17410</v>
      </c>
    </row>
    <row r="183" spans="1:6" x14ac:dyDescent="0.3">
      <c r="A183" s="1">
        <v>45301</v>
      </c>
      <c r="B183" t="s">
        <v>22</v>
      </c>
      <c r="C183">
        <v>19899</v>
      </c>
      <c r="D183">
        <v>7392</v>
      </c>
      <c r="E183">
        <v>7512</v>
      </c>
      <c r="F183">
        <v>34803</v>
      </c>
    </row>
    <row r="184" spans="1:6" x14ac:dyDescent="0.3">
      <c r="A184" s="1">
        <v>45588</v>
      </c>
      <c r="B184" t="s">
        <v>35</v>
      </c>
      <c r="C184">
        <v>19231</v>
      </c>
      <c r="D184">
        <v>1561</v>
      </c>
      <c r="E184">
        <v>6126</v>
      </c>
      <c r="F184">
        <v>26918</v>
      </c>
    </row>
    <row r="185" spans="1:6" x14ac:dyDescent="0.3">
      <c r="A185" s="1">
        <v>45337</v>
      </c>
      <c r="B185" t="s">
        <v>26</v>
      </c>
      <c r="C185">
        <v>13461</v>
      </c>
      <c r="D185">
        <v>8990</v>
      </c>
      <c r="E185">
        <v>5955</v>
      </c>
      <c r="F185">
        <v>28406</v>
      </c>
    </row>
    <row r="186" spans="1:6" x14ac:dyDescent="0.3">
      <c r="A186" s="1">
        <v>45598</v>
      </c>
      <c r="B186" t="s">
        <v>13</v>
      </c>
      <c r="C186">
        <v>5170</v>
      </c>
      <c r="D186">
        <v>4327</v>
      </c>
      <c r="E186">
        <v>4700</v>
      </c>
      <c r="F186">
        <v>14197</v>
      </c>
    </row>
    <row r="187" spans="1:6" x14ac:dyDescent="0.3">
      <c r="A187" s="1">
        <v>45547</v>
      </c>
      <c r="B187" t="s">
        <v>9</v>
      </c>
      <c r="C187">
        <v>8329</v>
      </c>
      <c r="D187">
        <v>5351</v>
      </c>
      <c r="E187">
        <v>6372</v>
      </c>
      <c r="F187">
        <v>20052</v>
      </c>
    </row>
    <row r="188" spans="1:6" x14ac:dyDescent="0.3">
      <c r="A188" s="1">
        <v>45515</v>
      </c>
      <c r="B188" t="s">
        <v>13</v>
      </c>
      <c r="C188">
        <v>5415</v>
      </c>
      <c r="D188">
        <v>3588</v>
      </c>
      <c r="E188">
        <v>3473</v>
      </c>
      <c r="F188">
        <v>12476</v>
      </c>
    </row>
    <row r="189" spans="1:6" x14ac:dyDescent="0.3">
      <c r="A189" s="1">
        <v>45390</v>
      </c>
      <c r="B189" t="s">
        <v>13</v>
      </c>
      <c r="C189">
        <v>4603</v>
      </c>
      <c r="D189">
        <v>9614</v>
      </c>
      <c r="E189">
        <v>1626</v>
      </c>
      <c r="F189">
        <v>15843</v>
      </c>
    </row>
    <row r="190" spans="1:6" x14ac:dyDescent="0.3">
      <c r="A190" s="1">
        <v>45625</v>
      </c>
      <c r="B190" t="s">
        <v>35</v>
      </c>
      <c r="C190">
        <v>13494</v>
      </c>
      <c r="D190">
        <v>1559</v>
      </c>
      <c r="E190">
        <v>6808</v>
      </c>
      <c r="F190">
        <v>21861</v>
      </c>
    </row>
    <row r="191" spans="1:6" x14ac:dyDescent="0.3">
      <c r="A191" s="1">
        <v>45383</v>
      </c>
      <c r="B191" t="s">
        <v>13</v>
      </c>
      <c r="C191">
        <v>10204</v>
      </c>
      <c r="D191">
        <v>5813</v>
      </c>
      <c r="E191">
        <v>1156</v>
      </c>
      <c r="F191">
        <v>17173</v>
      </c>
    </row>
    <row r="192" spans="1:6" x14ac:dyDescent="0.3">
      <c r="A192" s="1">
        <v>45484</v>
      </c>
      <c r="B192" t="s">
        <v>26</v>
      </c>
      <c r="C192">
        <v>2004</v>
      </c>
      <c r="D192">
        <v>8102</v>
      </c>
      <c r="E192">
        <v>1857</v>
      </c>
      <c r="F192">
        <v>11963</v>
      </c>
    </row>
    <row r="193" spans="1:6" x14ac:dyDescent="0.3">
      <c r="A193" s="1">
        <v>45634</v>
      </c>
      <c r="B193" t="s">
        <v>26</v>
      </c>
      <c r="C193">
        <v>17097</v>
      </c>
      <c r="D193">
        <v>8859</v>
      </c>
      <c r="E193">
        <v>7339</v>
      </c>
      <c r="F193">
        <v>33295</v>
      </c>
    </row>
    <row r="194" spans="1:6" x14ac:dyDescent="0.3">
      <c r="A194" s="1">
        <v>45325</v>
      </c>
      <c r="B194" t="s">
        <v>26</v>
      </c>
      <c r="C194">
        <v>3919</v>
      </c>
      <c r="D194">
        <v>6349</v>
      </c>
      <c r="E194">
        <v>949</v>
      </c>
      <c r="F194">
        <v>11217</v>
      </c>
    </row>
    <row r="195" spans="1:6" x14ac:dyDescent="0.3">
      <c r="A195" s="1">
        <v>45465</v>
      </c>
      <c r="B195" t="s">
        <v>35</v>
      </c>
      <c r="C195">
        <v>14426</v>
      </c>
      <c r="D195">
        <v>9481</v>
      </c>
      <c r="E195">
        <v>4545</v>
      </c>
      <c r="F195">
        <v>28452</v>
      </c>
    </row>
    <row r="196" spans="1:6" x14ac:dyDescent="0.3">
      <c r="A196" s="1">
        <v>45529</v>
      </c>
      <c r="B196" t="s">
        <v>26</v>
      </c>
      <c r="C196">
        <v>4448</v>
      </c>
      <c r="D196">
        <v>6302</v>
      </c>
      <c r="E196">
        <v>2144</v>
      </c>
      <c r="F196">
        <v>12894</v>
      </c>
    </row>
    <row r="197" spans="1:6" x14ac:dyDescent="0.3">
      <c r="A197" s="1">
        <v>45474</v>
      </c>
      <c r="B197" t="s">
        <v>26</v>
      </c>
      <c r="C197">
        <v>9829</v>
      </c>
      <c r="D197">
        <v>8147</v>
      </c>
      <c r="E197">
        <v>3163</v>
      </c>
      <c r="F197">
        <v>21139</v>
      </c>
    </row>
    <row r="198" spans="1:6" x14ac:dyDescent="0.3">
      <c r="A198" s="1">
        <v>45581</v>
      </c>
      <c r="B198" t="s">
        <v>13</v>
      </c>
      <c r="C198">
        <v>7573</v>
      </c>
      <c r="D198">
        <v>1114</v>
      </c>
      <c r="E198">
        <v>1247</v>
      </c>
      <c r="F198">
        <v>9934</v>
      </c>
    </row>
    <row r="199" spans="1:6" x14ac:dyDescent="0.3">
      <c r="A199" s="1">
        <v>45548</v>
      </c>
      <c r="B199" t="s">
        <v>26</v>
      </c>
      <c r="C199">
        <v>9960</v>
      </c>
      <c r="D199">
        <v>2243</v>
      </c>
      <c r="E199">
        <v>2757</v>
      </c>
      <c r="F199">
        <v>14960</v>
      </c>
    </row>
    <row r="200" spans="1:6" x14ac:dyDescent="0.3">
      <c r="A200" s="1">
        <v>45528</v>
      </c>
      <c r="B200" t="s">
        <v>22</v>
      </c>
      <c r="C200">
        <v>2945</v>
      </c>
      <c r="D200">
        <v>9706</v>
      </c>
      <c r="E200">
        <v>4123</v>
      </c>
      <c r="F200">
        <v>16774</v>
      </c>
    </row>
    <row r="201" spans="1:6" x14ac:dyDescent="0.3">
      <c r="A201" s="1">
        <v>45510</v>
      </c>
      <c r="B201" t="s">
        <v>22</v>
      </c>
      <c r="C201">
        <v>16843</v>
      </c>
      <c r="D201">
        <v>7525</v>
      </c>
      <c r="E201">
        <v>5839</v>
      </c>
      <c r="F201">
        <v>30207</v>
      </c>
    </row>
    <row r="202" spans="1:6" x14ac:dyDescent="0.3">
      <c r="A202" s="1">
        <v>45620</v>
      </c>
      <c r="B202" t="s">
        <v>13</v>
      </c>
      <c r="C202">
        <v>8955</v>
      </c>
      <c r="D202">
        <v>4655</v>
      </c>
      <c r="E202">
        <v>4003</v>
      </c>
      <c r="F202">
        <v>17613</v>
      </c>
    </row>
    <row r="203" spans="1:6" x14ac:dyDescent="0.3">
      <c r="A203" s="1">
        <v>45314</v>
      </c>
      <c r="B203" t="s">
        <v>13</v>
      </c>
      <c r="C203">
        <v>9020</v>
      </c>
      <c r="D203">
        <v>7294</v>
      </c>
      <c r="E203">
        <v>2858</v>
      </c>
      <c r="F203">
        <v>19172</v>
      </c>
    </row>
    <row r="204" spans="1:6" x14ac:dyDescent="0.3">
      <c r="A204" s="1">
        <v>45594</v>
      </c>
      <c r="B204" t="s">
        <v>13</v>
      </c>
      <c r="C204">
        <v>7759</v>
      </c>
      <c r="D204">
        <v>1062</v>
      </c>
      <c r="E204">
        <v>5915</v>
      </c>
      <c r="F204">
        <v>14736</v>
      </c>
    </row>
    <row r="205" spans="1:6" x14ac:dyDescent="0.3">
      <c r="A205" s="1">
        <v>45306</v>
      </c>
      <c r="B205" t="s">
        <v>35</v>
      </c>
      <c r="C205">
        <v>9915</v>
      </c>
      <c r="D205">
        <v>9119</v>
      </c>
      <c r="E205">
        <v>7245</v>
      </c>
      <c r="F205">
        <v>26279</v>
      </c>
    </row>
    <row r="206" spans="1:6" x14ac:dyDescent="0.3">
      <c r="A206" s="1">
        <v>45302</v>
      </c>
      <c r="B206" t="s">
        <v>26</v>
      </c>
      <c r="C206">
        <v>6139</v>
      </c>
      <c r="D206">
        <v>9745</v>
      </c>
      <c r="E206">
        <v>2871</v>
      </c>
      <c r="F206">
        <v>18755</v>
      </c>
    </row>
    <row r="207" spans="1:6" x14ac:dyDescent="0.3">
      <c r="A207" s="1">
        <v>45415</v>
      </c>
      <c r="B207" t="s">
        <v>9</v>
      </c>
      <c r="C207">
        <v>12861</v>
      </c>
      <c r="D207">
        <v>2050</v>
      </c>
      <c r="E207">
        <v>1947</v>
      </c>
      <c r="F207">
        <v>16858</v>
      </c>
    </row>
    <row r="208" spans="1:6" x14ac:dyDescent="0.3">
      <c r="A208" s="1">
        <v>45388</v>
      </c>
      <c r="B208" t="s">
        <v>13</v>
      </c>
      <c r="C208">
        <v>6011</v>
      </c>
      <c r="D208">
        <v>5725</v>
      </c>
      <c r="E208">
        <v>4157</v>
      </c>
      <c r="F208">
        <v>15893</v>
      </c>
    </row>
    <row r="209" spans="1:6" x14ac:dyDescent="0.3">
      <c r="A209" s="1">
        <v>45543</v>
      </c>
      <c r="B209" t="s">
        <v>22</v>
      </c>
      <c r="C209">
        <v>13840</v>
      </c>
      <c r="D209">
        <v>4062</v>
      </c>
      <c r="E209">
        <v>6934</v>
      </c>
      <c r="F209">
        <v>24836</v>
      </c>
    </row>
    <row r="210" spans="1:6" x14ac:dyDescent="0.3">
      <c r="A210" s="1">
        <v>45377</v>
      </c>
      <c r="B210" t="s">
        <v>26</v>
      </c>
      <c r="C210">
        <v>19857</v>
      </c>
      <c r="D210">
        <v>5621</v>
      </c>
      <c r="E210">
        <v>6361</v>
      </c>
      <c r="F210">
        <v>31839</v>
      </c>
    </row>
    <row r="211" spans="1:6" x14ac:dyDescent="0.3">
      <c r="A211" s="1">
        <v>45474</v>
      </c>
      <c r="B211" t="s">
        <v>22</v>
      </c>
      <c r="C211">
        <v>13118</v>
      </c>
      <c r="D211">
        <v>1303</v>
      </c>
      <c r="E211">
        <v>5441</v>
      </c>
      <c r="F211">
        <v>19862</v>
      </c>
    </row>
    <row r="212" spans="1:6" x14ac:dyDescent="0.3">
      <c r="A212" s="1">
        <v>45341</v>
      </c>
      <c r="B212" t="s">
        <v>13</v>
      </c>
      <c r="C212">
        <v>8471</v>
      </c>
      <c r="D212">
        <v>9003</v>
      </c>
      <c r="E212">
        <v>7738</v>
      </c>
      <c r="F212">
        <v>25212</v>
      </c>
    </row>
    <row r="213" spans="1:6" x14ac:dyDescent="0.3">
      <c r="A213" s="1">
        <v>45583</v>
      </c>
      <c r="B213" t="s">
        <v>26</v>
      </c>
      <c r="C213">
        <v>7634</v>
      </c>
      <c r="D213">
        <v>2829</v>
      </c>
      <c r="E213">
        <v>5699</v>
      </c>
      <c r="F213">
        <v>16162</v>
      </c>
    </row>
    <row r="214" spans="1:6" x14ac:dyDescent="0.3">
      <c r="A214" s="1">
        <v>45522</v>
      </c>
      <c r="B214" t="s">
        <v>26</v>
      </c>
      <c r="C214">
        <v>3672</v>
      </c>
      <c r="D214">
        <v>7430</v>
      </c>
      <c r="E214">
        <v>3229</v>
      </c>
      <c r="F214">
        <v>14331</v>
      </c>
    </row>
    <row r="215" spans="1:6" x14ac:dyDescent="0.3">
      <c r="A215" s="1">
        <v>45485</v>
      </c>
      <c r="B215" t="s">
        <v>26</v>
      </c>
      <c r="C215">
        <v>18180</v>
      </c>
      <c r="D215">
        <v>6031</v>
      </c>
      <c r="E215">
        <v>2181</v>
      </c>
      <c r="F215">
        <v>26392</v>
      </c>
    </row>
    <row r="216" spans="1:6" x14ac:dyDescent="0.3">
      <c r="A216" s="1">
        <v>45373</v>
      </c>
      <c r="B216" t="s">
        <v>35</v>
      </c>
      <c r="C216">
        <v>3083</v>
      </c>
      <c r="D216">
        <v>2563</v>
      </c>
      <c r="E216">
        <v>2321</v>
      </c>
      <c r="F216">
        <v>7967</v>
      </c>
    </row>
    <row r="217" spans="1:6" x14ac:dyDescent="0.3">
      <c r="A217" s="1">
        <v>45420</v>
      </c>
      <c r="B217" t="s">
        <v>13</v>
      </c>
      <c r="C217">
        <v>9625</v>
      </c>
      <c r="D217">
        <v>5370</v>
      </c>
      <c r="E217">
        <v>1630</v>
      </c>
      <c r="F217">
        <v>16625</v>
      </c>
    </row>
    <row r="218" spans="1:6" x14ac:dyDescent="0.3">
      <c r="A218" s="1">
        <v>45386</v>
      </c>
      <c r="B218" t="s">
        <v>26</v>
      </c>
      <c r="C218">
        <v>2368</v>
      </c>
      <c r="D218">
        <v>8300</v>
      </c>
      <c r="E218">
        <v>6582</v>
      </c>
      <c r="F218">
        <v>17250</v>
      </c>
    </row>
    <row r="219" spans="1:6" x14ac:dyDescent="0.3">
      <c r="A219" s="1">
        <v>45402</v>
      </c>
      <c r="B219" t="s">
        <v>35</v>
      </c>
      <c r="C219">
        <v>10879</v>
      </c>
      <c r="D219">
        <v>8299</v>
      </c>
      <c r="E219">
        <v>1236</v>
      </c>
      <c r="F219">
        <v>20414</v>
      </c>
    </row>
    <row r="220" spans="1:6" x14ac:dyDescent="0.3">
      <c r="A220" s="1">
        <v>45370</v>
      </c>
      <c r="B220" t="s">
        <v>13</v>
      </c>
      <c r="C220">
        <v>8634</v>
      </c>
      <c r="D220">
        <v>9783</v>
      </c>
      <c r="E220">
        <v>1175</v>
      </c>
      <c r="F220">
        <v>19592</v>
      </c>
    </row>
    <row r="221" spans="1:6" x14ac:dyDescent="0.3">
      <c r="A221" s="1">
        <v>45388</v>
      </c>
      <c r="B221" t="s">
        <v>35</v>
      </c>
      <c r="C221">
        <v>18571</v>
      </c>
      <c r="D221">
        <v>1711</v>
      </c>
      <c r="E221">
        <v>2849</v>
      </c>
      <c r="F221">
        <v>23131</v>
      </c>
    </row>
    <row r="222" spans="1:6" x14ac:dyDescent="0.3">
      <c r="A222" s="1">
        <v>45358</v>
      </c>
      <c r="B222" t="s">
        <v>26</v>
      </c>
      <c r="C222">
        <v>8014</v>
      </c>
      <c r="D222">
        <v>9578</v>
      </c>
      <c r="E222">
        <v>4087</v>
      </c>
      <c r="F222">
        <v>21679</v>
      </c>
    </row>
    <row r="223" spans="1:6" x14ac:dyDescent="0.3">
      <c r="A223" s="1">
        <v>45449</v>
      </c>
      <c r="B223" t="s">
        <v>35</v>
      </c>
      <c r="C223">
        <v>8391</v>
      </c>
      <c r="D223">
        <v>9118</v>
      </c>
      <c r="E223">
        <v>3865</v>
      </c>
      <c r="F223">
        <v>21374</v>
      </c>
    </row>
    <row r="224" spans="1:6" x14ac:dyDescent="0.3">
      <c r="A224" s="1">
        <v>45482</v>
      </c>
      <c r="B224" t="s">
        <v>22</v>
      </c>
      <c r="C224">
        <v>11365</v>
      </c>
      <c r="D224">
        <v>2509</v>
      </c>
      <c r="E224">
        <v>6080</v>
      </c>
      <c r="F224">
        <v>19954</v>
      </c>
    </row>
    <row r="225" spans="1:6" x14ac:dyDescent="0.3">
      <c r="A225" s="1">
        <v>45451</v>
      </c>
      <c r="B225" t="s">
        <v>22</v>
      </c>
      <c r="C225">
        <v>12300</v>
      </c>
      <c r="D225">
        <v>9164</v>
      </c>
      <c r="E225">
        <v>1259</v>
      </c>
      <c r="F225">
        <v>22723</v>
      </c>
    </row>
    <row r="226" spans="1:6" x14ac:dyDescent="0.3">
      <c r="A226" s="1">
        <v>45390</v>
      </c>
      <c r="B226" t="s">
        <v>35</v>
      </c>
      <c r="C226">
        <v>7955</v>
      </c>
      <c r="D226">
        <v>2544</v>
      </c>
      <c r="E226">
        <v>3980</v>
      </c>
      <c r="F226">
        <v>14479</v>
      </c>
    </row>
    <row r="227" spans="1:6" x14ac:dyDescent="0.3">
      <c r="A227" s="1">
        <v>45578</v>
      </c>
      <c r="B227" t="s">
        <v>13</v>
      </c>
      <c r="C227">
        <v>15051</v>
      </c>
      <c r="D227">
        <v>2484</v>
      </c>
      <c r="E227">
        <v>6650</v>
      </c>
      <c r="F227">
        <v>24185</v>
      </c>
    </row>
    <row r="228" spans="1:6" x14ac:dyDescent="0.3">
      <c r="A228" s="1">
        <v>45338</v>
      </c>
      <c r="B228" t="s">
        <v>26</v>
      </c>
      <c r="C228">
        <v>16123</v>
      </c>
      <c r="D228">
        <v>5654</v>
      </c>
      <c r="E228">
        <v>4387</v>
      </c>
      <c r="F228">
        <v>26164</v>
      </c>
    </row>
    <row r="229" spans="1:6" x14ac:dyDescent="0.3">
      <c r="A229" s="1">
        <v>45493</v>
      </c>
      <c r="B229" t="s">
        <v>26</v>
      </c>
      <c r="C229">
        <v>5843</v>
      </c>
      <c r="D229">
        <v>1906</v>
      </c>
      <c r="E229">
        <v>2059</v>
      </c>
      <c r="F229">
        <v>9808</v>
      </c>
    </row>
    <row r="230" spans="1:6" x14ac:dyDescent="0.3">
      <c r="A230" s="1">
        <v>45483</v>
      </c>
      <c r="B230" t="s">
        <v>35</v>
      </c>
      <c r="C230">
        <v>14324</v>
      </c>
      <c r="D230">
        <v>2640</v>
      </c>
      <c r="E230">
        <v>6859</v>
      </c>
      <c r="F230">
        <v>23823</v>
      </c>
    </row>
    <row r="231" spans="1:6" x14ac:dyDescent="0.3">
      <c r="A231" s="1">
        <v>45514</v>
      </c>
      <c r="B231" t="s">
        <v>26</v>
      </c>
      <c r="C231">
        <v>6084</v>
      </c>
      <c r="D231">
        <v>6042</v>
      </c>
      <c r="E231">
        <v>2891</v>
      </c>
      <c r="F231">
        <v>15017</v>
      </c>
    </row>
    <row r="232" spans="1:6" x14ac:dyDescent="0.3">
      <c r="A232" s="1">
        <v>45442</v>
      </c>
      <c r="B232" t="s">
        <v>22</v>
      </c>
      <c r="C232">
        <v>19332</v>
      </c>
      <c r="D232">
        <v>8062</v>
      </c>
      <c r="E232">
        <v>4480</v>
      </c>
      <c r="F232">
        <v>31874</v>
      </c>
    </row>
    <row r="233" spans="1:6" x14ac:dyDescent="0.3">
      <c r="A233" s="1">
        <v>45448</v>
      </c>
      <c r="B233" t="s">
        <v>26</v>
      </c>
      <c r="C233">
        <v>4160</v>
      </c>
      <c r="D233">
        <v>8193</v>
      </c>
      <c r="E233">
        <v>4102</v>
      </c>
      <c r="F233">
        <v>16455</v>
      </c>
    </row>
    <row r="234" spans="1:6" x14ac:dyDescent="0.3">
      <c r="A234" s="1">
        <v>45633</v>
      </c>
      <c r="B234" t="s">
        <v>22</v>
      </c>
      <c r="C234">
        <v>7556</v>
      </c>
      <c r="D234">
        <v>9638</v>
      </c>
      <c r="E234">
        <v>1306</v>
      </c>
      <c r="F234">
        <v>18500</v>
      </c>
    </row>
    <row r="235" spans="1:6" x14ac:dyDescent="0.3">
      <c r="A235" s="1">
        <v>45370</v>
      </c>
      <c r="B235" t="s">
        <v>22</v>
      </c>
      <c r="C235">
        <v>14766</v>
      </c>
      <c r="D235">
        <v>5422</v>
      </c>
      <c r="E235">
        <v>1852</v>
      </c>
      <c r="F235">
        <v>22040</v>
      </c>
    </row>
    <row r="236" spans="1:6" x14ac:dyDescent="0.3">
      <c r="A236" s="1">
        <v>45436</v>
      </c>
      <c r="B236" t="s">
        <v>35</v>
      </c>
      <c r="C236">
        <v>10098</v>
      </c>
      <c r="D236">
        <v>2193</v>
      </c>
      <c r="E236">
        <v>6729</v>
      </c>
      <c r="F236">
        <v>19020</v>
      </c>
    </row>
    <row r="237" spans="1:6" x14ac:dyDescent="0.3">
      <c r="A237" s="1">
        <v>45478</v>
      </c>
      <c r="B237" t="s">
        <v>22</v>
      </c>
      <c r="C237">
        <v>11338</v>
      </c>
      <c r="D237">
        <v>5223</v>
      </c>
      <c r="E237">
        <v>6453</v>
      </c>
      <c r="F237">
        <v>23014</v>
      </c>
    </row>
    <row r="238" spans="1:6" x14ac:dyDescent="0.3">
      <c r="A238" s="1">
        <v>45486</v>
      </c>
      <c r="B238" t="s">
        <v>22</v>
      </c>
      <c r="C238">
        <v>5166</v>
      </c>
      <c r="D238">
        <v>5879</v>
      </c>
      <c r="E238">
        <v>1900</v>
      </c>
      <c r="F238">
        <v>12945</v>
      </c>
    </row>
    <row r="239" spans="1:6" x14ac:dyDescent="0.3">
      <c r="A239" s="1">
        <v>45414</v>
      </c>
      <c r="B239" t="s">
        <v>13</v>
      </c>
      <c r="C239">
        <v>3461</v>
      </c>
      <c r="D239">
        <v>6112</v>
      </c>
      <c r="E239">
        <v>5856</v>
      </c>
      <c r="F239">
        <v>15429</v>
      </c>
    </row>
    <row r="240" spans="1:6" x14ac:dyDescent="0.3">
      <c r="A240" s="1">
        <v>45500</v>
      </c>
      <c r="B240" t="s">
        <v>26</v>
      </c>
      <c r="C240">
        <v>7724</v>
      </c>
      <c r="D240">
        <v>9937</v>
      </c>
      <c r="E240">
        <v>7098</v>
      </c>
      <c r="F240">
        <v>24759</v>
      </c>
    </row>
    <row r="241" spans="1:6" x14ac:dyDescent="0.3">
      <c r="A241" s="1">
        <v>45631</v>
      </c>
      <c r="B241" t="s">
        <v>26</v>
      </c>
      <c r="C241">
        <v>9896</v>
      </c>
      <c r="D241">
        <v>4795</v>
      </c>
      <c r="E241">
        <v>801</v>
      </c>
      <c r="F241">
        <v>15492</v>
      </c>
    </row>
    <row r="242" spans="1:6" x14ac:dyDescent="0.3">
      <c r="A242" s="1">
        <v>45460</v>
      </c>
      <c r="B242" t="s">
        <v>9</v>
      </c>
      <c r="C242">
        <v>2421</v>
      </c>
      <c r="D242">
        <v>9465</v>
      </c>
      <c r="E242">
        <v>2548</v>
      </c>
      <c r="F242">
        <v>14434</v>
      </c>
    </row>
    <row r="243" spans="1:6" x14ac:dyDescent="0.3">
      <c r="A243" s="1">
        <v>45453</v>
      </c>
      <c r="B243" t="s">
        <v>35</v>
      </c>
      <c r="C243">
        <v>15271</v>
      </c>
      <c r="D243">
        <v>2222</v>
      </c>
      <c r="E243">
        <v>5021</v>
      </c>
      <c r="F243">
        <v>22514</v>
      </c>
    </row>
    <row r="244" spans="1:6" x14ac:dyDescent="0.3">
      <c r="A244" s="1">
        <v>45341</v>
      </c>
      <c r="B244" t="s">
        <v>35</v>
      </c>
      <c r="C244">
        <v>2393</v>
      </c>
      <c r="D244">
        <v>1911</v>
      </c>
      <c r="E244">
        <v>6373</v>
      </c>
      <c r="F244">
        <v>10677</v>
      </c>
    </row>
    <row r="245" spans="1:6" x14ac:dyDescent="0.3">
      <c r="A245" s="1">
        <v>45568</v>
      </c>
      <c r="B245" t="s">
        <v>9</v>
      </c>
      <c r="C245">
        <v>5492</v>
      </c>
      <c r="D245">
        <v>7586</v>
      </c>
      <c r="E245">
        <v>7017</v>
      </c>
      <c r="F245">
        <v>20095</v>
      </c>
    </row>
    <row r="246" spans="1:6" x14ac:dyDescent="0.3">
      <c r="A246" s="1">
        <v>45403</v>
      </c>
      <c r="B246" t="s">
        <v>9</v>
      </c>
      <c r="C246">
        <v>7133</v>
      </c>
      <c r="D246">
        <v>1687</v>
      </c>
      <c r="E246">
        <v>1258</v>
      </c>
      <c r="F246">
        <v>10078</v>
      </c>
    </row>
    <row r="247" spans="1:6" x14ac:dyDescent="0.3">
      <c r="A247" s="1">
        <v>45614</v>
      </c>
      <c r="B247" t="s">
        <v>26</v>
      </c>
      <c r="C247">
        <v>10241</v>
      </c>
      <c r="D247">
        <v>8680</v>
      </c>
      <c r="E247">
        <v>928</v>
      </c>
      <c r="F247">
        <v>19849</v>
      </c>
    </row>
    <row r="248" spans="1:6" x14ac:dyDescent="0.3">
      <c r="A248" s="1">
        <v>45316</v>
      </c>
      <c r="B248" t="s">
        <v>22</v>
      </c>
      <c r="C248">
        <v>10051</v>
      </c>
      <c r="D248">
        <v>5853</v>
      </c>
      <c r="E248">
        <v>6260</v>
      </c>
      <c r="F248">
        <v>22164</v>
      </c>
    </row>
    <row r="249" spans="1:6" x14ac:dyDescent="0.3">
      <c r="A249" s="1">
        <v>45445</v>
      </c>
      <c r="B249" t="s">
        <v>9</v>
      </c>
      <c r="C249">
        <v>10875</v>
      </c>
      <c r="D249">
        <v>2270</v>
      </c>
      <c r="E249">
        <v>901</v>
      </c>
      <c r="F249">
        <v>14046</v>
      </c>
    </row>
    <row r="250" spans="1:6" x14ac:dyDescent="0.3">
      <c r="A250" s="1">
        <v>45431</v>
      </c>
      <c r="B250" t="s">
        <v>26</v>
      </c>
      <c r="C250">
        <v>2287</v>
      </c>
      <c r="D250">
        <v>2495</v>
      </c>
      <c r="E250">
        <v>3444</v>
      </c>
      <c r="F250">
        <v>8226</v>
      </c>
    </row>
    <row r="251" spans="1:6" x14ac:dyDescent="0.3">
      <c r="A251" s="1">
        <v>45560</v>
      </c>
      <c r="B251" t="s">
        <v>26</v>
      </c>
      <c r="C251">
        <v>15085</v>
      </c>
      <c r="D251">
        <v>2631</v>
      </c>
      <c r="E251">
        <v>4781</v>
      </c>
      <c r="F251">
        <v>22497</v>
      </c>
    </row>
    <row r="252" spans="1:6" x14ac:dyDescent="0.3">
      <c r="A252" s="1">
        <v>45553</v>
      </c>
      <c r="B252" t="s">
        <v>9</v>
      </c>
      <c r="C252">
        <v>15872</v>
      </c>
      <c r="D252">
        <v>2427</v>
      </c>
      <c r="E252">
        <v>609</v>
      </c>
      <c r="F252">
        <v>18908</v>
      </c>
    </row>
    <row r="253" spans="1:6" x14ac:dyDescent="0.3">
      <c r="A253" s="1">
        <v>45491</v>
      </c>
      <c r="B253" t="s">
        <v>22</v>
      </c>
      <c r="C253">
        <v>9791</v>
      </c>
      <c r="D253">
        <v>5869</v>
      </c>
      <c r="E253">
        <v>7064</v>
      </c>
      <c r="F253">
        <v>22724</v>
      </c>
    </row>
    <row r="254" spans="1:6" x14ac:dyDescent="0.3">
      <c r="A254" s="1">
        <v>45413</v>
      </c>
      <c r="B254" t="s">
        <v>26</v>
      </c>
      <c r="C254">
        <v>15509</v>
      </c>
      <c r="D254">
        <v>4346</v>
      </c>
      <c r="E254">
        <v>5837</v>
      </c>
      <c r="F254">
        <v>25692</v>
      </c>
    </row>
    <row r="255" spans="1:6" x14ac:dyDescent="0.3">
      <c r="A255" s="1">
        <v>45350</v>
      </c>
      <c r="B255" t="s">
        <v>35</v>
      </c>
      <c r="C255">
        <v>3796</v>
      </c>
      <c r="D255">
        <v>9972</v>
      </c>
      <c r="E255">
        <v>4404</v>
      </c>
      <c r="F255">
        <v>18172</v>
      </c>
    </row>
    <row r="256" spans="1:6" x14ac:dyDescent="0.3">
      <c r="A256" s="1">
        <v>45404</v>
      </c>
      <c r="B256" t="s">
        <v>22</v>
      </c>
      <c r="C256">
        <v>8052</v>
      </c>
      <c r="D256">
        <v>2549</v>
      </c>
      <c r="E256">
        <v>7991</v>
      </c>
      <c r="F256">
        <v>18592</v>
      </c>
    </row>
    <row r="257" spans="1:6" x14ac:dyDescent="0.3">
      <c r="A257" s="1">
        <v>45470</v>
      </c>
      <c r="B257" t="s">
        <v>13</v>
      </c>
      <c r="C257">
        <v>9345</v>
      </c>
      <c r="D257">
        <v>7351</v>
      </c>
      <c r="E257">
        <v>2279</v>
      </c>
      <c r="F257">
        <v>18975</v>
      </c>
    </row>
    <row r="258" spans="1:6" x14ac:dyDescent="0.3">
      <c r="A258" s="1">
        <v>45486</v>
      </c>
      <c r="B258" t="s">
        <v>22</v>
      </c>
      <c r="C258">
        <v>9805</v>
      </c>
      <c r="D258">
        <v>5501</v>
      </c>
      <c r="E258">
        <v>2038</v>
      </c>
      <c r="F258">
        <v>17344</v>
      </c>
    </row>
    <row r="259" spans="1:6" x14ac:dyDescent="0.3">
      <c r="A259" s="1">
        <v>45573</v>
      </c>
      <c r="B259" t="s">
        <v>13</v>
      </c>
      <c r="C259">
        <v>11589</v>
      </c>
      <c r="D259">
        <v>6610</v>
      </c>
      <c r="E259">
        <v>5757</v>
      </c>
      <c r="F259">
        <v>23956</v>
      </c>
    </row>
    <row r="260" spans="1:6" x14ac:dyDescent="0.3">
      <c r="A260" s="1">
        <v>45481</v>
      </c>
      <c r="B260" t="s">
        <v>13</v>
      </c>
      <c r="C260">
        <v>6738</v>
      </c>
      <c r="D260">
        <v>2796</v>
      </c>
      <c r="E260">
        <v>4815</v>
      </c>
      <c r="F260">
        <v>14349</v>
      </c>
    </row>
    <row r="261" spans="1:6" x14ac:dyDescent="0.3">
      <c r="A261" s="1">
        <v>45464</v>
      </c>
      <c r="B261" t="s">
        <v>13</v>
      </c>
      <c r="C261">
        <v>17078</v>
      </c>
      <c r="D261">
        <v>5959</v>
      </c>
      <c r="E261">
        <v>3028</v>
      </c>
      <c r="F261">
        <v>26065</v>
      </c>
    </row>
    <row r="262" spans="1:6" x14ac:dyDescent="0.3">
      <c r="A262" s="1">
        <v>45567</v>
      </c>
      <c r="B262" t="s">
        <v>26</v>
      </c>
      <c r="C262">
        <v>15771</v>
      </c>
      <c r="D262">
        <v>1588</v>
      </c>
      <c r="E262">
        <v>5623</v>
      </c>
      <c r="F262">
        <v>22982</v>
      </c>
    </row>
    <row r="263" spans="1:6" x14ac:dyDescent="0.3">
      <c r="A263" s="1">
        <v>45572</v>
      </c>
      <c r="B263" t="s">
        <v>22</v>
      </c>
      <c r="C263">
        <v>19499</v>
      </c>
      <c r="D263">
        <v>6098</v>
      </c>
      <c r="E263">
        <v>3077</v>
      </c>
      <c r="F263">
        <v>28674</v>
      </c>
    </row>
    <row r="264" spans="1:6" x14ac:dyDescent="0.3">
      <c r="A264" s="1">
        <v>45480</v>
      </c>
      <c r="B264" t="s">
        <v>22</v>
      </c>
      <c r="C264">
        <v>17137</v>
      </c>
      <c r="D264">
        <v>7245</v>
      </c>
      <c r="E264">
        <v>5594</v>
      </c>
      <c r="F264">
        <v>29976</v>
      </c>
    </row>
    <row r="265" spans="1:6" x14ac:dyDescent="0.3">
      <c r="A265" s="1">
        <v>45395</v>
      </c>
      <c r="B265" t="s">
        <v>26</v>
      </c>
      <c r="C265">
        <v>17142</v>
      </c>
      <c r="D265">
        <v>1217</v>
      </c>
      <c r="E265">
        <v>7272</v>
      </c>
      <c r="F265">
        <v>25631</v>
      </c>
    </row>
    <row r="266" spans="1:6" x14ac:dyDescent="0.3">
      <c r="A266" s="1">
        <v>45319</v>
      </c>
      <c r="B266" t="s">
        <v>22</v>
      </c>
      <c r="C266">
        <v>8796</v>
      </c>
      <c r="D266">
        <v>9974</v>
      </c>
      <c r="E266">
        <v>7699</v>
      </c>
      <c r="F266">
        <v>26469</v>
      </c>
    </row>
    <row r="267" spans="1:6" x14ac:dyDescent="0.3">
      <c r="A267" s="1">
        <v>45430</v>
      </c>
      <c r="B267" t="s">
        <v>13</v>
      </c>
      <c r="C267">
        <v>17675</v>
      </c>
      <c r="D267">
        <v>1226</v>
      </c>
      <c r="E267">
        <v>5982</v>
      </c>
      <c r="F267">
        <v>24883</v>
      </c>
    </row>
    <row r="268" spans="1:6" x14ac:dyDescent="0.3">
      <c r="A268" s="1">
        <v>45348</v>
      </c>
      <c r="B268" t="s">
        <v>35</v>
      </c>
      <c r="C268">
        <v>3086</v>
      </c>
      <c r="D268">
        <v>9499</v>
      </c>
      <c r="E268">
        <v>4473</v>
      </c>
      <c r="F268">
        <v>17058</v>
      </c>
    </row>
    <row r="269" spans="1:6" x14ac:dyDescent="0.3">
      <c r="A269" s="1">
        <v>45359</v>
      </c>
      <c r="B269" t="s">
        <v>26</v>
      </c>
      <c r="C269">
        <v>5453</v>
      </c>
      <c r="D269">
        <v>7907</v>
      </c>
      <c r="E269">
        <v>1140</v>
      </c>
      <c r="F269">
        <v>14500</v>
      </c>
    </row>
    <row r="270" spans="1:6" x14ac:dyDescent="0.3">
      <c r="A270" s="1">
        <v>45635</v>
      </c>
      <c r="B270" t="s">
        <v>9</v>
      </c>
      <c r="C270">
        <v>18863</v>
      </c>
      <c r="D270">
        <v>6310</v>
      </c>
      <c r="E270">
        <v>3457</v>
      </c>
      <c r="F270">
        <v>28630</v>
      </c>
    </row>
    <row r="271" spans="1:6" x14ac:dyDescent="0.3">
      <c r="A271" s="1">
        <v>45539</v>
      </c>
      <c r="B271" t="s">
        <v>22</v>
      </c>
      <c r="C271">
        <v>18947</v>
      </c>
      <c r="D271">
        <v>1376</v>
      </c>
      <c r="E271">
        <v>5611</v>
      </c>
      <c r="F271">
        <v>25934</v>
      </c>
    </row>
    <row r="272" spans="1:6" x14ac:dyDescent="0.3">
      <c r="A272" s="1">
        <v>45578</v>
      </c>
      <c r="B272" t="s">
        <v>13</v>
      </c>
      <c r="C272">
        <v>2779</v>
      </c>
      <c r="D272">
        <v>3426</v>
      </c>
      <c r="E272">
        <v>3738</v>
      </c>
      <c r="F272">
        <v>9943</v>
      </c>
    </row>
    <row r="273" spans="1:6" x14ac:dyDescent="0.3">
      <c r="A273" s="1">
        <v>45612</v>
      </c>
      <c r="B273" t="s">
        <v>22</v>
      </c>
      <c r="C273">
        <v>7929</v>
      </c>
      <c r="D273">
        <v>2677</v>
      </c>
      <c r="E273">
        <v>7143</v>
      </c>
      <c r="F273">
        <v>17749</v>
      </c>
    </row>
    <row r="274" spans="1:6" x14ac:dyDescent="0.3">
      <c r="A274" s="1">
        <v>45447</v>
      </c>
      <c r="B274" t="s">
        <v>22</v>
      </c>
      <c r="C274">
        <v>6267</v>
      </c>
      <c r="D274">
        <v>1019</v>
      </c>
      <c r="E274">
        <v>3036</v>
      </c>
      <c r="F274">
        <v>10322</v>
      </c>
    </row>
    <row r="275" spans="1:6" x14ac:dyDescent="0.3">
      <c r="A275" s="1">
        <v>45488</v>
      </c>
      <c r="B275" t="s">
        <v>13</v>
      </c>
      <c r="C275">
        <v>16682</v>
      </c>
      <c r="D275">
        <v>4363</v>
      </c>
      <c r="E275">
        <v>2457</v>
      </c>
      <c r="F275">
        <v>23502</v>
      </c>
    </row>
    <row r="276" spans="1:6" x14ac:dyDescent="0.3">
      <c r="A276" s="1">
        <v>45511</v>
      </c>
      <c r="B276" t="s">
        <v>26</v>
      </c>
      <c r="C276">
        <v>8590</v>
      </c>
      <c r="D276">
        <v>2164</v>
      </c>
      <c r="E276">
        <v>4133</v>
      </c>
      <c r="F276">
        <v>14887</v>
      </c>
    </row>
    <row r="277" spans="1:6" x14ac:dyDescent="0.3">
      <c r="A277" s="1">
        <v>45408</v>
      </c>
      <c r="B277" t="s">
        <v>13</v>
      </c>
      <c r="C277">
        <v>5913</v>
      </c>
      <c r="D277">
        <v>4683</v>
      </c>
      <c r="E277">
        <v>1020</v>
      </c>
      <c r="F277">
        <v>11616</v>
      </c>
    </row>
    <row r="278" spans="1:6" x14ac:dyDescent="0.3">
      <c r="A278" s="1">
        <v>45387</v>
      </c>
      <c r="B278" t="s">
        <v>35</v>
      </c>
      <c r="C278">
        <v>19508</v>
      </c>
      <c r="D278">
        <v>2851</v>
      </c>
      <c r="E278">
        <v>2907</v>
      </c>
      <c r="F278">
        <v>25266</v>
      </c>
    </row>
    <row r="279" spans="1:6" x14ac:dyDescent="0.3">
      <c r="A279" s="1">
        <v>45530</v>
      </c>
      <c r="B279" t="s">
        <v>9</v>
      </c>
      <c r="C279">
        <v>11755</v>
      </c>
      <c r="D279">
        <v>8871</v>
      </c>
      <c r="E279">
        <v>3342</v>
      </c>
      <c r="F279">
        <v>23968</v>
      </c>
    </row>
    <row r="280" spans="1:6" x14ac:dyDescent="0.3">
      <c r="A280" s="1">
        <v>45321</v>
      </c>
      <c r="B280" t="s">
        <v>9</v>
      </c>
      <c r="C280">
        <v>8090</v>
      </c>
      <c r="D280">
        <v>1938</v>
      </c>
      <c r="E280">
        <v>1103</v>
      </c>
      <c r="F280">
        <v>11131</v>
      </c>
    </row>
    <row r="281" spans="1:6" x14ac:dyDescent="0.3">
      <c r="A281" s="1">
        <v>45514</v>
      </c>
      <c r="B281" t="s">
        <v>13</v>
      </c>
      <c r="C281">
        <v>2628</v>
      </c>
      <c r="D281">
        <v>6926</v>
      </c>
      <c r="E281">
        <v>6546</v>
      </c>
      <c r="F281">
        <v>16100</v>
      </c>
    </row>
    <row r="282" spans="1:6" x14ac:dyDescent="0.3">
      <c r="A282" s="1">
        <v>45630</v>
      </c>
      <c r="B282" t="s">
        <v>22</v>
      </c>
      <c r="C282">
        <v>7103</v>
      </c>
      <c r="D282">
        <v>8113</v>
      </c>
      <c r="E282">
        <v>5953</v>
      </c>
      <c r="F282">
        <v>21169</v>
      </c>
    </row>
    <row r="283" spans="1:6" x14ac:dyDescent="0.3">
      <c r="A283" s="1">
        <v>45315</v>
      </c>
      <c r="B283" t="s">
        <v>9</v>
      </c>
      <c r="C283">
        <v>6716</v>
      </c>
      <c r="D283">
        <v>3712</v>
      </c>
      <c r="E283">
        <v>2085</v>
      </c>
      <c r="F283">
        <v>12513</v>
      </c>
    </row>
    <row r="284" spans="1:6" x14ac:dyDescent="0.3">
      <c r="A284" s="1">
        <v>45568</v>
      </c>
      <c r="B284" t="s">
        <v>13</v>
      </c>
      <c r="C284">
        <v>4524</v>
      </c>
      <c r="D284">
        <v>1887</v>
      </c>
      <c r="E284">
        <v>4853</v>
      </c>
      <c r="F284">
        <v>11264</v>
      </c>
    </row>
    <row r="285" spans="1:6" x14ac:dyDescent="0.3">
      <c r="A285" s="1">
        <v>45593</v>
      </c>
      <c r="B285" t="s">
        <v>22</v>
      </c>
      <c r="C285">
        <v>16600</v>
      </c>
      <c r="D285">
        <v>6303</v>
      </c>
      <c r="E285">
        <v>3196</v>
      </c>
      <c r="F285">
        <v>26099</v>
      </c>
    </row>
    <row r="286" spans="1:6" x14ac:dyDescent="0.3">
      <c r="A286" s="1">
        <v>45411</v>
      </c>
      <c r="B286" t="s">
        <v>13</v>
      </c>
      <c r="C286">
        <v>9687</v>
      </c>
      <c r="D286">
        <v>1813</v>
      </c>
      <c r="E286">
        <v>691</v>
      </c>
      <c r="F286">
        <v>12191</v>
      </c>
    </row>
    <row r="287" spans="1:6" x14ac:dyDescent="0.3">
      <c r="A287" s="1">
        <v>45359</v>
      </c>
      <c r="B287" t="s">
        <v>13</v>
      </c>
      <c r="C287">
        <v>4976</v>
      </c>
      <c r="D287">
        <v>5411</v>
      </c>
      <c r="E287">
        <v>3106</v>
      </c>
      <c r="F287">
        <v>13493</v>
      </c>
    </row>
    <row r="288" spans="1:6" x14ac:dyDescent="0.3">
      <c r="A288" s="1">
        <v>45549</v>
      </c>
      <c r="B288" t="s">
        <v>22</v>
      </c>
      <c r="C288">
        <v>6725</v>
      </c>
      <c r="D288">
        <v>1281</v>
      </c>
      <c r="E288">
        <v>5518</v>
      </c>
      <c r="F288">
        <v>13524</v>
      </c>
    </row>
    <row r="289" spans="1:6" x14ac:dyDescent="0.3">
      <c r="A289" s="1">
        <v>45511</v>
      </c>
      <c r="B289" t="s">
        <v>9</v>
      </c>
      <c r="C289">
        <v>14515</v>
      </c>
      <c r="D289">
        <v>1240</v>
      </c>
      <c r="E289">
        <v>5973</v>
      </c>
      <c r="F289">
        <v>21728</v>
      </c>
    </row>
    <row r="290" spans="1:6" x14ac:dyDescent="0.3">
      <c r="A290" s="1">
        <v>45547</v>
      </c>
      <c r="B290" t="s">
        <v>35</v>
      </c>
      <c r="C290">
        <v>11416</v>
      </c>
      <c r="D290">
        <v>5701</v>
      </c>
      <c r="E290">
        <v>643</v>
      </c>
      <c r="F290">
        <v>17760</v>
      </c>
    </row>
    <row r="291" spans="1:6" x14ac:dyDescent="0.3">
      <c r="A291" s="1">
        <v>45358</v>
      </c>
      <c r="B291" t="s">
        <v>13</v>
      </c>
      <c r="C291">
        <v>9341</v>
      </c>
      <c r="D291">
        <v>5716</v>
      </c>
      <c r="E291">
        <v>5704</v>
      </c>
      <c r="F291">
        <v>20761</v>
      </c>
    </row>
    <row r="292" spans="1:6" x14ac:dyDescent="0.3">
      <c r="A292" s="1">
        <v>45402</v>
      </c>
      <c r="B292" t="s">
        <v>35</v>
      </c>
      <c r="C292">
        <v>10001</v>
      </c>
      <c r="D292">
        <v>6616</v>
      </c>
      <c r="E292">
        <v>6236</v>
      </c>
      <c r="F292">
        <v>22853</v>
      </c>
    </row>
    <row r="293" spans="1:6" x14ac:dyDescent="0.3">
      <c r="A293" s="1">
        <v>45520</v>
      </c>
      <c r="B293" t="s">
        <v>13</v>
      </c>
      <c r="C293">
        <v>19919</v>
      </c>
      <c r="D293">
        <v>7253</v>
      </c>
      <c r="E293">
        <v>1087</v>
      </c>
      <c r="F293">
        <v>28259</v>
      </c>
    </row>
    <row r="294" spans="1:6" x14ac:dyDescent="0.3">
      <c r="A294" s="1">
        <v>45424</v>
      </c>
      <c r="B294" t="s">
        <v>13</v>
      </c>
      <c r="C294">
        <v>4506</v>
      </c>
      <c r="D294">
        <v>7422</v>
      </c>
      <c r="E294">
        <v>869</v>
      </c>
      <c r="F294">
        <v>12797</v>
      </c>
    </row>
    <row r="295" spans="1:6" x14ac:dyDescent="0.3">
      <c r="A295" s="1">
        <v>45460</v>
      </c>
      <c r="B295" t="s">
        <v>35</v>
      </c>
      <c r="C295">
        <v>16983</v>
      </c>
      <c r="D295">
        <v>1794</v>
      </c>
      <c r="E295">
        <v>2423</v>
      </c>
      <c r="F295">
        <v>21200</v>
      </c>
    </row>
    <row r="296" spans="1:6" x14ac:dyDescent="0.3">
      <c r="A296" s="1">
        <v>45575</v>
      </c>
      <c r="B296" t="s">
        <v>13</v>
      </c>
      <c r="C296">
        <v>5265</v>
      </c>
      <c r="D296">
        <v>8834</v>
      </c>
      <c r="E296">
        <v>1924</v>
      </c>
      <c r="F296">
        <v>16023</v>
      </c>
    </row>
    <row r="297" spans="1:6" x14ac:dyDescent="0.3">
      <c r="A297" s="1">
        <v>45562</v>
      </c>
      <c r="B297" t="s">
        <v>26</v>
      </c>
      <c r="C297">
        <v>18200</v>
      </c>
      <c r="D297">
        <v>4145</v>
      </c>
      <c r="E297">
        <v>1290</v>
      </c>
      <c r="F297">
        <v>23635</v>
      </c>
    </row>
    <row r="298" spans="1:6" x14ac:dyDescent="0.3">
      <c r="A298" s="1">
        <v>45618</v>
      </c>
      <c r="B298" t="s">
        <v>26</v>
      </c>
      <c r="C298">
        <v>2516</v>
      </c>
      <c r="D298">
        <v>9424</v>
      </c>
      <c r="E298">
        <v>838</v>
      </c>
      <c r="F298">
        <v>12778</v>
      </c>
    </row>
    <row r="299" spans="1:6" x14ac:dyDescent="0.3">
      <c r="A299" s="1">
        <v>45626</v>
      </c>
      <c r="B299" t="s">
        <v>26</v>
      </c>
      <c r="C299">
        <v>9879</v>
      </c>
      <c r="D299">
        <v>6367</v>
      </c>
      <c r="E299">
        <v>3043</v>
      </c>
      <c r="F299">
        <v>19289</v>
      </c>
    </row>
    <row r="300" spans="1:6" x14ac:dyDescent="0.3">
      <c r="A300" s="1">
        <v>45317</v>
      </c>
      <c r="B300" t="s">
        <v>26</v>
      </c>
      <c r="C300">
        <v>10053</v>
      </c>
      <c r="D300">
        <v>3222</v>
      </c>
      <c r="E300">
        <v>7882</v>
      </c>
      <c r="F300">
        <v>21157</v>
      </c>
    </row>
    <row r="301" spans="1:6" x14ac:dyDescent="0.3">
      <c r="A301" s="1">
        <v>45357</v>
      </c>
      <c r="B301" t="s">
        <v>35</v>
      </c>
      <c r="C301">
        <v>10143</v>
      </c>
      <c r="D301">
        <v>1846</v>
      </c>
      <c r="E301">
        <v>5374</v>
      </c>
      <c r="F301">
        <v>17363</v>
      </c>
    </row>
    <row r="302" spans="1:6" x14ac:dyDescent="0.3">
      <c r="A302" s="1">
        <v>45462</v>
      </c>
      <c r="B302" t="s">
        <v>13</v>
      </c>
      <c r="C302">
        <v>9540</v>
      </c>
      <c r="D302">
        <v>3229</v>
      </c>
      <c r="E302">
        <v>5642</v>
      </c>
      <c r="F302">
        <v>18411</v>
      </c>
    </row>
    <row r="303" spans="1:6" x14ac:dyDescent="0.3">
      <c r="A303" s="1">
        <v>45519</v>
      </c>
      <c r="B303" t="s">
        <v>13</v>
      </c>
      <c r="C303">
        <v>16742</v>
      </c>
      <c r="D303">
        <v>4219</v>
      </c>
      <c r="E303">
        <v>2050</v>
      </c>
      <c r="F303">
        <v>23011</v>
      </c>
    </row>
    <row r="304" spans="1:6" x14ac:dyDescent="0.3">
      <c r="A304" s="1">
        <v>45565</v>
      </c>
      <c r="B304" t="s">
        <v>13</v>
      </c>
      <c r="C304">
        <v>3407</v>
      </c>
      <c r="D304">
        <v>4448</v>
      </c>
      <c r="E304">
        <v>6423</v>
      </c>
      <c r="F304">
        <v>14278</v>
      </c>
    </row>
    <row r="305" spans="1:6" x14ac:dyDescent="0.3">
      <c r="A305" s="1">
        <v>45321</v>
      </c>
      <c r="B305" t="s">
        <v>26</v>
      </c>
      <c r="C305">
        <v>18461</v>
      </c>
      <c r="D305">
        <v>6215</v>
      </c>
      <c r="E305">
        <v>1745</v>
      </c>
      <c r="F305">
        <v>26421</v>
      </c>
    </row>
    <row r="306" spans="1:6" x14ac:dyDescent="0.3">
      <c r="A306" s="1">
        <v>45403</v>
      </c>
      <c r="B306" t="s">
        <v>22</v>
      </c>
      <c r="C306">
        <v>14376</v>
      </c>
      <c r="D306">
        <v>3860</v>
      </c>
      <c r="E306">
        <v>1390</v>
      </c>
      <c r="F306">
        <v>19626</v>
      </c>
    </row>
    <row r="307" spans="1:6" x14ac:dyDescent="0.3">
      <c r="A307" s="1">
        <v>45398</v>
      </c>
      <c r="B307" t="s">
        <v>35</v>
      </c>
      <c r="C307">
        <v>5038</v>
      </c>
      <c r="D307">
        <v>3959</v>
      </c>
      <c r="E307">
        <v>736</v>
      </c>
      <c r="F307">
        <v>9733</v>
      </c>
    </row>
    <row r="308" spans="1:6" x14ac:dyDescent="0.3">
      <c r="A308" s="1">
        <v>45381</v>
      </c>
      <c r="B308" t="s">
        <v>35</v>
      </c>
      <c r="C308">
        <v>15900</v>
      </c>
      <c r="D308">
        <v>1296</v>
      </c>
      <c r="E308">
        <v>4221</v>
      </c>
      <c r="F308">
        <v>21417</v>
      </c>
    </row>
    <row r="309" spans="1:6" x14ac:dyDescent="0.3">
      <c r="A309" s="1">
        <v>45331</v>
      </c>
      <c r="B309" t="s">
        <v>13</v>
      </c>
      <c r="C309">
        <v>13224</v>
      </c>
      <c r="D309">
        <v>8932</v>
      </c>
      <c r="E309">
        <v>1224</v>
      </c>
      <c r="F309">
        <v>23380</v>
      </c>
    </row>
    <row r="310" spans="1:6" x14ac:dyDescent="0.3">
      <c r="A310" s="1">
        <v>45439</v>
      </c>
      <c r="B310" t="s">
        <v>26</v>
      </c>
      <c r="C310">
        <v>17125</v>
      </c>
      <c r="D310">
        <v>7642</v>
      </c>
      <c r="E310">
        <v>4631</v>
      </c>
      <c r="F310">
        <v>29398</v>
      </c>
    </row>
    <row r="311" spans="1:6" x14ac:dyDescent="0.3">
      <c r="A311" s="1">
        <v>45459</v>
      </c>
      <c r="B311" t="s">
        <v>26</v>
      </c>
      <c r="C311">
        <v>9376</v>
      </c>
      <c r="D311">
        <v>2948</v>
      </c>
      <c r="E311">
        <v>6697</v>
      </c>
      <c r="F311">
        <v>19021</v>
      </c>
    </row>
    <row r="312" spans="1:6" x14ac:dyDescent="0.3">
      <c r="A312" s="1">
        <v>45493</v>
      </c>
      <c r="B312" t="s">
        <v>13</v>
      </c>
      <c r="C312">
        <v>7530</v>
      </c>
      <c r="D312">
        <v>2647</v>
      </c>
      <c r="E312">
        <v>4139</v>
      </c>
      <c r="F312">
        <v>14316</v>
      </c>
    </row>
    <row r="313" spans="1:6" x14ac:dyDescent="0.3">
      <c r="A313" s="1">
        <v>45612</v>
      </c>
      <c r="B313" t="s">
        <v>35</v>
      </c>
      <c r="C313">
        <v>15022</v>
      </c>
      <c r="D313">
        <v>3704</v>
      </c>
      <c r="E313">
        <v>6130</v>
      </c>
      <c r="F313">
        <v>24856</v>
      </c>
    </row>
    <row r="314" spans="1:6" x14ac:dyDescent="0.3">
      <c r="A314" s="1">
        <v>45440</v>
      </c>
      <c r="B314" t="s">
        <v>22</v>
      </c>
      <c r="C314">
        <v>19717</v>
      </c>
      <c r="D314">
        <v>9454</v>
      </c>
      <c r="E314">
        <v>1836</v>
      </c>
      <c r="F314">
        <v>31007</v>
      </c>
    </row>
    <row r="315" spans="1:6" x14ac:dyDescent="0.3">
      <c r="A315" s="1">
        <v>45423</v>
      </c>
      <c r="B315" t="s">
        <v>35</v>
      </c>
      <c r="C315">
        <v>13867</v>
      </c>
      <c r="D315">
        <v>3697</v>
      </c>
      <c r="E315">
        <v>2549</v>
      </c>
      <c r="F315">
        <v>20113</v>
      </c>
    </row>
    <row r="316" spans="1:6" x14ac:dyDescent="0.3">
      <c r="A316" s="1">
        <v>45514</v>
      </c>
      <c r="B316" t="s">
        <v>26</v>
      </c>
      <c r="C316">
        <v>6949</v>
      </c>
      <c r="D316">
        <v>5212</v>
      </c>
      <c r="E316">
        <v>1276</v>
      </c>
      <c r="F316">
        <v>13437</v>
      </c>
    </row>
    <row r="317" spans="1:6" x14ac:dyDescent="0.3">
      <c r="A317" s="1">
        <v>45293</v>
      </c>
      <c r="B317" t="s">
        <v>26</v>
      </c>
      <c r="C317">
        <v>12490</v>
      </c>
      <c r="D317">
        <v>2923</v>
      </c>
      <c r="E317">
        <v>4119</v>
      </c>
      <c r="F317">
        <v>19532</v>
      </c>
    </row>
    <row r="318" spans="1:6" x14ac:dyDescent="0.3">
      <c r="A318" s="1">
        <v>45402</v>
      </c>
      <c r="B318" t="s">
        <v>35</v>
      </c>
      <c r="C318">
        <v>4854</v>
      </c>
      <c r="D318">
        <v>3986</v>
      </c>
      <c r="E318">
        <v>853</v>
      </c>
      <c r="F318">
        <v>9693</v>
      </c>
    </row>
    <row r="319" spans="1:6" x14ac:dyDescent="0.3">
      <c r="A319" s="1">
        <v>45611</v>
      </c>
      <c r="B319" t="s">
        <v>35</v>
      </c>
      <c r="C319">
        <v>4008</v>
      </c>
      <c r="D319">
        <v>4705</v>
      </c>
      <c r="E319">
        <v>4205</v>
      </c>
      <c r="F319">
        <v>12918</v>
      </c>
    </row>
    <row r="320" spans="1:6" x14ac:dyDescent="0.3">
      <c r="A320" s="1">
        <v>45440</v>
      </c>
      <c r="B320" t="s">
        <v>26</v>
      </c>
      <c r="C320">
        <v>7627</v>
      </c>
      <c r="D320">
        <v>5137</v>
      </c>
      <c r="E320">
        <v>6649</v>
      </c>
      <c r="F320">
        <v>19413</v>
      </c>
    </row>
    <row r="321" spans="1:6" x14ac:dyDescent="0.3">
      <c r="A321" s="1">
        <v>45650</v>
      </c>
      <c r="B321" t="s">
        <v>13</v>
      </c>
      <c r="C321">
        <v>8861</v>
      </c>
      <c r="D321">
        <v>6925</v>
      </c>
      <c r="E321">
        <v>5625</v>
      </c>
      <c r="F321">
        <v>21411</v>
      </c>
    </row>
    <row r="322" spans="1:6" x14ac:dyDescent="0.3">
      <c r="A322" s="1">
        <v>45476</v>
      </c>
      <c r="B322" t="s">
        <v>22</v>
      </c>
      <c r="C322">
        <v>18157</v>
      </c>
      <c r="D322">
        <v>5498</v>
      </c>
      <c r="E322">
        <v>7288</v>
      </c>
      <c r="F322">
        <v>30943</v>
      </c>
    </row>
    <row r="323" spans="1:6" x14ac:dyDescent="0.3">
      <c r="A323" s="1">
        <v>45546</v>
      </c>
      <c r="B323" t="s">
        <v>22</v>
      </c>
      <c r="C323">
        <v>6688</v>
      </c>
      <c r="D323">
        <v>1727</v>
      </c>
      <c r="E323">
        <v>1071</v>
      </c>
      <c r="F323">
        <v>9486</v>
      </c>
    </row>
    <row r="324" spans="1:6" x14ac:dyDescent="0.3">
      <c r="A324" s="1">
        <v>45434</v>
      </c>
      <c r="B324" t="s">
        <v>9</v>
      </c>
      <c r="C324">
        <v>5437</v>
      </c>
      <c r="D324">
        <v>4186</v>
      </c>
      <c r="E324">
        <v>2870</v>
      </c>
      <c r="F324">
        <v>12493</v>
      </c>
    </row>
    <row r="325" spans="1:6" x14ac:dyDescent="0.3">
      <c r="A325" s="1">
        <v>45553</v>
      </c>
      <c r="B325" t="s">
        <v>26</v>
      </c>
      <c r="C325">
        <v>3527</v>
      </c>
      <c r="D325">
        <v>5645</v>
      </c>
      <c r="E325">
        <v>2937</v>
      </c>
      <c r="F325">
        <v>12109</v>
      </c>
    </row>
    <row r="326" spans="1:6" x14ac:dyDescent="0.3">
      <c r="A326" s="1">
        <v>45650</v>
      </c>
      <c r="B326" t="s">
        <v>26</v>
      </c>
      <c r="C326">
        <v>7612</v>
      </c>
      <c r="D326">
        <v>5649</v>
      </c>
      <c r="E326">
        <v>1740</v>
      </c>
      <c r="F326">
        <v>15001</v>
      </c>
    </row>
    <row r="327" spans="1:6" x14ac:dyDescent="0.3">
      <c r="A327" s="1">
        <v>45592</v>
      </c>
      <c r="B327" t="s">
        <v>13</v>
      </c>
      <c r="C327">
        <v>17852</v>
      </c>
      <c r="D327">
        <v>2808</v>
      </c>
      <c r="E327">
        <v>1353</v>
      </c>
      <c r="F327">
        <v>22013</v>
      </c>
    </row>
    <row r="328" spans="1:6" x14ac:dyDescent="0.3">
      <c r="A328" s="1">
        <v>45491</v>
      </c>
      <c r="B328" t="s">
        <v>22</v>
      </c>
      <c r="C328">
        <v>4781</v>
      </c>
      <c r="D328">
        <v>2418</v>
      </c>
      <c r="E328">
        <v>6879</v>
      </c>
      <c r="F328">
        <v>14078</v>
      </c>
    </row>
    <row r="329" spans="1:6" x14ac:dyDescent="0.3">
      <c r="A329" s="1">
        <v>45496</v>
      </c>
      <c r="B329" t="s">
        <v>35</v>
      </c>
      <c r="C329">
        <v>2019</v>
      </c>
      <c r="D329">
        <v>4680</v>
      </c>
      <c r="E329">
        <v>2595</v>
      </c>
      <c r="F329">
        <v>9294</v>
      </c>
    </row>
    <row r="330" spans="1:6" x14ac:dyDescent="0.3">
      <c r="A330" s="1">
        <v>45626</v>
      </c>
      <c r="B330" t="s">
        <v>26</v>
      </c>
      <c r="C330">
        <v>18692</v>
      </c>
      <c r="D330">
        <v>2507</v>
      </c>
      <c r="E330">
        <v>1144</v>
      </c>
      <c r="F330">
        <v>22343</v>
      </c>
    </row>
    <row r="331" spans="1:6" x14ac:dyDescent="0.3">
      <c r="A331" s="1">
        <v>45562</v>
      </c>
      <c r="B331" t="s">
        <v>35</v>
      </c>
      <c r="C331">
        <v>4751</v>
      </c>
      <c r="D331">
        <v>2297</v>
      </c>
      <c r="E331">
        <v>5404</v>
      </c>
      <c r="F331">
        <v>12452</v>
      </c>
    </row>
    <row r="332" spans="1:6" x14ac:dyDescent="0.3">
      <c r="A332" s="1">
        <v>45487</v>
      </c>
      <c r="B332" t="s">
        <v>13</v>
      </c>
      <c r="C332">
        <v>4444</v>
      </c>
      <c r="D332">
        <v>2219</v>
      </c>
      <c r="E332">
        <v>3331</v>
      </c>
      <c r="F332">
        <v>9994</v>
      </c>
    </row>
    <row r="333" spans="1:6" x14ac:dyDescent="0.3">
      <c r="A333" s="1">
        <v>45512</v>
      </c>
      <c r="B333" t="s">
        <v>9</v>
      </c>
      <c r="C333">
        <v>17709</v>
      </c>
      <c r="D333">
        <v>4272</v>
      </c>
      <c r="E333">
        <v>3938</v>
      </c>
      <c r="F333">
        <v>25919</v>
      </c>
    </row>
    <row r="334" spans="1:6" x14ac:dyDescent="0.3">
      <c r="A334" s="1">
        <v>45354</v>
      </c>
      <c r="B334" t="s">
        <v>35</v>
      </c>
      <c r="C334">
        <v>9739</v>
      </c>
      <c r="D334">
        <v>9684</v>
      </c>
      <c r="E334">
        <v>6208</v>
      </c>
      <c r="F334">
        <v>25631</v>
      </c>
    </row>
    <row r="335" spans="1:6" x14ac:dyDescent="0.3">
      <c r="A335" s="1">
        <v>45399</v>
      </c>
      <c r="B335" t="s">
        <v>9</v>
      </c>
      <c r="C335">
        <v>2736</v>
      </c>
      <c r="D335">
        <v>8103</v>
      </c>
      <c r="E335">
        <v>3738</v>
      </c>
      <c r="F335">
        <v>14577</v>
      </c>
    </row>
    <row r="336" spans="1:6" x14ac:dyDescent="0.3">
      <c r="A336" s="1">
        <v>45564</v>
      </c>
      <c r="B336" t="s">
        <v>13</v>
      </c>
      <c r="C336">
        <v>18871</v>
      </c>
      <c r="D336">
        <v>9178</v>
      </c>
      <c r="E336">
        <v>5475</v>
      </c>
      <c r="F336">
        <v>33524</v>
      </c>
    </row>
    <row r="337" spans="1:6" x14ac:dyDescent="0.3">
      <c r="A337" s="1">
        <v>45492</v>
      </c>
      <c r="B337" t="s">
        <v>22</v>
      </c>
      <c r="C337">
        <v>13963</v>
      </c>
      <c r="D337">
        <v>5290</v>
      </c>
      <c r="E337">
        <v>5021</v>
      </c>
      <c r="F337">
        <v>24274</v>
      </c>
    </row>
    <row r="338" spans="1:6" x14ac:dyDescent="0.3">
      <c r="A338" s="1">
        <v>45446</v>
      </c>
      <c r="B338" t="s">
        <v>9</v>
      </c>
      <c r="C338">
        <v>11164</v>
      </c>
      <c r="D338">
        <v>3293</v>
      </c>
      <c r="E338">
        <v>2017</v>
      </c>
      <c r="F338">
        <v>16474</v>
      </c>
    </row>
    <row r="339" spans="1:6" x14ac:dyDescent="0.3">
      <c r="A339" s="1">
        <v>45575</v>
      </c>
      <c r="B339" t="s">
        <v>26</v>
      </c>
      <c r="C339">
        <v>5184</v>
      </c>
      <c r="D339">
        <v>6534</v>
      </c>
      <c r="E339">
        <v>4912</v>
      </c>
      <c r="F339">
        <v>16630</v>
      </c>
    </row>
    <row r="340" spans="1:6" x14ac:dyDescent="0.3">
      <c r="A340" s="1">
        <v>45311</v>
      </c>
      <c r="B340" t="s">
        <v>9</v>
      </c>
      <c r="C340">
        <v>6578</v>
      </c>
      <c r="D340">
        <v>2366</v>
      </c>
      <c r="E340">
        <v>5502</v>
      </c>
      <c r="F340">
        <v>14446</v>
      </c>
    </row>
    <row r="341" spans="1:6" x14ac:dyDescent="0.3">
      <c r="A341" s="1">
        <v>45615</v>
      </c>
      <c r="B341" t="s">
        <v>13</v>
      </c>
      <c r="C341">
        <v>18104</v>
      </c>
      <c r="D341">
        <v>8040</v>
      </c>
      <c r="E341">
        <v>1950</v>
      </c>
      <c r="F341">
        <v>28094</v>
      </c>
    </row>
    <row r="342" spans="1:6" x14ac:dyDescent="0.3">
      <c r="A342" s="1">
        <v>45324</v>
      </c>
      <c r="B342" t="s">
        <v>13</v>
      </c>
      <c r="C342">
        <v>16492</v>
      </c>
      <c r="D342">
        <v>3375</v>
      </c>
      <c r="E342">
        <v>6998</v>
      </c>
      <c r="F342">
        <v>26865</v>
      </c>
    </row>
    <row r="343" spans="1:6" x14ac:dyDescent="0.3">
      <c r="A343" s="1">
        <v>45551</v>
      </c>
      <c r="B343" t="s">
        <v>22</v>
      </c>
      <c r="C343">
        <v>11630</v>
      </c>
      <c r="D343">
        <v>2377</v>
      </c>
      <c r="E343">
        <v>5138</v>
      </c>
      <c r="F343">
        <v>19145</v>
      </c>
    </row>
    <row r="344" spans="1:6" x14ac:dyDescent="0.3">
      <c r="A344" s="1">
        <v>45601</v>
      </c>
      <c r="B344" t="s">
        <v>22</v>
      </c>
      <c r="C344">
        <v>13935</v>
      </c>
      <c r="D344">
        <v>3063</v>
      </c>
      <c r="E344">
        <v>7815</v>
      </c>
      <c r="F344">
        <v>24813</v>
      </c>
    </row>
    <row r="345" spans="1:6" x14ac:dyDescent="0.3">
      <c r="A345" s="1">
        <v>45604</v>
      </c>
      <c r="B345" t="s">
        <v>9</v>
      </c>
      <c r="C345">
        <v>19079</v>
      </c>
      <c r="D345">
        <v>5340</v>
      </c>
      <c r="E345">
        <v>1580</v>
      </c>
      <c r="F345">
        <v>25999</v>
      </c>
    </row>
    <row r="346" spans="1:6" x14ac:dyDescent="0.3">
      <c r="A346" s="1">
        <v>45530</v>
      </c>
      <c r="B346" t="s">
        <v>22</v>
      </c>
      <c r="C346">
        <v>7148</v>
      </c>
      <c r="D346">
        <v>2169</v>
      </c>
      <c r="E346">
        <v>802</v>
      </c>
      <c r="F346">
        <v>10119</v>
      </c>
    </row>
    <row r="347" spans="1:6" x14ac:dyDescent="0.3">
      <c r="A347" s="1">
        <v>45655</v>
      </c>
      <c r="B347" t="s">
        <v>13</v>
      </c>
      <c r="C347">
        <v>14733</v>
      </c>
      <c r="D347">
        <v>4411</v>
      </c>
      <c r="E347">
        <v>2791</v>
      </c>
      <c r="F347">
        <v>21935</v>
      </c>
    </row>
    <row r="348" spans="1:6" x14ac:dyDescent="0.3">
      <c r="A348" s="1">
        <v>45458</v>
      </c>
      <c r="B348" t="s">
        <v>9</v>
      </c>
      <c r="C348">
        <v>8822</v>
      </c>
      <c r="D348">
        <v>8718</v>
      </c>
      <c r="E348">
        <v>2488</v>
      </c>
      <c r="F348">
        <v>20028</v>
      </c>
    </row>
    <row r="349" spans="1:6" x14ac:dyDescent="0.3">
      <c r="A349" s="1">
        <v>45568</v>
      </c>
      <c r="B349" t="s">
        <v>13</v>
      </c>
      <c r="C349">
        <v>18950</v>
      </c>
      <c r="D349">
        <v>9036</v>
      </c>
      <c r="E349">
        <v>896</v>
      </c>
      <c r="F349">
        <v>28882</v>
      </c>
    </row>
    <row r="350" spans="1:6" x14ac:dyDescent="0.3">
      <c r="A350" s="1">
        <v>45296</v>
      </c>
      <c r="B350" t="s">
        <v>9</v>
      </c>
      <c r="C350">
        <v>12478</v>
      </c>
      <c r="D350">
        <v>2241</v>
      </c>
      <c r="E350">
        <v>6100</v>
      </c>
      <c r="F350">
        <v>20819</v>
      </c>
    </row>
    <row r="351" spans="1:6" x14ac:dyDescent="0.3">
      <c r="A351" s="1">
        <v>45481</v>
      </c>
      <c r="B351" t="s">
        <v>9</v>
      </c>
      <c r="C351">
        <v>2947</v>
      </c>
      <c r="D351">
        <v>5691</v>
      </c>
      <c r="E351">
        <v>4036</v>
      </c>
      <c r="F351">
        <v>12674</v>
      </c>
    </row>
    <row r="352" spans="1:6" x14ac:dyDescent="0.3">
      <c r="A352" s="1">
        <v>45365</v>
      </c>
      <c r="B352" t="s">
        <v>35</v>
      </c>
      <c r="C352">
        <v>2600</v>
      </c>
      <c r="D352">
        <v>4761</v>
      </c>
      <c r="E352">
        <v>5015</v>
      </c>
      <c r="F352">
        <v>12376</v>
      </c>
    </row>
    <row r="353" spans="1:6" x14ac:dyDescent="0.3">
      <c r="A353" s="1">
        <v>45541</v>
      </c>
      <c r="B353" t="s">
        <v>26</v>
      </c>
      <c r="C353">
        <v>13970</v>
      </c>
      <c r="D353">
        <v>9970</v>
      </c>
      <c r="E353">
        <v>3413</v>
      </c>
      <c r="F353">
        <v>27353</v>
      </c>
    </row>
    <row r="354" spans="1:6" x14ac:dyDescent="0.3">
      <c r="A354" s="1">
        <v>45382</v>
      </c>
      <c r="B354" t="s">
        <v>22</v>
      </c>
      <c r="C354">
        <v>19203</v>
      </c>
      <c r="D354">
        <v>4867</v>
      </c>
      <c r="E354">
        <v>844</v>
      </c>
      <c r="F354">
        <v>24914</v>
      </c>
    </row>
    <row r="355" spans="1:6" x14ac:dyDescent="0.3">
      <c r="A355" s="1">
        <v>45566</v>
      </c>
      <c r="B355" t="s">
        <v>13</v>
      </c>
      <c r="C355">
        <v>5436</v>
      </c>
      <c r="D355">
        <v>8557</v>
      </c>
      <c r="E355">
        <v>3301</v>
      </c>
      <c r="F355">
        <v>17294</v>
      </c>
    </row>
    <row r="356" spans="1:6" x14ac:dyDescent="0.3">
      <c r="A356" s="1">
        <v>45473</v>
      </c>
      <c r="B356" t="s">
        <v>9</v>
      </c>
      <c r="C356">
        <v>19028</v>
      </c>
      <c r="D356">
        <v>5859</v>
      </c>
      <c r="E356">
        <v>2610</v>
      </c>
      <c r="F356">
        <v>27497</v>
      </c>
    </row>
    <row r="357" spans="1:6" x14ac:dyDescent="0.3">
      <c r="A357" s="1">
        <v>45317</v>
      </c>
      <c r="B357" t="s">
        <v>13</v>
      </c>
      <c r="C357">
        <v>18367</v>
      </c>
      <c r="D357">
        <v>6332</v>
      </c>
      <c r="E357">
        <v>7913</v>
      </c>
      <c r="F357">
        <v>32612</v>
      </c>
    </row>
    <row r="358" spans="1:6" x14ac:dyDescent="0.3">
      <c r="A358" s="1">
        <v>45365</v>
      </c>
      <c r="B358" t="s">
        <v>22</v>
      </c>
      <c r="C358">
        <v>10841</v>
      </c>
      <c r="D358">
        <v>4305</v>
      </c>
      <c r="E358">
        <v>6504</v>
      </c>
      <c r="F358">
        <v>21650</v>
      </c>
    </row>
    <row r="359" spans="1:6" x14ac:dyDescent="0.3">
      <c r="A359" s="1">
        <v>45369</v>
      </c>
      <c r="B359" t="s">
        <v>9</v>
      </c>
      <c r="C359">
        <v>18971</v>
      </c>
      <c r="D359">
        <v>4780</v>
      </c>
      <c r="E359">
        <v>2833</v>
      </c>
      <c r="F359">
        <v>26584</v>
      </c>
    </row>
    <row r="360" spans="1:6" x14ac:dyDescent="0.3">
      <c r="A360" s="1">
        <v>45369</v>
      </c>
      <c r="B360" t="s">
        <v>9</v>
      </c>
      <c r="C360">
        <v>13902</v>
      </c>
      <c r="D360">
        <v>9229</v>
      </c>
      <c r="E360">
        <v>6911</v>
      </c>
      <c r="F360">
        <v>30042</v>
      </c>
    </row>
    <row r="361" spans="1:6" x14ac:dyDescent="0.3">
      <c r="A361" s="1">
        <v>45534</v>
      </c>
      <c r="B361" t="s">
        <v>35</v>
      </c>
      <c r="C361">
        <v>8464</v>
      </c>
      <c r="D361">
        <v>3180</v>
      </c>
      <c r="E361">
        <v>3633</v>
      </c>
      <c r="F361">
        <v>15277</v>
      </c>
    </row>
    <row r="362" spans="1:6" x14ac:dyDescent="0.3">
      <c r="A362" s="1">
        <v>45393</v>
      </c>
      <c r="B362" t="s">
        <v>26</v>
      </c>
      <c r="C362">
        <v>9026</v>
      </c>
      <c r="D362">
        <v>9753</v>
      </c>
      <c r="E362">
        <v>5006</v>
      </c>
      <c r="F362">
        <v>23785</v>
      </c>
    </row>
    <row r="363" spans="1:6" x14ac:dyDescent="0.3">
      <c r="A363" s="1">
        <v>45588</v>
      </c>
      <c r="B363" t="s">
        <v>9</v>
      </c>
      <c r="C363">
        <v>18042</v>
      </c>
      <c r="D363">
        <v>9718</v>
      </c>
      <c r="E363">
        <v>5365</v>
      </c>
      <c r="F363">
        <v>33125</v>
      </c>
    </row>
    <row r="364" spans="1:6" x14ac:dyDescent="0.3">
      <c r="A364" s="1">
        <v>45533</v>
      </c>
      <c r="B364" t="s">
        <v>26</v>
      </c>
      <c r="C364">
        <v>18620</v>
      </c>
      <c r="D364">
        <v>4021</v>
      </c>
      <c r="E364">
        <v>7709</v>
      </c>
      <c r="F364">
        <v>30350</v>
      </c>
    </row>
    <row r="365" spans="1:6" x14ac:dyDescent="0.3">
      <c r="A365" s="1">
        <v>45383</v>
      </c>
      <c r="B365" t="s">
        <v>26</v>
      </c>
      <c r="C365">
        <v>9592</v>
      </c>
      <c r="D365">
        <v>5177</v>
      </c>
      <c r="E365">
        <v>5408</v>
      </c>
      <c r="F365">
        <v>20177</v>
      </c>
    </row>
    <row r="366" spans="1:6" x14ac:dyDescent="0.3">
      <c r="A366" s="1">
        <v>45477</v>
      </c>
      <c r="B366" t="s">
        <v>9</v>
      </c>
      <c r="C366">
        <v>15025</v>
      </c>
      <c r="D366">
        <v>4766</v>
      </c>
      <c r="E366">
        <v>2064</v>
      </c>
      <c r="F366">
        <v>21855</v>
      </c>
    </row>
    <row r="367" spans="1:6" x14ac:dyDescent="0.3">
      <c r="A367" s="1">
        <v>45594</v>
      </c>
      <c r="B367" t="s">
        <v>9</v>
      </c>
      <c r="C367">
        <v>2926</v>
      </c>
      <c r="D367">
        <v>9554</v>
      </c>
      <c r="E367">
        <v>3935</v>
      </c>
      <c r="F367">
        <v>16415</v>
      </c>
    </row>
    <row r="368" spans="1:6" x14ac:dyDescent="0.3">
      <c r="A368" s="1">
        <v>45578</v>
      </c>
      <c r="B368" t="s">
        <v>26</v>
      </c>
      <c r="C368">
        <v>9748</v>
      </c>
      <c r="D368">
        <v>9027</v>
      </c>
      <c r="E368">
        <v>6327</v>
      </c>
      <c r="F368">
        <v>25102</v>
      </c>
    </row>
    <row r="369" spans="1:6" x14ac:dyDescent="0.3">
      <c r="A369" s="1">
        <v>45308</v>
      </c>
      <c r="B369" t="s">
        <v>26</v>
      </c>
      <c r="C369">
        <v>2463</v>
      </c>
      <c r="D369">
        <v>3205</v>
      </c>
      <c r="E369">
        <v>7756</v>
      </c>
      <c r="F369">
        <v>13424</v>
      </c>
    </row>
    <row r="370" spans="1:6" x14ac:dyDescent="0.3">
      <c r="A370" s="1">
        <v>45422</v>
      </c>
      <c r="B370" t="s">
        <v>9</v>
      </c>
      <c r="C370">
        <v>4392</v>
      </c>
      <c r="D370">
        <v>4890</v>
      </c>
      <c r="E370">
        <v>1624</v>
      </c>
      <c r="F370">
        <v>10906</v>
      </c>
    </row>
    <row r="371" spans="1:6" x14ac:dyDescent="0.3">
      <c r="A371" s="1">
        <v>45425</v>
      </c>
      <c r="B371" t="s">
        <v>35</v>
      </c>
      <c r="C371">
        <v>4132</v>
      </c>
      <c r="D371">
        <v>4117</v>
      </c>
      <c r="E371">
        <v>3867</v>
      </c>
      <c r="F371">
        <v>12116</v>
      </c>
    </row>
    <row r="372" spans="1:6" x14ac:dyDescent="0.3">
      <c r="A372" s="1">
        <v>45492</v>
      </c>
      <c r="B372" t="s">
        <v>9</v>
      </c>
      <c r="C372">
        <v>16609</v>
      </c>
      <c r="D372">
        <v>8979</v>
      </c>
      <c r="E372">
        <v>1258</v>
      </c>
      <c r="F372">
        <v>26846</v>
      </c>
    </row>
    <row r="373" spans="1:6" x14ac:dyDescent="0.3">
      <c r="A373" s="1">
        <v>45564</v>
      </c>
      <c r="B373" t="s">
        <v>35</v>
      </c>
      <c r="C373">
        <v>16402</v>
      </c>
      <c r="D373">
        <v>9380</v>
      </c>
      <c r="E373">
        <v>3168</v>
      </c>
      <c r="F373">
        <v>28950</v>
      </c>
    </row>
    <row r="374" spans="1:6" x14ac:dyDescent="0.3">
      <c r="A374" s="1">
        <v>45519</v>
      </c>
      <c r="B374" t="s">
        <v>9</v>
      </c>
      <c r="C374">
        <v>19985</v>
      </c>
      <c r="D374">
        <v>7235</v>
      </c>
      <c r="E374">
        <v>2475</v>
      </c>
      <c r="F374">
        <v>29695</v>
      </c>
    </row>
    <row r="375" spans="1:6" x14ac:dyDescent="0.3">
      <c r="A375" s="1">
        <v>45563</v>
      </c>
      <c r="B375" t="s">
        <v>9</v>
      </c>
      <c r="C375">
        <v>12294</v>
      </c>
      <c r="D375">
        <v>9276</v>
      </c>
      <c r="E375">
        <v>2450</v>
      </c>
      <c r="F375">
        <v>24020</v>
      </c>
    </row>
    <row r="376" spans="1:6" x14ac:dyDescent="0.3">
      <c r="A376" s="1">
        <v>45319</v>
      </c>
      <c r="B376" t="s">
        <v>26</v>
      </c>
      <c r="C376">
        <v>4309</v>
      </c>
      <c r="D376">
        <v>1124</v>
      </c>
      <c r="E376">
        <v>6359</v>
      </c>
      <c r="F376">
        <v>11792</v>
      </c>
    </row>
    <row r="377" spans="1:6" x14ac:dyDescent="0.3">
      <c r="A377" s="1">
        <v>45455</v>
      </c>
      <c r="B377" t="s">
        <v>26</v>
      </c>
      <c r="C377">
        <v>15512</v>
      </c>
      <c r="D377">
        <v>9215</v>
      </c>
      <c r="E377">
        <v>5686</v>
      </c>
      <c r="F377">
        <v>30413</v>
      </c>
    </row>
    <row r="378" spans="1:6" x14ac:dyDescent="0.3">
      <c r="A378" s="1">
        <v>45574</v>
      </c>
      <c r="B378" t="s">
        <v>22</v>
      </c>
      <c r="C378">
        <v>19422</v>
      </c>
      <c r="D378">
        <v>9354</v>
      </c>
      <c r="E378">
        <v>7167</v>
      </c>
      <c r="F378">
        <v>35943</v>
      </c>
    </row>
    <row r="379" spans="1:6" x14ac:dyDescent="0.3">
      <c r="A379" s="1">
        <v>45655</v>
      </c>
      <c r="B379" t="s">
        <v>35</v>
      </c>
      <c r="C379">
        <v>8588</v>
      </c>
      <c r="D379">
        <v>5936</v>
      </c>
      <c r="E379">
        <v>3148</v>
      </c>
      <c r="F379">
        <v>17672</v>
      </c>
    </row>
    <row r="380" spans="1:6" x14ac:dyDescent="0.3">
      <c r="A380" s="1">
        <v>45551</v>
      </c>
      <c r="B380" t="s">
        <v>22</v>
      </c>
      <c r="C380">
        <v>11358</v>
      </c>
      <c r="D380">
        <v>1089</v>
      </c>
      <c r="E380">
        <v>5346</v>
      </c>
      <c r="F380">
        <v>17793</v>
      </c>
    </row>
    <row r="381" spans="1:6" x14ac:dyDescent="0.3">
      <c r="A381" s="1">
        <v>45552</v>
      </c>
      <c r="B381" t="s">
        <v>22</v>
      </c>
      <c r="C381">
        <v>6106</v>
      </c>
      <c r="D381">
        <v>3201</v>
      </c>
      <c r="E381">
        <v>1436</v>
      </c>
      <c r="F381">
        <v>10743</v>
      </c>
    </row>
    <row r="382" spans="1:6" x14ac:dyDescent="0.3">
      <c r="A382" s="1">
        <v>45295</v>
      </c>
      <c r="B382" t="s">
        <v>9</v>
      </c>
      <c r="C382">
        <v>18740</v>
      </c>
      <c r="D382">
        <v>4550</v>
      </c>
      <c r="E382">
        <v>6602</v>
      </c>
      <c r="F382">
        <v>29892</v>
      </c>
    </row>
    <row r="383" spans="1:6" x14ac:dyDescent="0.3">
      <c r="A383" s="1">
        <v>45588</v>
      </c>
      <c r="B383" t="s">
        <v>9</v>
      </c>
      <c r="C383">
        <v>16265</v>
      </c>
      <c r="D383">
        <v>9941</v>
      </c>
      <c r="E383">
        <v>7559</v>
      </c>
      <c r="F383">
        <v>33765</v>
      </c>
    </row>
    <row r="384" spans="1:6" x14ac:dyDescent="0.3">
      <c r="A384" s="1">
        <v>45400</v>
      </c>
      <c r="B384" t="s">
        <v>35</v>
      </c>
      <c r="C384">
        <v>6570</v>
      </c>
      <c r="D384">
        <v>8400</v>
      </c>
      <c r="E384">
        <v>4948</v>
      </c>
      <c r="F384">
        <v>19918</v>
      </c>
    </row>
    <row r="385" spans="1:6" x14ac:dyDescent="0.3">
      <c r="A385" s="1">
        <v>45631</v>
      </c>
      <c r="B385" t="s">
        <v>13</v>
      </c>
      <c r="C385">
        <v>15547</v>
      </c>
      <c r="D385">
        <v>5962</v>
      </c>
      <c r="E385">
        <v>5350</v>
      </c>
      <c r="F385">
        <v>26859</v>
      </c>
    </row>
    <row r="386" spans="1:6" x14ac:dyDescent="0.3">
      <c r="A386" s="1">
        <v>45552</v>
      </c>
      <c r="B386" t="s">
        <v>22</v>
      </c>
      <c r="C386">
        <v>12971</v>
      </c>
      <c r="D386">
        <v>1321</v>
      </c>
      <c r="E386">
        <v>7785</v>
      </c>
      <c r="F386">
        <v>22077</v>
      </c>
    </row>
    <row r="387" spans="1:6" x14ac:dyDescent="0.3">
      <c r="A387" s="1">
        <v>45423</v>
      </c>
      <c r="B387" t="s">
        <v>13</v>
      </c>
      <c r="C387">
        <v>12337</v>
      </c>
      <c r="D387">
        <v>2156</v>
      </c>
      <c r="E387">
        <v>1225</v>
      </c>
      <c r="F387">
        <v>15718</v>
      </c>
    </row>
    <row r="388" spans="1:6" x14ac:dyDescent="0.3">
      <c r="A388" s="1">
        <v>45345</v>
      </c>
      <c r="B388" t="s">
        <v>35</v>
      </c>
      <c r="C388">
        <v>9963</v>
      </c>
      <c r="D388">
        <v>4927</v>
      </c>
      <c r="E388">
        <v>929</v>
      </c>
      <c r="F388">
        <v>15819</v>
      </c>
    </row>
    <row r="389" spans="1:6" x14ac:dyDescent="0.3">
      <c r="A389" s="1">
        <v>45492</v>
      </c>
      <c r="B389" t="s">
        <v>9</v>
      </c>
      <c r="C389">
        <v>6718</v>
      </c>
      <c r="D389">
        <v>5347</v>
      </c>
      <c r="E389">
        <v>2261</v>
      </c>
      <c r="F389">
        <v>14326</v>
      </c>
    </row>
    <row r="390" spans="1:6" x14ac:dyDescent="0.3">
      <c r="A390" s="1">
        <v>45309</v>
      </c>
      <c r="B390" t="s">
        <v>26</v>
      </c>
      <c r="C390">
        <v>18108</v>
      </c>
      <c r="D390">
        <v>2386</v>
      </c>
      <c r="E390">
        <v>2642</v>
      </c>
      <c r="F390">
        <v>23136</v>
      </c>
    </row>
    <row r="391" spans="1:6" x14ac:dyDescent="0.3">
      <c r="A391" s="1">
        <v>45628</v>
      </c>
      <c r="B391" t="s">
        <v>13</v>
      </c>
      <c r="C391">
        <v>3150</v>
      </c>
      <c r="D391">
        <v>5304</v>
      </c>
      <c r="E391">
        <v>7365</v>
      </c>
      <c r="F391">
        <v>15819</v>
      </c>
    </row>
    <row r="392" spans="1:6" x14ac:dyDescent="0.3">
      <c r="A392" s="1">
        <v>45504</v>
      </c>
      <c r="B392" t="s">
        <v>26</v>
      </c>
      <c r="C392">
        <v>8019</v>
      </c>
      <c r="D392">
        <v>1640</v>
      </c>
      <c r="E392">
        <v>6428</v>
      </c>
      <c r="F392">
        <v>16087</v>
      </c>
    </row>
    <row r="393" spans="1:6" x14ac:dyDescent="0.3">
      <c r="A393" s="1">
        <v>45625</v>
      </c>
      <c r="B393" t="s">
        <v>26</v>
      </c>
      <c r="C393">
        <v>6852</v>
      </c>
      <c r="D393">
        <v>3923</v>
      </c>
      <c r="E393">
        <v>5138</v>
      </c>
      <c r="F393">
        <v>15913</v>
      </c>
    </row>
    <row r="394" spans="1:6" x14ac:dyDescent="0.3">
      <c r="A394" s="1">
        <v>45550</v>
      </c>
      <c r="B394" t="s">
        <v>26</v>
      </c>
      <c r="C394">
        <v>19628</v>
      </c>
      <c r="D394">
        <v>9303</v>
      </c>
      <c r="E394">
        <v>4096</v>
      </c>
      <c r="F394">
        <v>33027</v>
      </c>
    </row>
    <row r="395" spans="1:6" x14ac:dyDescent="0.3">
      <c r="A395" s="1">
        <v>45656</v>
      </c>
      <c r="B395" t="s">
        <v>13</v>
      </c>
      <c r="C395">
        <v>17689</v>
      </c>
      <c r="D395">
        <v>6104</v>
      </c>
      <c r="E395">
        <v>7628</v>
      </c>
      <c r="F395">
        <v>31421</v>
      </c>
    </row>
    <row r="396" spans="1:6" x14ac:dyDescent="0.3">
      <c r="A396" s="1">
        <v>45468</v>
      </c>
      <c r="B396" t="s">
        <v>35</v>
      </c>
      <c r="C396">
        <v>14327</v>
      </c>
      <c r="D396">
        <v>3839</v>
      </c>
      <c r="E396">
        <v>1523</v>
      </c>
      <c r="F396">
        <v>19689</v>
      </c>
    </row>
    <row r="397" spans="1:6" x14ac:dyDescent="0.3">
      <c r="A397" s="1">
        <v>45292</v>
      </c>
      <c r="B397" t="s">
        <v>26</v>
      </c>
      <c r="C397">
        <v>11585</v>
      </c>
      <c r="D397">
        <v>2052</v>
      </c>
      <c r="E397">
        <v>4998</v>
      </c>
      <c r="F397">
        <v>18635</v>
      </c>
    </row>
    <row r="398" spans="1:6" x14ac:dyDescent="0.3">
      <c r="A398" s="1">
        <v>45422</v>
      </c>
      <c r="B398" t="s">
        <v>13</v>
      </c>
      <c r="C398">
        <v>5033</v>
      </c>
      <c r="D398">
        <v>2742</v>
      </c>
      <c r="E398">
        <v>7493</v>
      </c>
      <c r="F398">
        <v>15268</v>
      </c>
    </row>
    <row r="399" spans="1:6" x14ac:dyDescent="0.3">
      <c r="A399" s="1">
        <v>45506</v>
      </c>
      <c r="B399" t="s">
        <v>22</v>
      </c>
      <c r="C399">
        <v>7021</v>
      </c>
      <c r="D399">
        <v>3990</v>
      </c>
      <c r="E399">
        <v>6804</v>
      </c>
      <c r="F399">
        <v>17815</v>
      </c>
    </row>
    <row r="400" spans="1:6" x14ac:dyDescent="0.3">
      <c r="A400" s="1">
        <v>45645</v>
      </c>
      <c r="B400" t="s">
        <v>9</v>
      </c>
      <c r="C400">
        <v>8866</v>
      </c>
      <c r="D400">
        <v>2039</v>
      </c>
      <c r="E400">
        <v>3066</v>
      </c>
      <c r="F400">
        <v>13971</v>
      </c>
    </row>
    <row r="401" spans="1:6" x14ac:dyDescent="0.3">
      <c r="A401" s="1">
        <v>45426</v>
      </c>
      <c r="B401" t="s">
        <v>22</v>
      </c>
      <c r="C401">
        <v>14864</v>
      </c>
      <c r="D401">
        <v>7935</v>
      </c>
      <c r="E401">
        <v>2854</v>
      </c>
      <c r="F401">
        <v>25653</v>
      </c>
    </row>
    <row r="402" spans="1:6" x14ac:dyDescent="0.3">
      <c r="A402" s="1">
        <v>45654</v>
      </c>
      <c r="B402" t="s">
        <v>26</v>
      </c>
      <c r="C402">
        <v>14621</v>
      </c>
      <c r="D402">
        <v>9942</v>
      </c>
      <c r="E402">
        <v>4390</v>
      </c>
      <c r="F402">
        <v>28953</v>
      </c>
    </row>
    <row r="403" spans="1:6" x14ac:dyDescent="0.3">
      <c r="A403" s="1">
        <v>45630</v>
      </c>
      <c r="B403" t="s">
        <v>9</v>
      </c>
      <c r="C403">
        <v>4420</v>
      </c>
      <c r="D403">
        <v>4816</v>
      </c>
      <c r="E403">
        <v>1861</v>
      </c>
      <c r="F403">
        <v>11097</v>
      </c>
    </row>
    <row r="404" spans="1:6" x14ac:dyDescent="0.3">
      <c r="A404" s="1">
        <v>45499</v>
      </c>
      <c r="B404" t="s">
        <v>35</v>
      </c>
      <c r="C404">
        <v>2197</v>
      </c>
      <c r="D404">
        <v>3663</v>
      </c>
      <c r="E404">
        <v>5667</v>
      </c>
      <c r="F404">
        <v>11527</v>
      </c>
    </row>
    <row r="405" spans="1:6" x14ac:dyDescent="0.3">
      <c r="A405" s="1">
        <v>45476</v>
      </c>
      <c r="B405" t="s">
        <v>35</v>
      </c>
      <c r="C405">
        <v>3828</v>
      </c>
      <c r="D405">
        <v>1461</v>
      </c>
      <c r="E405">
        <v>3124</v>
      </c>
      <c r="F405">
        <v>8413</v>
      </c>
    </row>
    <row r="406" spans="1:6" x14ac:dyDescent="0.3">
      <c r="A406" s="1">
        <v>45505</v>
      </c>
      <c r="B406" t="s">
        <v>9</v>
      </c>
      <c r="C406">
        <v>18315</v>
      </c>
      <c r="D406">
        <v>5530</v>
      </c>
      <c r="E406">
        <v>7524</v>
      </c>
      <c r="F406">
        <v>31369</v>
      </c>
    </row>
    <row r="407" spans="1:6" x14ac:dyDescent="0.3">
      <c r="A407" s="1">
        <v>45522</v>
      </c>
      <c r="B407" t="s">
        <v>13</v>
      </c>
      <c r="C407">
        <v>11614</v>
      </c>
      <c r="D407">
        <v>9599</v>
      </c>
      <c r="E407">
        <v>7489</v>
      </c>
      <c r="F407">
        <v>28702</v>
      </c>
    </row>
    <row r="408" spans="1:6" x14ac:dyDescent="0.3">
      <c r="A408" s="1">
        <v>45471</v>
      </c>
      <c r="B408" t="s">
        <v>22</v>
      </c>
      <c r="C408">
        <v>7063</v>
      </c>
      <c r="D408">
        <v>1084</v>
      </c>
      <c r="E408">
        <v>3213</v>
      </c>
      <c r="F408">
        <v>11360</v>
      </c>
    </row>
    <row r="409" spans="1:6" x14ac:dyDescent="0.3">
      <c r="A409" s="1">
        <v>45613</v>
      </c>
      <c r="B409" t="s">
        <v>22</v>
      </c>
      <c r="C409">
        <v>11653</v>
      </c>
      <c r="D409">
        <v>6715</v>
      </c>
      <c r="E409">
        <v>2380</v>
      </c>
      <c r="F409">
        <v>20748</v>
      </c>
    </row>
    <row r="410" spans="1:6" x14ac:dyDescent="0.3">
      <c r="A410" s="1">
        <v>45321</v>
      </c>
      <c r="B410" t="s">
        <v>26</v>
      </c>
      <c r="C410">
        <v>16024</v>
      </c>
      <c r="D410">
        <v>2759</v>
      </c>
      <c r="E410">
        <v>2087</v>
      </c>
      <c r="F410">
        <v>20870</v>
      </c>
    </row>
    <row r="411" spans="1:6" x14ac:dyDescent="0.3">
      <c r="A411" s="1">
        <v>45387</v>
      </c>
      <c r="B411" t="s">
        <v>35</v>
      </c>
      <c r="C411">
        <v>16675</v>
      </c>
      <c r="D411">
        <v>9826</v>
      </c>
      <c r="E411">
        <v>4294</v>
      </c>
      <c r="F411">
        <v>30795</v>
      </c>
    </row>
    <row r="412" spans="1:6" x14ac:dyDescent="0.3">
      <c r="A412" s="1">
        <v>45573</v>
      </c>
      <c r="B412" t="s">
        <v>22</v>
      </c>
      <c r="C412">
        <v>7608</v>
      </c>
      <c r="D412">
        <v>6764</v>
      </c>
      <c r="E412">
        <v>5820</v>
      </c>
      <c r="F412">
        <v>20192</v>
      </c>
    </row>
    <row r="413" spans="1:6" x14ac:dyDescent="0.3">
      <c r="A413" s="1">
        <v>45441</v>
      </c>
      <c r="B413" t="s">
        <v>26</v>
      </c>
      <c r="C413">
        <v>6426</v>
      </c>
      <c r="D413">
        <v>2715</v>
      </c>
      <c r="E413">
        <v>3195</v>
      </c>
      <c r="F413">
        <v>12336</v>
      </c>
    </row>
    <row r="414" spans="1:6" x14ac:dyDescent="0.3">
      <c r="A414" s="1">
        <v>45331</v>
      </c>
      <c r="B414" t="s">
        <v>35</v>
      </c>
      <c r="C414">
        <v>12926</v>
      </c>
      <c r="D414">
        <v>2066</v>
      </c>
      <c r="E414">
        <v>853</v>
      </c>
      <c r="F414">
        <v>15845</v>
      </c>
    </row>
    <row r="415" spans="1:6" x14ac:dyDescent="0.3">
      <c r="A415" s="1">
        <v>45553</v>
      </c>
      <c r="B415" t="s">
        <v>35</v>
      </c>
      <c r="C415">
        <v>8093</v>
      </c>
      <c r="D415">
        <v>1135</v>
      </c>
      <c r="E415">
        <v>5587</v>
      </c>
      <c r="F415">
        <v>14815</v>
      </c>
    </row>
    <row r="416" spans="1:6" x14ac:dyDescent="0.3">
      <c r="A416" s="1">
        <v>45295</v>
      </c>
      <c r="B416" t="s">
        <v>35</v>
      </c>
      <c r="C416">
        <v>3004</v>
      </c>
      <c r="D416">
        <v>9444</v>
      </c>
      <c r="E416">
        <v>2951</v>
      </c>
      <c r="F416">
        <v>15399</v>
      </c>
    </row>
    <row r="417" spans="1:6" x14ac:dyDescent="0.3">
      <c r="A417" s="1">
        <v>45517</v>
      </c>
      <c r="B417" t="s">
        <v>9</v>
      </c>
      <c r="C417">
        <v>11624</v>
      </c>
      <c r="D417">
        <v>3020</v>
      </c>
      <c r="E417">
        <v>922</v>
      </c>
      <c r="F417">
        <v>15566</v>
      </c>
    </row>
    <row r="418" spans="1:6" x14ac:dyDescent="0.3">
      <c r="A418" s="1">
        <v>45598</v>
      </c>
      <c r="B418" t="s">
        <v>35</v>
      </c>
      <c r="C418">
        <v>14103</v>
      </c>
      <c r="D418">
        <v>9210</v>
      </c>
      <c r="E418">
        <v>7178</v>
      </c>
      <c r="F418">
        <v>30491</v>
      </c>
    </row>
    <row r="419" spans="1:6" x14ac:dyDescent="0.3">
      <c r="A419" s="1">
        <v>45522</v>
      </c>
      <c r="B419" t="s">
        <v>35</v>
      </c>
      <c r="C419">
        <v>15842</v>
      </c>
      <c r="D419">
        <v>1214</v>
      </c>
      <c r="E419">
        <v>1898</v>
      </c>
      <c r="F419">
        <v>18954</v>
      </c>
    </row>
    <row r="420" spans="1:6" x14ac:dyDescent="0.3">
      <c r="A420" s="1">
        <v>45303</v>
      </c>
      <c r="B420" t="s">
        <v>26</v>
      </c>
      <c r="C420">
        <v>19154</v>
      </c>
      <c r="D420">
        <v>9340</v>
      </c>
      <c r="E420">
        <v>3254</v>
      </c>
      <c r="F420">
        <v>31748</v>
      </c>
    </row>
    <row r="421" spans="1:6" x14ac:dyDescent="0.3">
      <c r="A421" s="1">
        <v>45309</v>
      </c>
      <c r="B421" t="s">
        <v>9</v>
      </c>
      <c r="C421">
        <v>4557</v>
      </c>
      <c r="D421">
        <v>2139</v>
      </c>
      <c r="E421">
        <v>5848</v>
      </c>
      <c r="F421">
        <v>12544</v>
      </c>
    </row>
    <row r="422" spans="1:6" x14ac:dyDescent="0.3">
      <c r="A422" s="1">
        <v>45491</v>
      </c>
      <c r="B422" t="s">
        <v>9</v>
      </c>
      <c r="C422">
        <v>6747</v>
      </c>
      <c r="D422">
        <v>8612</v>
      </c>
      <c r="E422">
        <v>3648</v>
      </c>
      <c r="F422">
        <v>19007</v>
      </c>
    </row>
    <row r="423" spans="1:6" x14ac:dyDescent="0.3">
      <c r="A423" s="1">
        <v>45292</v>
      </c>
      <c r="B423" t="s">
        <v>13</v>
      </c>
      <c r="C423">
        <v>4720</v>
      </c>
      <c r="D423">
        <v>4233</v>
      </c>
      <c r="E423">
        <v>6078</v>
      </c>
      <c r="F423">
        <v>15031</v>
      </c>
    </row>
    <row r="424" spans="1:6" x14ac:dyDescent="0.3">
      <c r="A424" s="1">
        <v>45413</v>
      </c>
      <c r="B424" t="s">
        <v>9</v>
      </c>
      <c r="C424">
        <v>6293</v>
      </c>
      <c r="D424">
        <v>2149</v>
      </c>
      <c r="E424">
        <v>1715</v>
      </c>
      <c r="F424">
        <v>10157</v>
      </c>
    </row>
    <row r="425" spans="1:6" x14ac:dyDescent="0.3">
      <c r="A425" s="1">
        <v>45438</v>
      </c>
      <c r="B425" t="s">
        <v>22</v>
      </c>
      <c r="C425">
        <v>15796</v>
      </c>
      <c r="D425">
        <v>3244</v>
      </c>
      <c r="E425">
        <v>4252</v>
      </c>
      <c r="F425">
        <v>23292</v>
      </c>
    </row>
    <row r="426" spans="1:6" x14ac:dyDescent="0.3">
      <c r="A426" s="1">
        <v>45508</v>
      </c>
      <c r="B426" t="s">
        <v>26</v>
      </c>
      <c r="C426">
        <v>17899</v>
      </c>
      <c r="D426">
        <v>6276</v>
      </c>
      <c r="E426">
        <v>3912</v>
      </c>
      <c r="F426">
        <v>28087</v>
      </c>
    </row>
    <row r="427" spans="1:6" x14ac:dyDescent="0.3">
      <c r="A427" s="1">
        <v>45335</v>
      </c>
      <c r="B427" t="s">
        <v>26</v>
      </c>
      <c r="C427">
        <v>5322</v>
      </c>
      <c r="D427">
        <v>6211</v>
      </c>
      <c r="E427">
        <v>2764</v>
      </c>
      <c r="F427">
        <v>14297</v>
      </c>
    </row>
    <row r="428" spans="1:6" x14ac:dyDescent="0.3">
      <c r="A428" s="1">
        <v>45328</v>
      </c>
      <c r="B428" t="s">
        <v>13</v>
      </c>
      <c r="C428">
        <v>7446</v>
      </c>
      <c r="D428">
        <v>2855</v>
      </c>
      <c r="E428">
        <v>6132</v>
      </c>
      <c r="F428">
        <v>16433</v>
      </c>
    </row>
    <row r="429" spans="1:6" x14ac:dyDescent="0.3">
      <c r="A429" s="1">
        <v>45330</v>
      </c>
      <c r="B429" t="s">
        <v>26</v>
      </c>
      <c r="C429">
        <v>12507</v>
      </c>
      <c r="D429">
        <v>3395</v>
      </c>
      <c r="E429">
        <v>3812</v>
      </c>
      <c r="F429">
        <v>19714</v>
      </c>
    </row>
    <row r="430" spans="1:6" x14ac:dyDescent="0.3">
      <c r="A430" s="1">
        <v>45630</v>
      </c>
      <c r="B430" t="s">
        <v>13</v>
      </c>
      <c r="C430">
        <v>8662</v>
      </c>
      <c r="D430">
        <v>1450</v>
      </c>
      <c r="E430">
        <v>3631</v>
      </c>
      <c r="F430">
        <v>13743</v>
      </c>
    </row>
    <row r="431" spans="1:6" x14ac:dyDescent="0.3">
      <c r="A431" s="1">
        <v>45339</v>
      </c>
      <c r="B431" t="s">
        <v>13</v>
      </c>
      <c r="C431">
        <v>3305</v>
      </c>
      <c r="D431">
        <v>5573</v>
      </c>
      <c r="E431">
        <v>4843</v>
      </c>
      <c r="F431">
        <v>13721</v>
      </c>
    </row>
    <row r="432" spans="1:6" x14ac:dyDescent="0.3">
      <c r="A432" s="1">
        <v>45326</v>
      </c>
      <c r="B432" t="s">
        <v>26</v>
      </c>
      <c r="C432">
        <v>16887</v>
      </c>
      <c r="D432">
        <v>6430</v>
      </c>
      <c r="E432">
        <v>6008</v>
      </c>
      <c r="F432">
        <v>29325</v>
      </c>
    </row>
    <row r="433" spans="1:6" x14ac:dyDescent="0.3">
      <c r="A433" s="1">
        <v>45461</v>
      </c>
      <c r="B433" t="s">
        <v>9</v>
      </c>
      <c r="C433">
        <v>14585</v>
      </c>
      <c r="D433">
        <v>3543</v>
      </c>
      <c r="E433">
        <v>5985</v>
      </c>
      <c r="F433">
        <v>24113</v>
      </c>
    </row>
    <row r="434" spans="1:6" x14ac:dyDescent="0.3">
      <c r="A434" s="1">
        <v>45582</v>
      </c>
      <c r="B434" t="s">
        <v>9</v>
      </c>
      <c r="C434">
        <v>19162</v>
      </c>
      <c r="D434">
        <v>9263</v>
      </c>
      <c r="E434">
        <v>3510</v>
      </c>
      <c r="F434">
        <v>31935</v>
      </c>
    </row>
    <row r="435" spans="1:6" x14ac:dyDescent="0.3">
      <c r="A435" s="1">
        <v>45627</v>
      </c>
      <c r="B435" t="s">
        <v>22</v>
      </c>
      <c r="C435">
        <v>8820</v>
      </c>
      <c r="D435">
        <v>7435</v>
      </c>
      <c r="E435">
        <v>3418</v>
      </c>
      <c r="F435">
        <v>19673</v>
      </c>
    </row>
    <row r="436" spans="1:6" x14ac:dyDescent="0.3">
      <c r="A436" s="1">
        <v>45509</v>
      </c>
      <c r="B436" t="s">
        <v>35</v>
      </c>
      <c r="C436">
        <v>7154</v>
      </c>
      <c r="D436">
        <v>9867</v>
      </c>
      <c r="E436">
        <v>4959</v>
      </c>
      <c r="F436">
        <v>21980</v>
      </c>
    </row>
    <row r="437" spans="1:6" x14ac:dyDescent="0.3">
      <c r="A437" s="1">
        <v>45540</v>
      </c>
      <c r="B437" t="s">
        <v>9</v>
      </c>
      <c r="C437">
        <v>8100</v>
      </c>
      <c r="D437">
        <v>5676</v>
      </c>
      <c r="E437">
        <v>1926</v>
      </c>
      <c r="F437">
        <v>15702</v>
      </c>
    </row>
    <row r="438" spans="1:6" x14ac:dyDescent="0.3">
      <c r="A438" s="1">
        <v>45499</v>
      </c>
      <c r="B438" t="s">
        <v>35</v>
      </c>
      <c r="C438">
        <v>2535</v>
      </c>
      <c r="D438">
        <v>6676</v>
      </c>
      <c r="E438">
        <v>7534</v>
      </c>
      <c r="F438">
        <v>16745</v>
      </c>
    </row>
    <row r="439" spans="1:6" x14ac:dyDescent="0.3">
      <c r="A439" s="1">
        <v>45526</v>
      </c>
      <c r="B439" t="s">
        <v>9</v>
      </c>
      <c r="C439">
        <v>8431</v>
      </c>
      <c r="D439">
        <v>8717</v>
      </c>
      <c r="E439">
        <v>5980</v>
      </c>
      <c r="F439">
        <v>23128</v>
      </c>
    </row>
    <row r="440" spans="1:6" x14ac:dyDescent="0.3">
      <c r="A440" s="1">
        <v>45619</v>
      </c>
      <c r="B440" t="s">
        <v>13</v>
      </c>
      <c r="C440">
        <v>3989</v>
      </c>
      <c r="D440">
        <v>2122</v>
      </c>
      <c r="E440">
        <v>2959</v>
      </c>
      <c r="F440">
        <v>9070</v>
      </c>
    </row>
    <row r="441" spans="1:6" x14ac:dyDescent="0.3">
      <c r="A441" s="1">
        <v>45519</v>
      </c>
      <c r="B441" t="s">
        <v>22</v>
      </c>
      <c r="C441">
        <v>18747</v>
      </c>
      <c r="D441">
        <v>8319</v>
      </c>
      <c r="E441">
        <v>2431</v>
      </c>
      <c r="F441">
        <v>29497</v>
      </c>
    </row>
    <row r="442" spans="1:6" x14ac:dyDescent="0.3">
      <c r="A442" s="1">
        <v>45610</v>
      </c>
      <c r="B442" t="s">
        <v>22</v>
      </c>
      <c r="C442">
        <v>19465</v>
      </c>
      <c r="D442">
        <v>8164</v>
      </c>
      <c r="E442">
        <v>1850</v>
      </c>
      <c r="F442">
        <v>29479</v>
      </c>
    </row>
    <row r="443" spans="1:6" x14ac:dyDescent="0.3">
      <c r="A443" s="1">
        <v>45449</v>
      </c>
      <c r="B443" t="s">
        <v>9</v>
      </c>
      <c r="C443">
        <v>10604</v>
      </c>
      <c r="D443">
        <v>1079</v>
      </c>
      <c r="E443">
        <v>2185</v>
      </c>
      <c r="F443">
        <v>13868</v>
      </c>
    </row>
    <row r="444" spans="1:6" x14ac:dyDescent="0.3">
      <c r="A444" s="1">
        <v>45378</v>
      </c>
      <c r="B444" t="s">
        <v>35</v>
      </c>
      <c r="C444">
        <v>4217</v>
      </c>
      <c r="D444">
        <v>8221</v>
      </c>
      <c r="E444">
        <v>5764</v>
      </c>
      <c r="F444">
        <v>18202</v>
      </c>
    </row>
    <row r="445" spans="1:6" x14ac:dyDescent="0.3">
      <c r="A445" s="1">
        <v>45389</v>
      </c>
      <c r="B445" t="s">
        <v>13</v>
      </c>
      <c r="C445">
        <v>19659</v>
      </c>
      <c r="D445">
        <v>5114</v>
      </c>
      <c r="E445">
        <v>4723</v>
      </c>
      <c r="F445">
        <v>29496</v>
      </c>
    </row>
    <row r="446" spans="1:6" x14ac:dyDescent="0.3">
      <c r="A446" s="1">
        <v>45481</v>
      </c>
      <c r="B446" t="s">
        <v>22</v>
      </c>
      <c r="C446">
        <v>19545</v>
      </c>
      <c r="D446">
        <v>3529</v>
      </c>
      <c r="E446">
        <v>5976</v>
      </c>
      <c r="F446">
        <v>29050</v>
      </c>
    </row>
    <row r="447" spans="1:6" x14ac:dyDescent="0.3">
      <c r="A447" s="1">
        <v>45518</v>
      </c>
      <c r="B447" t="s">
        <v>9</v>
      </c>
      <c r="C447">
        <v>3726</v>
      </c>
      <c r="D447">
        <v>6900</v>
      </c>
      <c r="E447">
        <v>4965</v>
      </c>
      <c r="F447">
        <v>15591</v>
      </c>
    </row>
    <row r="448" spans="1:6" x14ac:dyDescent="0.3">
      <c r="A448" s="1">
        <v>45505</v>
      </c>
      <c r="B448" t="s">
        <v>9</v>
      </c>
      <c r="C448">
        <v>19210</v>
      </c>
      <c r="D448">
        <v>8461</v>
      </c>
      <c r="E448">
        <v>6551</v>
      </c>
      <c r="F448">
        <v>34222</v>
      </c>
    </row>
    <row r="449" spans="1:6" x14ac:dyDescent="0.3">
      <c r="A449" s="1">
        <v>45322</v>
      </c>
      <c r="B449" t="s">
        <v>22</v>
      </c>
      <c r="C449">
        <v>6938</v>
      </c>
      <c r="D449">
        <v>6849</v>
      </c>
      <c r="E449">
        <v>2152</v>
      </c>
      <c r="F449">
        <v>15939</v>
      </c>
    </row>
    <row r="450" spans="1:6" x14ac:dyDescent="0.3">
      <c r="A450" s="1">
        <v>45631</v>
      </c>
      <c r="B450" t="s">
        <v>13</v>
      </c>
      <c r="C450">
        <v>4673</v>
      </c>
      <c r="D450">
        <v>2533</v>
      </c>
      <c r="E450">
        <v>6516</v>
      </c>
      <c r="F450">
        <v>13722</v>
      </c>
    </row>
    <row r="451" spans="1:6" x14ac:dyDescent="0.3">
      <c r="A451" s="1">
        <v>45641</v>
      </c>
      <c r="B451" t="s">
        <v>35</v>
      </c>
      <c r="C451">
        <v>16090</v>
      </c>
      <c r="D451">
        <v>3467</v>
      </c>
      <c r="E451">
        <v>5421</v>
      </c>
      <c r="F451">
        <v>24978</v>
      </c>
    </row>
    <row r="452" spans="1:6" x14ac:dyDescent="0.3">
      <c r="A452" s="1">
        <v>45543</v>
      </c>
      <c r="B452" t="s">
        <v>9</v>
      </c>
      <c r="C452">
        <v>6845</v>
      </c>
      <c r="D452">
        <v>2412</v>
      </c>
      <c r="E452">
        <v>4456</v>
      </c>
      <c r="F452">
        <v>13713</v>
      </c>
    </row>
    <row r="453" spans="1:6" x14ac:dyDescent="0.3">
      <c r="A453" s="1">
        <v>45558</v>
      </c>
      <c r="B453" t="s">
        <v>9</v>
      </c>
      <c r="C453">
        <v>17746</v>
      </c>
      <c r="D453">
        <v>7654</v>
      </c>
      <c r="E453">
        <v>2149</v>
      </c>
      <c r="F453">
        <v>27549</v>
      </c>
    </row>
    <row r="454" spans="1:6" x14ac:dyDescent="0.3">
      <c r="A454" s="1">
        <v>45430</v>
      </c>
      <c r="B454" t="s">
        <v>9</v>
      </c>
      <c r="C454">
        <v>2582</v>
      </c>
      <c r="D454">
        <v>6450</v>
      </c>
      <c r="E454">
        <v>2863</v>
      </c>
      <c r="F454">
        <v>11895</v>
      </c>
    </row>
    <row r="455" spans="1:6" x14ac:dyDescent="0.3">
      <c r="A455" s="1">
        <v>45551</v>
      </c>
      <c r="B455" t="s">
        <v>26</v>
      </c>
      <c r="C455">
        <v>12291</v>
      </c>
      <c r="D455">
        <v>7726</v>
      </c>
      <c r="E455">
        <v>7394</v>
      </c>
      <c r="F455">
        <v>27411</v>
      </c>
    </row>
    <row r="456" spans="1:6" x14ac:dyDescent="0.3">
      <c r="A456" s="1">
        <v>45520</v>
      </c>
      <c r="B456" t="s">
        <v>22</v>
      </c>
      <c r="C456">
        <v>19391</v>
      </c>
      <c r="D456">
        <v>3271</v>
      </c>
      <c r="E456">
        <v>3261</v>
      </c>
      <c r="F456">
        <v>25923</v>
      </c>
    </row>
    <row r="457" spans="1:6" x14ac:dyDescent="0.3">
      <c r="A457" s="1">
        <v>45399</v>
      </c>
      <c r="B457" t="s">
        <v>35</v>
      </c>
      <c r="C457">
        <v>13192</v>
      </c>
      <c r="D457">
        <v>1820</v>
      </c>
      <c r="E457">
        <v>3838</v>
      </c>
      <c r="F457">
        <v>18850</v>
      </c>
    </row>
    <row r="458" spans="1:6" x14ac:dyDescent="0.3">
      <c r="A458" s="1">
        <v>45418</v>
      </c>
      <c r="B458" t="s">
        <v>26</v>
      </c>
      <c r="C458">
        <v>5738</v>
      </c>
      <c r="D458">
        <v>2003</v>
      </c>
      <c r="E458">
        <v>1292</v>
      </c>
      <c r="F458">
        <v>9033</v>
      </c>
    </row>
    <row r="459" spans="1:6" x14ac:dyDescent="0.3">
      <c r="A459" s="1">
        <v>45327</v>
      </c>
      <c r="B459" t="s">
        <v>9</v>
      </c>
      <c r="C459">
        <v>16871</v>
      </c>
      <c r="D459">
        <v>1084</v>
      </c>
      <c r="E459">
        <v>2712</v>
      </c>
      <c r="F459">
        <v>20667</v>
      </c>
    </row>
    <row r="460" spans="1:6" x14ac:dyDescent="0.3">
      <c r="A460" s="1">
        <v>45553</v>
      </c>
      <c r="B460" t="s">
        <v>35</v>
      </c>
      <c r="C460">
        <v>5949</v>
      </c>
      <c r="D460">
        <v>3617</v>
      </c>
      <c r="E460">
        <v>4752</v>
      </c>
      <c r="F460">
        <v>14318</v>
      </c>
    </row>
    <row r="461" spans="1:6" x14ac:dyDescent="0.3">
      <c r="A461" s="1">
        <v>45489</v>
      </c>
      <c r="B461" t="s">
        <v>13</v>
      </c>
      <c r="C461">
        <v>14276</v>
      </c>
      <c r="D461">
        <v>1759</v>
      </c>
      <c r="E461">
        <v>6396</v>
      </c>
      <c r="F461">
        <v>22431</v>
      </c>
    </row>
    <row r="462" spans="1:6" x14ac:dyDescent="0.3">
      <c r="A462" s="1">
        <v>45380</v>
      </c>
      <c r="B462" t="s">
        <v>22</v>
      </c>
      <c r="C462">
        <v>10871</v>
      </c>
      <c r="D462">
        <v>3155</v>
      </c>
      <c r="E462">
        <v>6040</v>
      </c>
      <c r="F462">
        <v>20066</v>
      </c>
    </row>
    <row r="463" spans="1:6" x14ac:dyDescent="0.3">
      <c r="A463" s="1">
        <v>45597</v>
      </c>
      <c r="B463" t="s">
        <v>13</v>
      </c>
      <c r="C463">
        <v>19313</v>
      </c>
      <c r="D463">
        <v>9288</v>
      </c>
      <c r="E463">
        <v>7244</v>
      </c>
      <c r="F463">
        <v>35845</v>
      </c>
    </row>
    <row r="464" spans="1:6" x14ac:dyDescent="0.3">
      <c r="A464" s="1">
        <v>45559</v>
      </c>
      <c r="B464" t="s">
        <v>35</v>
      </c>
      <c r="C464">
        <v>14366</v>
      </c>
      <c r="D464">
        <v>3542</v>
      </c>
      <c r="E464">
        <v>2398</v>
      </c>
      <c r="F464">
        <v>20306</v>
      </c>
    </row>
    <row r="465" spans="1:6" x14ac:dyDescent="0.3">
      <c r="A465" s="1">
        <v>45531</v>
      </c>
      <c r="B465" t="s">
        <v>22</v>
      </c>
      <c r="C465">
        <v>12069</v>
      </c>
      <c r="D465">
        <v>9047</v>
      </c>
      <c r="E465">
        <v>5194</v>
      </c>
      <c r="F465">
        <v>26310</v>
      </c>
    </row>
    <row r="466" spans="1:6" x14ac:dyDescent="0.3">
      <c r="A466" s="1">
        <v>45654</v>
      </c>
      <c r="B466" t="s">
        <v>26</v>
      </c>
      <c r="C466">
        <v>2556</v>
      </c>
      <c r="D466">
        <v>5060</v>
      </c>
      <c r="E466">
        <v>1574</v>
      </c>
      <c r="F466">
        <v>9190</v>
      </c>
    </row>
    <row r="467" spans="1:6" x14ac:dyDescent="0.3">
      <c r="A467" s="1">
        <v>45580</v>
      </c>
      <c r="B467" t="s">
        <v>22</v>
      </c>
      <c r="C467">
        <v>16254</v>
      </c>
      <c r="D467">
        <v>5280</v>
      </c>
      <c r="E467">
        <v>5806</v>
      </c>
      <c r="F467">
        <v>27340</v>
      </c>
    </row>
    <row r="468" spans="1:6" x14ac:dyDescent="0.3">
      <c r="A468" s="1">
        <v>45347</v>
      </c>
      <c r="B468" t="s">
        <v>35</v>
      </c>
      <c r="C468">
        <v>5969</v>
      </c>
      <c r="D468">
        <v>4527</v>
      </c>
      <c r="E468">
        <v>2701</v>
      </c>
      <c r="F468">
        <v>13197</v>
      </c>
    </row>
    <row r="469" spans="1:6" x14ac:dyDescent="0.3">
      <c r="A469" s="1">
        <v>45437</v>
      </c>
      <c r="B469" t="s">
        <v>26</v>
      </c>
      <c r="C469">
        <v>12274</v>
      </c>
      <c r="D469">
        <v>3913</v>
      </c>
      <c r="E469">
        <v>1968</v>
      </c>
      <c r="F469">
        <v>18155</v>
      </c>
    </row>
    <row r="470" spans="1:6" x14ac:dyDescent="0.3">
      <c r="A470" s="1">
        <v>45640</v>
      </c>
      <c r="B470" t="s">
        <v>35</v>
      </c>
      <c r="C470">
        <v>17748</v>
      </c>
      <c r="D470">
        <v>8863</v>
      </c>
      <c r="E470">
        <v>1182</v>
      </c>
      <c r="F470">
        <v>27793</v>
      </c>
    </row>
    <row r="471" spans="1:6" x14ac:dyDescent="0.3">
      <c r="A471" s="1">
        <v>45436</v>
      </c>
      <c r="B471" t="s">
        <v>9</v>
      </c>
      <c r="C471">
        <v>16770</v>
      </c>
      <c r="D471">
        <v>2664</v>
      </c>
      <c r="E471">
        <v>7428</v>
      </c>
      <c r="F471">
        <v>26862</v>
      </c>
    </row>
    <row r="472" spans="1:6" x14ac:dyDescent="0.3">
      <c r="A472" s="1">
        <v>45455</v>
      </c>
      <c r="B472" t="s">
        <v>13</v>
      </c>
      <c r="C472">
        <v>4260</v>
      </c>
      <c r="D472">
        <v>2096</v>
      </c>
      <c r="E472">
        <v>1680</v>
      </c>
      <c r="F472">
        <v>8036</v>
      </c>
    </row>
    <row r="473" spans="1:6" x14ac:dyDescent="0.3">
      <c r="A473" s="1">
        <v>45465</v>
      </c>
      <c r="B473" t="s">
        <v>9</v>
      </c>
      <c r="C473">
        <v>5249</v>
      </c>
      <c r="D473">
        <v>2170</v>
      </c>
      <c r="E473">
        <v>1411</v>
      </c>
      <c r="F473">
        <v>8830</v>
      </c>
    </row>
    <row r="474" spans="1:6" x14ac:dyDescent="0.3">
      <c r="A474" s="1">
        <v>45516</v>
      </c>
      <c r="B474" t="s">
        <v>26</v>
      </c>
      <c r="C474">
        <v>12131</v>
      </c>
      <c r="D474">
        <v>3576</v>
      </c>
      <c r="E474">
        <v>5321</v>
      </c>
      <c r="F474">
        <v>21028</v>
      </c>
    </row>
    <row r="475" spans="1:6" x14ac:dyDescent="0.3">
      <c r="A475" s="1">
        <v>45598</v>
      </c>
      <c r="B475" t="s">
        <v>9</v>
      </c>
      <c r="C475">
        <v>6348</v>
      </c>
      <c r="D475">
        <v>7233</v>
      </c>
      <c r="E475">
        <v>5388</v>
      </c>
      <c r="F475">
        <v>18969</v>
      </c>
    </row>
    <row r="476" spans="1:6" x14ac:dyDescent="0.3">
      <c r="A476" s="1">
        <v>45522</v>
      </c>
      <c r="B476" t="s">
        <v>26</v>
      </c>
      <c r="C476">
        <v>14359</v>
      </c>
      <c r="D476">
        <v>4001</v>
      </c>
      <c r="E476">
        <v>2145</v>
      </c>
      <c r="F476">
        <v>20505</v>
      </c>
    </row>
    <row r="477" spans="1:6" x14ac:dyDescent="0.3">
      <c r="A477" s="1">
        <v>45339</v>
      </c>
      <c r="B477" t="s">
        <v>26</v>
      </c>
      <c r="C477">
        <v>7387</v>
      </c>
      <c r="D477">
        <v>8553</v>
      </c>
      <c r="E477">
        <v>3027</v>
      </c>
      <c r="F477">
        <v>18967</v>
      </c>
    </row>
    <row r="478" spans="1:6" x14ac:dyDescent="0.3">
      <c r="A478" s="1">
        <v>45625</v>
      </c>
      <c r="B478" t="s">
        <v>26</v>
      </c>
      <c r="C478">
        <v>6935</v>
      </c>
      <c r="D478">
        <v>7361</v>
      </c>
      <c r="E478">
        <v>2482</v>
      </c>
      <c r="F478">
        <v>16778</v>
      </c>
    </row>
    <row r="479" spans="1:6" x14ac:dyDescent="0.3">
      <c r="A479" s="1">
        <v>45417</v>
      </c>
      <c r="B479" t="s">
        <v>26</v>
      </c>
      <c r="C479">
        <v>11551</v>
      </c>
      <c r="D479">
        <v>1133</v>
      </c>
      <c r="E479">
        <v>3714</v>
      </c>
      <c r="F479">
        <v>16398</v>
      </c>
    </row>
    <row r="480" spans="1:6" x14ac:dyDescent="0.3">
      <c r="A480" s="1">
        <v>45306</v>
      </c>
      <c r="B480" t="s">
        <v>9</v>
      </c>
      <c r="C480">
        <v>7884</v>
      </c>
      <c r="D480">
        <v>7508</v>
      </c>
      <c r="E480">
        <v>2161</v>
      </c>
      <c r="F480">
        <v>17553</v>
      </c>
    </row>
    <row r="481" spans="1:6" x14ac:dyDescent="0.3">
      <c r="A481" s="1">
        <v>45319</v>
      </c>
      <c r="B481" t="s">
        <v>9</v>
      </c>
      <c r="C481">
        <v>14779</v>
      </c>
      <c r="D481">
        <v>3271</v>
      </c>
      <c r="E481">
        <v>2610</v>
      </c>
      <c r="F481">
        <v>20660</v>
      </c>
    </row>
    <row r="482" spans="1:6" x14ac:dyDescent="0.3">
      <c r="A482" s="1">
        <v>45432</v>
      </c>
      <c r="B482" t="s">
        <v>35</v>
      </c>
      <c r="C482">
        <v>15847</v>
      </c>
      <c r="D482">
        <v>5193</v>
      </c>
      <c r="E482">
        <v>710</v>
      </c>
      <c r="F482">
        <v>21750</v>
      </c>
    </row>
    <row r="483" spans="1:6" x14ac:dyDescent="0.3">
      <c r="A483" s="1">
        <v>45300</v>
      </c>
      <c r="B483" t="s">
        <v>26</v>
      </c>
      <c r="C483">
        <v>2184</v>
      </c>
      <c r="D483">
        <v>6644</v>
      </c>
      <c r="E483">
        <v>1467</v>
      </c>
      <c r="F483">
        <v>10295</v>
      </c>
    </row>
    <row r="484" spans="1:6" x14ac:dyDescent="0.3">
      <c r="A484" s="1">
        <v>45377</v>
      </c>
      <c r="B484" t="s">
        <v>13</v>
      </c>
      <c r="C484">
        <v>5681</v>
      </c>
      <c r="D484">
        <v>2021</v>
      </c>
      <c r="E484">
        <v>4489</v>
      </c>
      <c r="F484">
        <v>12191</v>
      </c>
    </row>
    <row r="485" spans="1:6" x14ac:dyDescent="0.3">
      <c r="A485" s="1">
        <v>45498</v>
      </c>
      <c r="B485" t="s">
        <v>13</v>
      </c>
      <c r="C485">
        <v>18205</v>
      </c>
      <c r="D485">
        <v>5154</v>
      </c>
      <c r="E485">
        <v>6301</v>
      </c>
      <c r="F485">
        <v>29660</v>
      </c>
    </row>
    <row r="486" spans="1:6" x14ac:dyDescent="0.3">
      <c r="A486" s="1">
        <v>45615</v>
      </c>
      <c r="B486" t="s">
        <v>9</v>
      </c>
      <c r="C486">
        <v>3551</v>
      </c>
      <c r="D486">
        <v>7265</v>
      </c>
      <c r="E486">
        <v>3638</v>
      </c>
      <c r="F486">
        <v>14454</v>
      </c>
    </row>
    <row r="487" spans="1:6" x14ac:dyDescent="0.3">
      <c r="A487" s="1">
        <v>45441</v>
      </c>
      <c r="B487" t="s">
        <v>22</v>
      </c>
      <c r="C487">
        <v>4156</v>
      </c>
      <c r="D487">
        <v>8362</v>
      </c>
      <c r="E487">
        <v>1805</v>
      </c>
      <c r="F487">
        <v>14323</v>
      </c>
    </row>
    <row r="488" spans="1:6" x14ac:dyDescent="0.3">
      <c r="A488" s="1">
        <v>45473</v>
      </c>
      <c r="B488" t="s">
        <v>13</v>
      </c>
      <c r="C488">
        <v>14548</v>
      </c>
      <c r="D488">
        <v>9293</v>
      </c>
      <c r="E488">
        <v>3223</v>
      </c>
      <c r="F488">
        <v>27064</v>
      </c>
    </row>
    <row r="489" spans="1:6" x14ac:dyDescent="0.3">
      <c r="A489" s="1">
        <v>45594</v>
      </c>
      <c r="B489" t="s">
        <v>35</v>
      </c>
      <c r="C489">
        <v>19685</v>
      </c>
      <c r="D489">
        <v>2229</v>
      </c>
      <c r="E489">
        <v>7416</v>
      </c>
      <c r="F489">
        <v>29330</v>
      </c>
    </row>
    <row r="490" spans="1:6" x14ac:dyDescent="0.3">
      <c r="A490" s="1">
        <v>45506</v>
      </c>
      <c r="B490" t="s">
        <v>9</v>
      </c>
      <c r="C490">
        <v>2084</v>
      </c>
      <c r="D490">
        <v>2237</v>
      </c>
      <c r="E490">
        <v>2888</v>
      </c>
      <c r="F490">
        <v>7209</v>
      </c>
    </row>
    <row r="491" spans="1:6" x14ac:dyDescent="0.3">
      <c r="A491" s="1">
        <v>45335</v>
      </c>
      <c r="B491" t="s">
        <v>9</v>
      </c>
      <c r="C491">
        <v>18308</v>
      </c>
      <c r="D491">
        <v>2893</v>
      </c>
      <c r="E491">
        <v>7106</v>
      </c>
      <c r="F491">
        <v>28307</v>
      </c>
    </row>
    <row r="492" spans="1:6" x14ac:dyDescent="0.3">
      <c r="A492" s="1">
        <v>45641</v>
      </c>
      <c r="B492" t="s">
        <v>26</v>
      </c>
      <c r="C492">
        <v>12622</v>
      </c>
      <c r="D492">
        <v>9574</v>
      </c>
      <c r="E492">
        <v>6689</v>
      </c>
      <c r="F492">
        <v>28885</v>
      </c>
    </row>
    <row r="493" spans="1:6" x14ac:dyDescent="0.3">
      <c r="A493" s="1">
        <v>45304</v>
      </c>
      <c r="B493" t="s">
        <v>26</v>
      </c>
      <c r="C493">
        <v>9029</v>
      </c>
      <c r="D493">
        <v>1845</v>
      </c>
      <c r="E493">
        <v>4751</v>
      </c>
      <c r="F493">
        <v>15625</v>
      </c>
    </row>
    <row r="494" spans="1:6" x14ac:dyDescent="0.3">
      <c r="A494" s="1">
        <v>45649</v>
      </c>
      <c r="B494" t="s">
        <v>9</v>
      </c>
      <c r="C494">
        <v>3368</v>
      </c>
      <c r="D494">
        <v>9506</v>
      </c>
      <c r="E494">
        <v>4697</v>
      </c>
      <c r="F494">
        <v>17571</v>
      </c>
    </row>
    <row r="495" spans="1:6" x14ac:dyDescent="0.3">
      <c r="A495" s="1">
        <v>45629</v>
      </c>
      <c r="B495" t="s">
        <v>22</v>
      </c>
      <c r="C495">
        <v>18223</v>
      </c>
      <c r="D495">
        <v>5237</v>
      </c>
      <c r="E495">
        <v>4872</v>
      </c>
      <c r="F495">
        <v>28332</v>
      </c>
    </row>
    <row r="496" spans="1:6" x14ac:dyDescent="0.3">
      <c r="A496" s="1">
        <v>45605</v>
      </c>
      <c r="B496" t="s">
        <v>26</v>
      </c>
      <c r="C496">
        <v>9239</v>
      </c>
      <c r="D496">
        <v>2866</v>
      </c>
      <c r="E496">
        <v>7060</v>
      </c>
      <c r="F496">
        <v>19165</v>
      </c>
    </row>
    <row r="497" spans="1:6" x14ac:dyDescent="0.3">
      <c r="A497" s="1">
        <v>45379</v>
      </c>
      <c r="B497" t="s">
        <v>9</v>
      </c>
      <c r="C497">
        <v>3029</v>
      </c>
      <c r="D497">
        <v>1957</v>
      </c>
      <c r="E497">
        <v>6601</v>
      </c>
      <c r="F497">
        <v>11587</v>
      </c>
    </row>
    <row r="498" spans="1:6" x14ac:dyDescent="0.3">
      <c r="A498" s="1">
        <v>45492</v>
      </c>
      <c r="B498" t="s">
        <v>35</v>
      </c>
      <c r="C498">
        <v>19861</v>
      </c>
      <c r="D498">
        <v>9993</v>
      </c>
      <c r="E498">
        <v>3088</v>
      </c>
      <c r="F498">
        <v>32942</v>
      </c>
    </row>
    <row r="499" spans="1:6" x14ac:dyDescent="0.3">
      <c r="A499" s="1">
        <v>45609</v>
      </c>
      <c r="B499" t="s">
        <v>9</v>
      </c>
      <c r="C499">
        <v>18330</v>
      </c>
      <c r="D499">
        <v>9141</v>
      </c>
      <c r="E499">
        <v>2115</v>
      </c>
      <c r="F499">
        <v>29586</v>
      </c>
    </row>
    <row r="500" spans="1:6" x14ac:dyDescent="0.3">
      <c r="A500" s="1">
        <v>45490</v>
      </c>
      <c r="B500" t="s">
        <v>9</v>
      </c>
      <c r="C500">
        <v>10606</v>
      </c>
      <c r="D500">
        <v>4671</v>
      </c>
      <c r="E500">
        <v>1223</v>
      </c>
      <c r="F500">
        <v>16500</v>
      </c>
    </row>
    <row r="501" spans="1:6" x14ac:dyDescent="0.3">
      <c r="A501" s="1">
        <v>45405</v>
      </c>
      <c r="B501" t="s">
        <v>22</v>
      </c>
      <c r="C501">
        <v>6308</v>
      </c>
      <c r="D501">
        <v>8270</v>
      </c>
      <c r="E501">
        <v>5642</v>
      </c>
      <c r="F501">
        <v>20220</v>
      </c>
    </row>
    <row r="502" spans="1:6" x14ac:dyDescent="0.3">
      <c r="A502" s="1">
        <v>45370</v>
      </c>
      <c r="B502" t="s">
        <v>35</v>
      </c>
      <c r="C502">
        <v>10664</v>
      </c>
      <c r="D502">
        <v>9797</v>
      </c>
      <c r="E502">
        <v>3878</v>
      </c>
      <c r="F502">
        <v>24339</v>
      </c>
    </row>
    <row r="503" spans="1:6" x14ac:dyDescent="0.3">
      <c r="A503" s="1">
        <v>45411</v>
      </c>
      <c r="B503" t="s">
        <v>26</v>
      </c>
      <c r="C503">
        <v>13289</v>
      </c>
      <c r="D503">
        <v>2630</v>
      </c>
      <c r="E503">
        <v>2925</v>
      </c>
      <c r="F503">
        <v>18844</v>
      </c>
    </row>
    <row r="504" spans="1:6" x14ac:dyDescent="0.3">
      <c r="A504" s="1">
        <v>45335</v>
      </c>
      <c r="B504" t="s">
        <v>22</v>
      </c>
      <c r="C504">
        <v>7719</v>
      </c>
      <c r="D504">
        <v>9756</v>
      </c>
      <c r="E504">
        <v>3551</v>
      </c>
      <c r="F504">
        <v>21026</v>
      </c>
    </row>
    <row r="505" spans="1:6" x14ac:dyDescent="0.3">
      <c r="A505" s="1">
        <v>45506</v>
      </c>
      <c r="B505" t="s">
        <v>35</v>
      </c>
      <c r="C505">
        <v>15754</v>
      </c>
      <c r="D505">
        <v>3838</v>
      </c>
      <c r="E505">
        <v>2775</v>
      </c>
      <c r="F505">
        <v>22367</v>
      </c>
    </row>
    <row r="506" spans="1:6" x14ac:dyDescent="0.3">
      <c r="A506" s="1">
        <v>45544</v>
      </c>
      <c r="B506" t="s">
        <v>22</v>
      </c>
      <c r="C506">
        <v>10718</v>
      </c>
      <c r="D506">
        <v>3092</v>
      </c>
      <c r="E506">
        <v>5805</v>
      </c>
      <c r="F506">
        <v>19615</v>
      </c>
    </row>
    <row r="507" spans="1:6" x14ac:dyDescent="0.3">
      <c r="A507" s="1">
        <v>45502</v>
      </c>
      <c r="B507" t="s">
        <v>35</v>
      </c>
      <c r="C507">
        <v>15038</v>
      </c>
      <c r="D507">
        <v>4253</v>
      </c>
      <c r="E507">
        <v>5393</v>
      </c>
      <c r="F507">
        <v>24684</v>
      </c>
    </row>
    <row r="508" spans="1:6" x14ac:dyDescent="0.3">
      <c r="A508" s="1">
        <v>45319</v>
      </c>
      <c r="B508" t="s">
        <v>9</v>
      </c>
      <c r="C508">
        <v>2028</v>
      </c>
      <c r="D508">
        <v>2165</v>
      </c>
      <c r="E508">
        <v>4507</v>
      </c>
      <c r="F508">
        <v>8700</v>
      </c>
    </row>
    <row r="509" spans="1:6" x14ac:dyDescent="0.3">
      <c r="A509" s="1">
        <v>45561</v>
      </c>
      <c r="B509" t="s">
        <v>35</v>
      </c>
      <c r="C509">
        <v>10364</v>
      </c>
      <c r="D509">
        <v>3958</v>
      </c>
      <c r="E509">
        <v>4295</v>
      </c>
      <c r="F509">
        <v>18617</v>
      </c>
    </row>
    <row r="510" spans="1:6" x14ac:dyDescent="0.3">
      <c r="A510" s="1">
        <v>45423</v>
      </c>
      <c r="B510" t="s">
        <v>35</v>
      </c>
      <c r="C510">
        <v>19964</v>
      </c>
      <c r="D510">
        <v>2864</v>
      </c>
      <c r="E510">
        <v>1950</v>
      </c>
      <c r="F510">
        <v>24778</v>
      </c>
    </row>
    <row r="511" spans="1:6" x14ac:dyDescent="0.3">
      <c r="A511" s="1">
        <v>45386</v>
      </c>
      <c r="B511" t="s">
        <v>26</v>
      </c>
      <c r="C511">
        <v>3950</v>
      </c>
      <c r="D511">
        <v>2228</v>
      </c>
      <c r="E511">
        <v>2668</v>
      </c>
      <c r="F511">
        <v>8846</v>
      </c>
    </row>
    <row r="512" spans="1:6" x14ac:dyDescent="0.3">
      <c r="A512" s="1">
        <v>45404</v>
      </c>
      <c r="B512" t="s">
        <v>26</v>
      </c>
      <c r="C512">
        <v>12938</v>
      </c>
      <c r="D512">
        <v>6722</v>
      </c>
      <c r="E512">
        <v>1524</v>
      </c>
      <c r="F512">
        <v>21184</v>
      </c>
    </row>
    <row r="513" spans="1:6" x14ac:dyDescent="0.3">
      <c r="A513" s="1">
        <v>45479</v>
      </c>
      <c r="B513" t="s">
        <v>26</v>
      </c>
      <c r="C513">
        <v>16789</v>
      </c>
      <c r="D513">
        <v>2627</v>
      </c>
      <c r="E513">
        <v>7586</v>
      </c>
      <c r="F513">
        <v>27002</v>
      </c>
    </row>
    <row r="514" spans="1:6" x14ac:dyDescent="0.3">
      <c r="A514" s="1">
        <v>45480</v>
      </c>
      <c r="B514" t="s">
        <v>13</v>
      </c>
      <c r="C514">
        <v>17376</v>
      </c>
      <c r="D514">
        <v>5395</v>
      </c>
      <c r="E514">
        <v>7735</v>
      </c>
      <c r="F514">
        <v>30506</v>
      </c>
    </row>
    <row r="515" spans="1:6" x14ac:dyDescent="0.3">
      <c r="A515" s="1">
        <v>45413</v>
      </c>
      <c r="B515" t="s">
        <v>13</v>
      </c>
      <c r="C515">
        <v>5989</v>
      </c>
      <c r="D515">
        <v>6966</v>
      </c>
      <c r="E515">
        <v>6299</v>
      </c>
      <c r="F515">
        <v>19254</v>
      </c>
    </row>
    <row r="516" spans="1:6" x14ac:dyDescent="0.3">
      <c r="A516" s="1">
        <v>45542</v>
      </c>
      <c r="B516" t="s">
        <v>13</v>
      </c>
      <c r="C516">
        <v>5690</v>
      </c>
      <c r="D516">
        <v>9747</v>
      </c>
      <c r="E516">
        <v>4236</v>
      </c>
      <c r="F516">
        <v>19673</v>
      </c>
    </row>
    <row r="517" spans="1:6" x14ac:dyDescent="0.3">
      <c r="A517" s="1">
        <v>45429</v>
      </c>
      <c r="B517" t="s">
        <v>35</v>
      </c>
      <c r="C517">
        <v>17547</v>
      </c>
      <c r="D517">
        <v>1388</v>
      </c>
      <c r="E517">
        <v>2506</v>
      </c>
      <c r="F517">
        <v>21441</v>
      </c>
    </row>
    <row r="518" spans="1:6" x14ac:dyDescent="0.3">
      <c r="A518" s="1">
        <v>45539</v>
      </c>
      <c r="B518" t="s">
        <v>22</v>
      </c>
      <c r="C518">
        <v>14217</v>
      </c>
      <c r="D518">
        <v>5433</v>
      </c>
      <c r="E518">
        <v>895</v>
      </c>
      <c r="F518">
        <v>20545</v>
      </c>
    </row>
    <row r="519" spans="1:6" x14ac:dyDescent="0.3">
      <c r="A519" s="1">
        <v>45526</v>
      </c>
      <c r="B519" t="s">
        <v>13</v>
      </c>
      <c r="C519">
        <v>12784</v>
      </c>
      <c r="D519">
        <v>4000</v>
      </c>
      <c r="E519">
        <v>4424</v>
      </c>
      <c r="F519">
        <v>21208</v>
      </c>
    </row>
    <row r="520" spans="1:6" x14ac:dyDescent="0.3">
      <c r="A520" s="1">
        <v>45577</v>
      </c>
      <c r="B520" t="s">
        <v>22</v>
      </c>
      <c r="C520">
        <v>19216</v>
      </c>
      <c r="D520">
        <v>4128</v>
      </c>
      <c r="E520">
        <v>4291</v>
      </c>
      <c r="F520">
        <v>27635</v>
      </c>
    </row>
    <row r="521" spans="1:6" x14ac:dyDescent="0.3">
      <c r="A521" s="1">
        <v>45451</v>
      </c>
      <c r="B521" t="s">
        <v>26</v>
      </c>
      <c r="C521">
        <v>12898</v>
      </c>
      <c r="D521">
        <v>1827</v>
      </c>
      <c r="E521">
        <v>2258</v>
      </c>
      <c r="F521">
        <v>16983</v>
      </c>
    </row>
    <row r="522" spans="1:6" x14ac:dyDescent="0.3">
      <c r="A522" s="1">
        <v>45390</v>
      </c>
      <c r="B522" t="s">
        <v>22</v>
      </c>
      <c r="C522">
        <v>19294</v>
      </c>
      <c r="D522">
        <v>8642</v>
      </c>
      <c r="E522">
        <v>4480</v>
      </c>
      <c r="F522">
        <v>32416</v>
      </c>
    </row>
    <row r="523" spans="1:6" x14ac:dyDescent="0.3">
      <c r="A523" s="1">
        <v>45312</v>
      </c>
      <c r="B523" t="s">
        <v>13</v>
      </c>
      <c r="C523">
        <v>8499</v>
      </c>
      <c r="D523">
        <v>8508</v>
      </c>
      <c r="E523">
        <v>4709</v>
      </c>
      <c r="F523">
        <v>21716</v>
      </c>
    </row>
    <row r="524" spans="1:6" x14ac:dyDescent="0.3">
      <c r="A524" s="1">
        <v>45362</v>
      </c>
      <c r="B524" t="s">
        <v>35</v>
      </c>
      <c r="C524">
        <v>11849</v>
      </c>
      <c r="D524">
        <v>5243</v>
      </c>
      <c r="E524">
        <v>1780</v>
      </c>
      <c r="F524">
        <v>18872</v>
      </c>
    </row>
    <row r="525" spans="1:6" x14ac:dyDescent="0.3">
      <c r="A525" s="1">
        <v>45557</v>
      </c>
      <c r="B525" t="s">
        <v>35</v>
      </c>
      <c r="C525">
        <v>3900</v>
      </c>
      <c r="D525">
        <v>6817</v>
      </c>
      <c r="E525">
        <v>1136</v>
      </c>
      <c r="F525">
        <v>11853</v>
      </c>
    </row>
    <row r="526" spans="1:6" x14ac:dyDescent="0.3">
      <c r="A526" s="1">
        <v>45651</v>
      </c>
      <c r="B526" t="s">
        <v>35</v>
      </c>
      <c r="C526">
        <v>18282</v>
      </c>
      <c r="D526">
        <v>9479</v>
      </c>
      <c r="E526">
        <v>7740</v>
      </c>
      <c r="F526">
        <v>35501</v>
      </c>
    </row>
    <row r="527" spans="1:6" x14ac:dyDescent="0.3">
      <c r="A527" s="1">
        <v>45617</v>
      </c>
      <c r="B527" t="s">
        <v>35</v>
      </c>
      <c r="C527">
        <v>18875</v>
      </c>
      <c r="D527">
        <v>5965</v>
      </c>
      <c r="E527">
        <v>2647</v>
      </c>
      <c r="F527">
        <v>27487</v>
      </c>
    </row>
    <row r="528" spans="1:6" x14ac:dyDescent="0.3">
      <c r="A528" s="1">
        <v>45414</v>
      </c>
      <c r="B528" t="s">
        <v>35</v>
      </c>
      <c r="C528">
        <v>4799</v>
      </c>
      <c r="D528">
        <v>5712</v>
      </c>
      <c r="E528">
        <v>4550</v>
      </c>
      <c r="F528">
        <v>15061</v>
      </c>
    </row>
    <row r="529" spans="1:6" x14ac:dyDescent="0.3">
      <c r="A529" s="1">
        <v>45432</v>
      </c>
      <c r="B529" t="s">
        <v>22</v>
      </c>
      <c r="C529">
        <v>15606</v>
      </c>
      <c r="D529">
        <v>9475</v>
      </c>
      <c r="E529">
        <v>2049</v>
      </c>
      <c r="F529">
        <v>27130</v>
      </c>
    </row>
    <row r="530" spans="1:6" x14ac:dyDescent="0.3">
      <c r="A530" s="1">
        <v>45468</v>
      </c>
      <c r="B530" t="s">
        <v>26</v>
      </c>
      <c r="C530">
        <v>13446</v>
      </c>
      <c r="D530">
        <v>3772</v>
      </c>
      <c r="E530">
        <v>2342</v>
      </c>
      <c r="F530">
        <v>19560</v>
      </c>
    </row>
    <row r="531" spans="1:6" x14ac:dyDescent="0.3">
      <c r="A531" s="1">
        <v>45644</v>
      </c>
      <c r="B531" t="s">
        <v>22</v>
      </c>
      <c r="C531">
        <v>15041</v>
      </c>
      <c r="D531">
        <v>7572</v>
      </c>
      <c r="E531">
        <v>4735</v>
      </c>
      <c r="F531">
        <v>27348</v>
      </c>
    </row>
    <row r="532" spans="1:6" x14ac:dyDescent="0.3">
      <c r="A532" s="1">
        <v>45340</v>
      </c>
      <c r="B532" t="s">
        <v>35</v>
      </c>
      <c r="C532">
        <v>10538</v>
      </c>
      <c r="D532">
        <v>5591</v>
      </c>
      <c r="E532">
        <v>5416</v>
      </c>
      <c r="F532">
        <v>21545</v>
      </c>
    </row>
    <row r="533" spans="1:6" x14ac:dyDescent="0.3">
      <c r="A533" s="1">
        <v>45453</v>
      </c>
      <c r="B533" t="s">
        <v>13</v>
      </c>
      <c r="C533">
        <v>2062</v>
      </c>
      <c r="D533">
        <v>9684</v>
      </c>
      <c r="E533">
        <v>2449</v>
      </c>
      <c r="F533">
        <v>14195</v>
      </c>
    </row>
    <row r="534" spans="1:6" x14ac:dyDescent="0.3">
      <c r="A534" s="1">
        <v>45375</v>
      </c>
      <c r="B534" t="s">
        <v>9</v>
      </c>
      <c r="C534">
        <v>15518</v>
      </c>
      <c r="D534">
        <v>5699</v>
      </c>
      <c r="E534">
        <v>6948</v>
      </c>
      <c r="F534">
        <v>28165</v>
      </c>
    </row>
    <row r="535" spans="1:6" x14ac:dyDescent="0.3">
      <c r="A535" s="1">
        <v>45375</v>
      </c>
      <c r="B535" t="s">
        <v>26</v>
      </c>
      <c r="C535">
        <v>12914</v>
      </c>
      <c r="D535">
        <v>8856</v>
      </c>
      <c r="E535">
        <v>1611</v>
      </c>
      <c r="F535">
        <v>23381</v>
      </c>
    </row>
    <row r="536" spans="1:6" x14ac:dyDescent="0.3">
      <c r="A536" s="1">
        <v>45556</v>
      </c>
      <c r="B536" t="s">
        <v>22</v>
      </c>
      <c r="C536">
        <v>9434</v>
      </c>
      <c r="D536">
        <v>3658</v>
      </c>
      <c r="E536">
        <v>4085</v>
      </c>
      <c r="F536">
        <v>17177</v>
      </c>
    </row>
    <row r="537" spans="1:6" x14ac:dyDescent="0.3">
      <c r="A537" s="1">
        <v>45586</v>
      </c>
      <c r="B537" t="s">
        <v>35</v>
      </c>
      <c r="C537">
        <v>13756</v>
      </c>
      <c r="D537">
        <v>8940</v>
      </c>
      <c r="E537">
        <v>6411</v>
      </c>
      <c r="F537">
        <v>29107</v>
      </c>
    </row>
    <row r="538" spans="1:6" x14ac:dyDescent="0.3">
      <c r="A538" s="1">
        <v>45450</v>
      </c>
      <c r="B538" t="s">
        <v>9</v>
      </c>
      <c r="C538">
        <v>4439</v>
      </c>
      <c r="D538">
        <v>7810</v>
      </c>
      <c r="E538">
        <v>7584</v>
      </c>
      <c r="F538">
        <v>19833</v>
      </c>
    </row>
    <row r="539" spans="1:6" x14ac:dyDescent="0.3">
      <c r="A539" s="1">
        <v>45397</v>
      </c>
      <c r="B539" t="s">
        <v>9</v>
      </c>
      <c r="C539">
        <v>18024</v>
      </c>
      <c r="D539">
        <v>4447</v>
      </c>
      <c r="E539">
        <v>2315</v>
      </c>
      <c r="F539">
        <v>24786</v>
      </c>
    </row>
    <row r="540" spans="1:6" x14ac:dyDescent="0.3">
      <c r="A540" s="1">
        <v>45491</v>
      </c>
      <c r="B540" t="s">
        <v>22</v>
      </c>
      <c r="C540">
        <v>4987</v>
      </c>
      <c r="D540">
        <v>6261</v>
      </c>
      <c r="E540">
        <v>4584</v>
      </c>
      <c r="F540">
        <v>15832</v>
      </c>
    </row>
    <row r="541" spans="1:6" x14ac:dyDescent="0.3">
      <c r="A541" s="1">
        <v>45627</v>
      </c>
      <c r="B541" t="s">
        <v>35</v>
      </c>
      <c r="C541">
        <v>5533</v>
      </c>
      <c r="D541">
        <v>1010</v>
      </c>
      <c r="E541">
        <v>5647</v>
      </c>
      <c r="F541">
        <v>12190</v>
      </c>
    </row>
    <row r="542" spans="1:6" x14ac:dyDescent="0.3">
      <c r="A542" s="1">
        <v>45632</v>
      </c>
      <c r="B542" t="s">
        <v>22</v>
      </c>
      <c r="C542">
        <v>3615</v>
      </c>
      <c r="D542">
        <v>3424</v>
      </c>
      <c r="E542">
        <v>1589</v>
      </c>
      <c r="F542">
        <v>8628</v>
      </c>
    </row>
    <row r="543" spans="1:6" x14ac:dyDescent="0.3">
      <c r="A543" s="1">
        <v>45332</v>
      </c>
      <c r="B543" t="s">
        <v>22</v>
      </c>
      <c r="C543">
        <v>15645</v>
      </c>
      <c r="D543">
        <v>9619</v>
      </c>
      <c r="E543">
        <v>593</v>
      </c>
      <c r="F543">
        <v>25857</v>
      </c>
    </row>
    <row r="544" spans="1:6" x14ac:dyDescent="0.3">
      <c r="A544" s="1">
        <v>45540</v>
      </c>
      <c r="B544" t="s">
        <v>13</v>
      </c>
      <c r="C544">
        <v>3097</v>
      </c>
      <c r="D544">
        <v>2773</v>
      </c>
      <c r="E544">
        <v>7601</v>
      </c>
      <c r="F544">
        <v>13471</v>
      </c>
    </row>
    <row r="545" spans="1:6" x14ac:dyDescent="0.3">
      <c r="A545" s="1">
        <v>45430</v>
      </c>
      <c r="B545" t="s">
        <v>22</v>
      </c>
      <c r="C545">
        <v>18947</v>
      </c>
      <c r="D545">
        <v>3998</v>
      </c>
      <c r="E545">
        <v>6434</v>
      </c>
      <c r="F545">
        <v>29379</v>
      </c>
    </row>
    <row r="546" spans="1:6" x14ac:dyDescent="0.3">
      <c r="A546" s="1">
        <v>45332</v>
      </c>
      <c r="B546" t="s">
        <v>35</v>
      </c>
      <c r="C546">
        <v>9048</v>
      </c>
      <c r="D546">
        <v>5768</v>
      </c>
      <c r="E546">
        <v>5115</v>
      </c>
      <c r="F546">
        <v>19931</v>
      </c>
    </row>
    <row r="547" spans="1:6" x14ac:dyDescent="0.3">
      <c r="A547" s="1">
        <v>45369</v>
      </c>
      <c r="B547" t="s">
        <v>35</v>
      </c>
      <c r="C547">
        <v>12181</v>
      </c>
      <c r="D547">
        <v>4072</v>
      </c>
      <c r="E547">
        <v>1560</v>
      </c>
      <c r="F547">
        <v>17813</v>
      </c>
    </row>
    <row r="548" spans="1:6" x14ac:dyDescent="0.3">
      <c r="A548" s="1">
        <v>45640</v>
      </c>
      <c r="B548" t="s">
        <v>9</v>
      </c>
      <c r="C548">
        <v>19841</v>
      </c>
      <c r="D548">
        <v>8853</v>
      </c>
      <c r="E548">
        <v>4428</v>
      </c>
      <c r="F548">
        <v>33122</v>
      </c>
    </row>
    <row r="549" spans="1:6" x14ac:dyDescent="0.3">
      <c r="A549" s="1">
        <v>45496</v>
      </c>
      <c r="B549" t="s">
        <v>35</v>
      </c>
      <c r="C549">
        <v>6428</v>
      </c>
      <c r="D549">
        <v>4916</v>
      </c>
      <c r="E549">
        <v>2164</v>
      </c>
      <c r="F549">
        <v>13508</v>
      </c>
    </row>
    <row r="550" spans="1:6" x14ac:dyDescent="0.3">
      <c r="A550" s="1">
        <v>45406</v>
      </c>
      <c r="B550" t="s">
        <v>35</v>
      </c>
      <c r="C550">
        <v>12788</v>
      </c>
      <c r="D550">
        <v>5510</v>
      </c>
      <c r="E550">
        <v>7370</v>
      </c>
      <c r="F550">
        <v>25668</v>
      </c>
    </row>
    <row r="551" spans="1:6" x14ac:dyDescent="0.3">
      <c r="A551" s="1">
        <v>45599</v>
      </c>
      <c r="B551" t="s">
        <v>9</v>
      </c>
      <c r="C551">
        <v>13840</v>
      </c>
      <c r="D551">
        <v>4180</v>
      </c>
      <c r="E551">
        <v>5349</v>
      </c>
      <c r="F551">
        <v>23369</v>
      </c>
    </row>
    <row r="552" spans="1:6" x14ac:dyDescent="0.3">
      <c r="A552" s="1">
        <v>45367</v>
      </c>
      <c r="B552" t="s">
        <v>35</v>
      </c>
      <c r="C552">
        <v>4369</v>
      </c>
      <c r="D552">
        <v>2666</v>
      </c>
      <c r="E552">
        <v>2928</v>
      </c>
      <c r="F552">
        <v>9963</v>
      </c>
    </row>
    <row r="553" spans="1:6" x14ac:dyDescent="0.3">
      <c r="A553" s="1">
        <v>45310</v>
      </c>
      <c r="B553" t="s">
        <v>13</v>
      </c>
      <c r="C553">
        <v>3822</v>
      </c>
      <c r="D553">
        <v>5104</v>
      </c>
      <c r="E553">
        <v>7469</v>
      </c>
      <c r="F553">
        <v>16395</v>
      </c>
    </row>
    <row r="554" spans="1:6" x14ac:dyDescent="0.3">
      <c r="A554" s="1">
        <v>45549</v>
      </c>
      <c r="B554" t="s">
        <v>22</v>
      </c>
      <c r="C554">
        <v>16085</v>
      </c>
      <c r="D554">
        <v>3443</v>
      </c>
      <c r="E554">
        <v>7927</v>
      </c>
      <c r="F554">
        <v>27455</v>
      </c>
    </row>
    <row r="555" spans="1:6" x14ac:dyDescent="0.3">
      <c r="A555" s="1">
        <v>45487</v>
      </c>
      <c r="B555" t="s">
        <v>13</v>
      </c>
      <c r="C555">
        <v>9837</v>
      </c>
      <c r="D555">
        <v>2960</v>
      </c>
      <c r="E555">
        <v>1026</v>
      </c>
      <c r="F555">
        <v>13823</v>
      </c>
    </row>
    <row r="556" spans="1:6" x14ac:dyDescent="0.3">
      <c r="A556" s="1">
        <v>45430</v>
      </c>
      <c r="B556" t="s">
        <v>35</v>
      </c>
      <c r="C556">
        <v>6970</v>
      </c>
      <c r="D556">
        <v>4293</v>
      </c>
      <c r="E556">
        <v>4265</v>
      </c>
      <c r="F556">
        <v>15528</v>
      </c>
    </row>
    <row r="557" spans="1:6" x14ac:dyDescent="0.3">
      <c r="A557" s="1">
        <v>45418</v>
      </c>
      <c r="B557" t="s">
        <v>22</v>
      </c>
      <c r="C557">
        <v>19460</v>
      </c>
      <c r="D557">
        <v>6439</v>
      </c>
      <c r="E557">
        <v>1649</v>
      </c>
      <c r="F557">
        <v>27548</v>
      </c>
    </row>
    <row r="558" spans="1:6" x14ac:dyDescent="0.3">
      <c r="A558" s="1">
        <v>45509</v>
      </c>
      <c r="B558" t="s">
        <v>26</v>
      </c>
      <c r="C558">
        <v>13621</v>
      </c>
      <c r="D558">
        <v>1570</v>
      </c>
      <c r="E558">
        <v>1702</v>
      </c>
      <c r="F558">
        <v>16893</v>
      </c>
    </row>
    <row r="559" spans="1:6" x14ac:dyDescent="0.3">
      <c r="A559" s="1">
        <v>45334</v>
      </c>
      <c r="B559" t="s">
        <v>13</v>
      </c>
      <c r="C559">
        <v>11562</v>
      </c>
      <c r="D559">
        <v>7689</v>
      </c>
      <c r="E559">
        <v>2138</v>
      </c>
      <c r="F559">
        <v>21389</v>
      </c>
    </row>
    <row r="560" spans="1:6" x14ac:dyDescent="0.3">
      <c r="A560" s="1">
        <v>45300</v>
      </c>
      <c r="B560" t="s">
        <v>26</v>
      </c>
      <c r="C560">
        <v>16123</v>
      </c>
      <c r="D560">
        <v>3693</v>
      </c>
      <c r="E560">
        <v>2719</v>
      </c>
      <c r="F560">
        <v>22535</v>
      </c>
    </row>
    <row r="561" spans="1:6" x14ac:dyDescent="0.3">
      <c r="A561" s="1">
        <v>45581</v>
      </c>
      <c r="B561" t="s">
        <v>35</v>
      </c>
      <c r="C561">
        <v>10358</v>
      </c>
      <c r="D561">
        <v>3901</v>
      </c>
      <c r="E561">
        <v>1097</v>
      </c>
      <c r="F561">
        <v>15356</v>
      </c>
    </row>
    <row r="562" spans="1:6" x14ac:dyDescent="0.3">
      <c r="A562" s="1">
        <v>45307</v>
      </c>
      <c r="B562" t="s">
        <v>13</v>
      </c>
      <c r="C562">
        <v>14113</v>
      </c>
      <c r="D562">
        <v>9238</v>
      </c>
      <c r="E562">
        <v>3021</v>
      </c>
      <c r="F562">
        <v>26372</v>
      </c>
    </row>
    <row r="563" spans="1:6" x14ac:dyDescent="0.3">
      <c r="A563" s="1">
        <v>45414</v>
      </c>
      <c r="B563" t="s">
        <v>22</v>
      </c>
      <c r="C563">
        <v>3818</v>
      </c>
      <c r="D563">
        <v>9831</v>
      </c>
      <c r="E563">
        <v>2198</v>
      </c>
      <c r="F563">
        <v>15847</v>
      </c>
    </row>
    <row r="564" spans="1:6" x14ac:dyDescent="0.3">
      <c r="A564" s="1">
        <v>45424</v>
      </c>
      <c r="B564" t="s">
        <v>13</v>
      </c>
      <c r="C564">
        <v>19324</v>
      </c>
      <c r="D564">
        <v>6057</v>
      </c>
      <c r="E564">
        <v>6402</v>
      </c>
      <c r="F564">
        <v>31783</v>
      </c>
    </row>
    <row r="565" spans="1:6" x14ac:dyDescent="0.3">
      <c r="A565" s="1">
        <v>45354</v>
      </c>
      <c r="B565" t="s">
        <v>9</v>
      </c>
      <c r="C565">
        <v>18280</v>
      </c>
      <c r="D565">
        <v>1145</v>
      </c>
      <c r="E565">
        <v>1562</v>
      </c>
      <c r="F565">
        <v>20987</v>
      </c>
    </row>
    <row r="566" spans="1:6" x14ac:dyDescent="0.3">
      <c r="A566" s="1">
        <v>45605</v>
      </c>
      <c r="B566" t="s">
        <v>26</v>
      </c>
      <c r="C566">
        <v>8126</v>
      </c>
      <c r="D566">
        <v>9175</v>
      </c>
      <c r="E566">
        <v>7292</v>
      </c>
      <c r="F566">
        <v>24593</v>
      </c>
    </row>
    <row r="567" spans="1:6" x14ac:dyDescent="0.3">
      <c r="A567" s="1">
        <v>45382</v>
      </c>
      <c r="B567" t="s">
        <v>26</v>
      </c>
      <c r="C567">
        <v>16114</v>
      </c>
      <c r="D567">
        <v>3642</v>
      </c>
      <c r="E567">
        <v>2788</v>
      </c>
      <c r="F567">
        <v>22544</v>
      </c>
    </row>
    <row r="568" spans="1:6" x14ac:dyDescent="0.3">
      <c r="A568" s="1">
        <v>45597</v>
      </c>
      <c r="B568" t="s">
        <v>13</v>
      </c>
      <c r="C568">
        <v>19709</v>
      </c>
      <c r="D568">
        <v>8720</v>
      </c>
      <c r="E568">
        <v>5975</v>
      </c>
      <c r="F568">
        <v>34404</v>
      </c>
    </row>
    <row r="569" spans="1:6" x14ac:dyDescent="0.3">
      <c r="A569" s="1">
        <v>45602</v>
      </c>
      <c r="B569" t="s">
        <v>26</v>
      </c>
      <c r="C569">
        <v>5302</v>
      </c>
      <c r="D569">
        <v>2288</v>
      </c>
      <c r="E569">
        <v>2860</v>
      </c>
      <c r="F569">
        <v>10450</v>
      </c>
    </row>
    <row r="570" spans="1:6" x14ac:dyDescent="0.3">
      <c r="A570" s="1">
        <v>45386</v>
      </c>
      <c r="B570" t="s">
        <v>9</v>
      </c>
      <c r="C570">
        <v>17065</v>
      </c>
      <c r="D570">
        <v>5610</v>
      </c>
      <c r="E570">
        <v>4738</v>
      </c>
      <c r="F570">
        <v>27413</v>
      </c>
    </row>
    <row r="571" spans="1:6" x14ac:dyDescent="0.3">
      <c r="A571" s="1">
        <v>45551</v>
      </c>
      <c r="B571" t="s">
        <v>13</v>
      </c>
      <c r="C571">
        <v>14232</v>
      </c>
      <c r="D571">
        <v>5673</v>
      </c>
      <c r="E571">
        <v>2907</v>
      </c>
      <c r="F571">
        <v>22812</v>
      </c>
    </row>
    <row r="572" spans="1:6" x14ac:dyDescent="0.3">
      <c r="A572" s="1">
        <v>45377</v>
      </c>
      <c r="B572" t="s">
        <v>22</v>
      </c>
      <c r="C572">
        <v>12122</v>
      </c>
      <c r="D572">
        <v>9086</v>
      </c>
      <c r="E572">
        <v>586</v>
      </c>
      <c r="F572">
        <v>21794</v>
      </c>
    </row>
    <row r="573" spans="1:6" x14ac:dyDescent="0.3">
      <c r="A573" s="1">
        <v>45650</v>
      </c>
      <c r="B573" t="s">
        <v>26</v>
      </c>
      <c r="C573">
        <v>2526</v>
      </c>
      <c r="D573">
        <v>9050</v>
      </c>
      <c r="E573">
        <v>1044</v>
      </c>
      <c r="F573">
        <v>12620</v>
      </c>
    </row>
    <row r="574" spans="1:6" x14ac:dyDescent="0.3">
      <c r="A574" s="1">
        <v>45366</v>
      </c>
      <c r="B574" t="s">
        <v>35</v>
      </c>
      <c r="C574">
        <v>15964</v>
      </c>
      <c r="D574">
        <v>3321</v>
      </c>
      <c r="E574">
        <v>2549</v>
      </c>
      <c r="F574">
        <v>21834</v>
      </c>
    </row>
    <row r="575" spans="1:6" x14ac:dyDescent="0.3">
      <c r="A575" s="1">
        <v>45554</v>
      </c>
      <c r="B575" t="s">
        <v>13</v>
      </c>
      <c r="C575">
        <v>12372</v>
      </c>
      <c r="D575">
        <v>7747</v>
      </c>
      <c r="E575">
        <v>5642</v>
      </c>
      <c r="F575">
        <v>25761</v>
      </c>
    </row>
    <row r="576" spans="1:6" x14ac:dyDescent="0.3">
      <c r="A576" s="1">
        <v>45405</v>
      </c>
      <c r="B576" t="s">
        <v>9</v>
      </c>
      <c r="C576">
        <v>9664</v>
      </c>
      <c r="D576">
        <v>9786</v>
      </c>
      <c r="E576">
        <v>3409</v>
      </c>
      <c r="F576">
        <v>22859</v>
      </c>
    </row>
    <row r="577" spans="1:6" x14ac:dyDescent="0.3">
      <c r="A577" s="1">
        <v>45506</v>
      </c>
      <c r="B577" t="s">
        <v>13</v>
      </c>
      <c r="C577">
        <v>5300</v>
      </c>
      <c r="D577">
        <v>3116</v>
      </c>
      <c r="E577">
        <v>3174</v>
      </c>
      <c r="F577">
        <v>11590</v>
      </c>
    </row>
    <row r="578" spans="1:6" x14ac:dyDescent="0.3">
      <c r="A578" s="1">
        <v>45482</v>
      </c>
      <c r="B578" t="s">
        <v>35</v>
      </c>
      <c r="C578">
        <v>15186</v>
      </c>
      <c r="D578">
        <v>3442</v>
      </c>
      <c r="E578">
        <v>1121</v>
      </c>
      <c r="F578">
        <v>19749</v>
      </c>
    </row>
    <row r="579" spans="1:6" x14ac:dyDescent="0.3">
      <c r="A579" s="1">
        <v>45363</v>
      </c>
      <c r="B579" t="s">
        <v>22</v>
      </c>
      <c r="C579">
        <v>6216</v>
      </c>
      <c r="D579">
        <v>6491</v>
      </c>
      <c r="E579">
        <v>1139</v>
      </c>
      <c r="F579">
        <v>13846</v>
      </c>
    </row>
    <row r="580" spans="1:6" x14ac:dyDescent="0.3">
      <c r="A580" s="1">
        <v>45654</v>
      </c>
      <c r="B580" t="s">
        <v>22</v>
      </c>
      <c r="C580">
        <v>8426</v>
      </c>
      <c r="D580">
        <v>1324</v>
      </c>
      <c r="E580">
        <v>7537</v>
      </c>
      <c r="F580">
        <v>17287</v>
      </c>
    </row>
    <row r="581" spans="1:6" x14ac:dyDescent="0.3">
      <c r="A581" s="1">
        <v>45534</v>
      </c>
      <c r="B581" t="s">
        <v>26</v>
      </c>
      <c r="C581">
        <v>5453</v>
      </c>
      <c r="D581">
        <v>1142</v>
      </c>
      <c r="E581">
        <v>6492</v>
      </c>
      <c r="F581">
        <v>13087</v>
      </c>
    </row>
    <row r="582" spans="1:6" x14ac:dyDescent="0.3">
      <c r="A582" s="1">
        <v>45417</v>
      </c>
      <c r="B582" t="s">
        <v>35</v>
      </c>
      <c r="C582">
        <v>11215</v>
      </c>
      <c r="D582">
        <v>9815</v>
      </c>
      <c r="E582">
        <v>7536</v>
      </c>
      <c r="F582">
        <v>28566</v>
      </c>
    </row>
    <row r="583" spans="1:6" x14ac:dyDescent="0.3">
      <c r="A583" s="1">
        <v>45471</v>
      </c>
      <c r="B583" t="s">
        <v>13</v>
      </c>
      <c r="C583">
        <v>8651</v>
      </c>
      <c r="D583">
        <v>8753</v>
      </c>
      <c r="E583">
        <v>4578</v>
      </c>
      <c r="F583">
        <v>21982</v>
      </c>
    </row>
    <row r="584" spans="1:6" x14ac:dyDescent="0.3">
      <c r="A584" s="1">
        <v>45657</v>
      </c>
      <c r="B584" t="s">
        <v>13</v>
      </c>
      <c r="C584">
        <v>5227</v>
      </c>
      <c r="D584">
        <v>6452</v>
      </c>
      <c r="E584">
        <v>4351</v>
      </c>
      <c r="F584">
        <v>16030</v>
      </c>
    </row>
    <row r="585" spans="1:6" x14ac:dyDescent="0.3">
      <c r="A585" s="1">
        <v>45544</v>
      </c>
      <c r="B585" t="s">
        <v>9</v>
      </c>
      <c r="C585">
        <v>18248</v>
      </c>
      <c r="D585">
        <v>4853</v>
      </c>
      <c r="E585">
        <v>3635</v>
      </c>
      <c r="F585">
        <v>26736</v>
      </c>
    </row>
    <row r="586" spans="1:6" x14ac:dyDescent="0.3">
      <c r="A586" s="1">
        <v>45571</v>
      </c>
      <c r="B586" t="s">
        <v>22</v>
      </c>
      <c r="C586">
        <v>12954</v>
      </c>
      <c r="D586">
        <v>1045</v>
      </c>
      <c r="E586">
        <v>4197</v>
      </c>
      <c r="F586">
        <v>18196</v>
      </c>
    </row>
    <row r="587" spans="1:6" x14ac:dyDescent="0.3">
      <c r="A587" s="1">
        <v>45631</v>
      </c>
      <c r="B587" t="s">
        <v>9</v>
      </c>
      <c r="C587">
        <v>4127</v>
      </c>
      <c r="D587">
        <v>6258</v>
      </c>
      <c r="E587">
        <v>6474</v>
      </c>
      <c r="F587">
        <v>16859</v>
      </c>
    </row>
    <row r="588" spans="1:6" x14ac:dyDescent="0.3">
      <c r="A588" s="1">
        <v>45443</v>
      </c>
      <c r="B588" t="s">
        <v>22</v>
      </c>
      <c r="C588">
        <v>11971</v>
      </c>
      <c r="D588">
        <v>5337</v>
      </c>
      <c r="E588">
        <v>7539</v>
      </c>
      <c r="F588">
        <v>24847</v>
      </c>
    </row>
    <row r="589" spans="1:6" x14ac:dyDescent="0.3">
      <c r="A589" s="1">
        <v>45415</v>
      </c>
      <c r="B589" t="s">
        <v>26</v>
      </c>
      <c r="C589">
        <v>14662</v>
      </c>
      <c r="D589">
        <v>4478</v>
      </c>
      <c r="E589">
        <v>3107</v>
      </c>
      <c r="F589">
        <v>22247</v>
      </c>
    </row>
    <row r="590" spans="1:6" x14ac:dyDescent="0.3">
      <c r="A590" s="1">
        <v>45553</v>
      </c>
      <c r="B590" t="s">
        <v>13</v>
      </c>
      <c r="C590">
        <v>19975</v>
      </c>
      <c r="D590">
        <v>6373</v>
      </c>
      <c r="E590">
        <v>2292</v>
      </c>
      <c r="F590">
        <v>28640</v>
      </c>
    </row>
    <row r="591" spans="1:6" x14ac:dyDescent="0.3">
      <c r="A591" s="1">
        <v>45561</v>
      </c>
      <c r="B591" t="s">
        <v>22</v>
      </c>
      <c r="C591">
        <v>10968</v>
      </c>
      <c r="D591">
        <v>4470</v>
      </c>
      <c r="E591">
        <v>4614</v>
      </c>
      <c r="F591">
        <v>20052</v>
      </c>
    </row>
    <row r="592" spans="1:6" x14ac:dyDescent="0.3">
      <c r="A592" s="1">
        <v>45515</v>
      </c>
      <c r="B592" t="s">
        <v>35</v>
      </c>
      <c r="C592">
        <v>7291</v>
      </c>
      <c r="D592">
        <v>1467</v>
      </c>
      <c r="E592">
        <v>1749</v>
      </c>
      <c r="F592">
        <v>10507</v>
      </c>
    </row>
    <row r="593" spans="1:6" x14ac:dyDescent="0.3">
      <c r="A593" s="1">
        <v>45313</v>
      </c>
      <c r="B593" t="s">
        <v>22</v>
      </c>
      <c r="C593">
        <v>7417</v>
      </c>
      <c r="D593">
        <v>4378</v>
      </c>
      <c r="E593">
        <v>6010</v>
      </c>
      <c r="F593">
        <v>17805</v>
      </c>
    </row>
    <row r="594" spans="1:6" x14ac:dyDescent="0.3">
      <c r="A594" s="1">
        <v>45430</v>
      </c>
      <c r="B594" t="s">
        <v>22</v>
      </c>
      <c r="C594">
        <v>6047</v>
      </c>
      <c r="D594">
        <v>7437</v>
      </c>
      <c r="E594">
        <v>2368</v>
      </c>
      <c r="F594">
        <v>15852</v>
      </c>
    </row>
    <row r="595" spans="1:6" x14ac:dyDescent="0.3">
      <c r="A595" s="1">
        <v>45375</v>
      </c>
      <c r="B595" t="s">
        <v>26</v>
      </c>
      <c r="C595">
        <v>10386</v>
      </c>
      <c r="D595">
        <v>2560</v>
      </c>
      <c r="E595">
        <v>5276</v>
      </c>
      <c r="F595">
        <v>18222</v>
      </c>
    </row>
    <row r="596" spans="1:6" x14ac:dyDescent="0.3">
      <c r="A596" s="1">
        <v>45538</v>
      </c>
      <c r="B596" t="s">
        <v>13</v>
      </c>
      <c r="C596">
        <v>5451</v>
      </c>
      <c r="D596">
        <v>6524</v>
      </c>
      <c r="E596">
        <v>5485</v>
      </c>
      <c r="F596">
        <v>17460</v>
      </c>
    </row>
    <row r="597" spans="1:6" x14ac:dyDescent="0.3">
      <c r="A597" s="1">
        <v>45384</v>
      </c>
      <c r="B597" t="s">
        <v>22</v>
      </c>
      <c r="C597">
        <v>17690</v>
      </c>
      <c r="D597">
        <v>3125</v>
      </c>
      <c r="E597">
        <v>1739</v>
      </c>
      <c r="F597">
        <v>22554</v>
      </c>
    </row>
    <row r="598" spans="1:6" x14ac:dyDescent="0.3">
      <c r="A598" s="1">
        <v>45399</v>
      </c>
      <c r="B598" t="s">
        <v>35</v>
      </c>
      <c r="C598">
        <v>12630</v>
      </c>
      <c r="D598">
        <v>5316</v>
      </c>
      <c r="E598">
        <v>4965</v>
      </c>
      <c r="F598">
        <v>22911</v>
      </c>
    </row>
    <row r="599" spans="1:6" x14ac:dyDescent="0.3">
      <c r="A599" s="1">
        <v>45542</v>
      </c>
      <c r="B599" t="s">
        <v>9</v>
      </c>
      <c r="C599">
        <v>14016</v>
      </c>
      <c r="D599">
        <v>2634</v>
      </c>
      <c r="E599">
        <v>3039</v>
      </c>
      <c r="F599">
        <v>19689</v>
      </c>
    </row>
    <row r="600" spans="1:6" x14ac:dyDescent="0.3">
      <c r="A600" s="1">
        <v>45396</v>
      </c>
      <c r="B600" t="s">
        <v>9</v>
      </c>
      <c r="C600">
        <v>14074</v>
      </c>
      <c r="D600">
        <v>4686</v>
      </c>
      <c r="E600">
        <v>4405</v>
      </c>
      <c r="F600">
        <v>23165</v>
      </c>
    </row>
    <row r="601" spans="1:6" x14ac:dyDescent="0.3">
      <c r="A601" s="1">
        <v>45615</v>
      </c>
      <c r="B601" t="s">
        <v>26</v>
      </c>
      <c r="C601">
        <v>16103</v>
      </c>
      <c r="D601">
        <v>8074</v>
      </c>
      <c r="E601">
        <v>3936</v>
      </c>
      <c r="F601">
        <v>28113</v>
      </c>
    </row>
    <row r="602" spans="1:6" x14ac:dyDescent="0.3">
      <c r="A602" s="1">
        <v>45431</v>
      </c>
      <c r="B602" t="s">
        <v>13</v>
      </c>
      <c r="C602">
        <v>2702</v>
      </c>
      <c r="D602">
        <v>7030</v>
      </c>
      <c r="E602">
        <v>6650</v>
      </c>
      <c r="F602">
        <v>16382</v>
      </c>
    </row>
    <row r="603" spans="1:6" x14ac:dyDescent="0.3">
      <c r="A603" s="1">
        <v>45335</v>
      </c>
      <c r="B603" t="s">
        <v>22</v>
      </c>
      <c r="C603">
        <v>7729</v>
      </c>
      <c r="D603">
        <v>1935</v>
      </c>
      <c r="E603">
        <v>876</v>
      </c>
      <c r="F603">
        <v>10540</v>
      </c>
    </row>
    <row r="604" spans="1:6" x14ac:dyDescent="0.3">
      <c r="A604" s="1">
        <v>45622</v>
      </c>
      <c r="B604" t="s">
        <v>9</v>
      </c>
      <c r="C604">
        <v>11771</v>
      </c>
      <c r="D604">
        <v>4975</v>
      </c>
      <c r="E604">
        <v>1716</v>
      </c>
      <c r="F604">
        <v>18462</v>
      </c>
    </row>
    <row r="605" spans="1:6" x14ac:dyDescent="0.3">
      <c r="A605" s="1">
        <v>45332</v>
      </c>
      <c r="B605" t="s">
        <v>22</v>
      </c>
      <c r="C605">
        <v>10389</v>
      </c>
      <c r="D605">
        <v>3281</v>
      </c>
      <c r="E605">
        <v>2995</v>
      </c>
      <c r="F605">
        <v>16665</v>
      </c>
    </row>
    <row r="606" spans="1:6" x14ac:dyDescent="0.3">
      <c r="A606" s="1">
        <v>45551</v>
      </c>
      <c r="B606" t="s">
        <v>26</v>
      </c>
      <c r="C606">
        <v>9676</v>
      </c>
      <c r="D606">
        <v>5092</v>
      </c>
      <c r="E606">
        <v>3213</v>
      </c>
      <c r="F606">
        <v>17981</v>
      </c>
    </row>
    <row r="607" spans="1:6" x14ac:dyDescent="0.3">
      <c r="A607" s="1">
        <v>45343</v>
      </c>
      <c r="B607" t="s">
        <v>22</v>
      </c>
      <c r="C607">
        <v>17202</v>
      </c>
      <c r="D607">
        <v>8108</v>
      </c>
      <c r="E607">
        <v>957</v>
      </c>
      <c r="F607">
        <v>26267</v>
      </c>
    </row>
    <row r="608" spans="1:6" x14ac:dyDescent="0.3">
      <c r="A608" s="1">
        <v>45630</v>
      </c>
      <c r="B608" t="s">
        <v>9</v>
      </c>
      <c r="C608">
        <v>2404</v>
      </c>
      <c r="D608">
        <v>3688</v>
      </c>
      <c r="E608">
        <v>3599</v>
      </c>
      <c r="F608">
        <v>9691</v>
      </c>
    </row>
    <row r="609" spans="1:6" x14ac:dyDescent="0.3">
      <c r="A609" s="1">
        <v>45527</v>
      </c>
      <c r="B609" t="s">
        <v>9</v>
      </c>
      <c r="C609">
        <v>14733</v>
      </c>
      <c r="D609">
        <v>4296</v>
      </c>
      <c r="E609">
        <v>7052</v>
      </c>
      <c r="F609">
        <v>26081</v>
      </c>
    </row>
    <row r="610" spans="1:6" x14ac:dyDescent="0.3">
      <c r="A610" s="1">
        <v>45575</v>
      </c>
      <c r="B610" t="s">
        <v>22</v>
      </c>
      <c r="C610">
        <v>15188</v>
      </c>
      <c r="D610">
        <v>8735</v>
      </c>
      <c r="E610">
        <v>3058</v>
      </c>
      <c r="F610">
        <v>26981</v>
      </c>
    </row>
    <row r="611" spans="1:6" x14ac:dyDescent="0.3">
      <c r="A611" s="1">
        <v>45514</v>
      </c>
      <c r="B611" t="s">
        <v>13</v>
      </c>
      <c r="C611">
        <v>11889</v>
      </c>
      <c r="D611">
        <v>8602</v>
      </c>
      <c r="E611">
        <v>6970</v>
      </c>
      <c r="F611">
        <v>27461</v>
      </c>
    </row>
    <row r="612" spans="1:6" x14ac:dyDescent="0.3">
      <c r="A612" s="1">
        <v>45497</v>
      </c>
      <c r="B612" t="s">
        <v>35</v>
      </c>
      <c r="C612">
        <v>2540</v>
      </c>
      <c r="D612">
        <v>8174</v>
      </c>
      <c r="E612">
        <v>6448</v>
      </c>
      <c r="F612">
        <v>17162</v>
      </c>
    </row>
    <row r="613" spans="1:6" x14ac:dyDescent="0.3">
      <c r="A613" s="1">
        <v>45528</v>
      </c>
      <c r="B613" t="s">
        <v>26</v>
      </c>
      <c r="C613">
        <v>7503</v>
      </c>
      <c r="D613">
        <v>6314</v>
      </c>
      <c r="E613">
        <v>1785</v>
      </c>
      <c r="F613">
        <v>15602</v>
      </c>
    </row>
    <row r="614" spans="1:6" x14ac:dyDescent="0.3">
      <c r="A614" s="1">
        <v>45351</v>
      </c>
      <c r="B614" t="s">
        <v>26</v>
      </c>
      <c r="C614">
        <v>17779</v>
      </c>
      <c r="D614">
        <v>4122</v>
      </c>
      <c r="E614">
        <v>3475</v>
      </c>
      <c r="F614">
        <v>25376</v>
      </c>
    </row>
    <row r="615" spans="1:6" x14ac:dyDescent="0.3">
      <c r="A615" s="1">
        <v>45293</v>
      </c>
      <c r="B615" t="s">
        <v>9</v>
      </c>
      <c r="C615">
        <v>10120</v>
      </c>
      <c r="D615">
        <v>1013</v>
      </c>
      <c r="E615">
        <v>5722</v>
      </c>
      <c r="F615">
        <v>16855</v>
      </c>
    </row>
    <row r="616" spans="1:6" x14ac:dyDescent="0.3">
      <c r="A616" s="1">
        <v>45586</v>
      </c>
      <c r="B616" t="s">
        <v>9</v>
      </c>
      <c r="C616">
        <v>4241</v>
      </c>
      <c r="D616">
        <v>8458</v>
      </c>
      <c r="E616">
        <v>1796</v>
      </c>
      <c r="F616">
        <v>14495</v>
      </c>
    </row>
    <row r="617" spans="1:6" x14ac:dyDescent="0.3">
      <c r="A617" s="1">
        <v>45500</v>
      </c>
      <c r="B617" t="s">
        <v>9</v>
      </c>
      <c r="C617">
        <v>10460</v>
      </c>
      <c r="D617">
        <v>2992</v>
      </c>
      <c r="E617">
        <v>3422</v>
      </c>
      <c r="F617">
        <v>16874</v>
      </c>
    </row>
    <row r="618" spans="1:6" x14ac:dyDescent="0.3">
      <c r="A618" s="1">
        <v>45328</v>
      </c>
      <c r="B618" t="s">
        <v>9</v>
      </c>
      <c r="C618">
        <v>18830</v>
      </c>
      <c r="D618">
        <v>3238</v>
      </c>
      <c r="E618">
        <v>4218</v>
      </c>
      <c r="F618">
        <v>26286</v>
      </c>
    </row>
    <row r="619" spans="1:6" x14ac:dyDescent="0.3">
      <c r="A619" s="1">
        <v>45515</v>
      </c>
      <c r="B619" t="s">
        <v>9</v>
      </c>
      <c r="C619">
        <v>5122</v>
      </c>
      <c r="D619">
        <v>9380</v>
      </c>
      <c r="E619">
        <v>1628</v>
      </c>
      <c r="F619">
        <v>16130</v>
      </c>
    </row>
    <row r="620" spans="1:6" x14ac:dyDescent="0.3">
      <c r="A620" s="1">
        <v>45450</v>
      </c>
      <c r="B620" t="s">
        <v>22</v>
      </c>
      <c r="C620">
        <v>9280</v>
      </c>
      <c r="D620">
        <v>7362</v>
      </c>
      <c r="E620">
        <v>4198</v>
      </c>
      <c r="F620">
        <v>20840</v>
      </c>
    </row>
    <row r="621" spans="1:6" x14ac:dyDescent="0.3">
      <c r="A621" s="1">
        <v>45488</v>
      </c>
      <c r="B621" t="s">
        <v>13</v>
      </c>
      <c r="C621">
        <v>7637</v>
      </c>
      <c r="D621">
        <v>9962</v>
      </c>
      <c r="E621">
        <v>5391</v>
      </c>
      <c r="F621">
        <v>22990</v>
      </c>
    </row>
    <row r="622" spans="1:6" x14ac:dyDescent="0.3">
      <c r="A622" s="1">
        <v>45373</v>
      </c>
      <c r="B622" t="s">
        <v>35</v>
      </c>
      <c r="C622">
        <v>10734</v>
      </c>
      <c r="D622">
        <v>4260</v>
      </c>
      <c r="E622">
        <v>3455</v>
      </c>
      <c r="F622">
        <v>18449</v>
      </c>
    </row>
    <row r="623" spans="1:6" x14ac:dyDescent="0.3">
      <c r="A623" s="1">
        <v>45335</v>
      </c>
      <c r="B623" t="s">
        <v>35</v>
      </c>
      <c r="C623">
        <v>5298</v>
      </c>
      <c r="D623">
        <v>5054</v>
      </c>
      <c r="E623">
        <v>4725</v>
      </c>
      <c r="F623">
        <v>15077</v>
      </c>
    </row>
    <row r="624" spans="1:6" x14ac:dyDescent="0.3">
      <c r="A624" s="1">
        <v>45584</v>
      </c>
      <c r="B624" t="s">
        <v>22</v>
      </c>
      <c r="C624">
        <v>7679</v>
      </c>
      <c r="D624">
        <v>3112</v>
      </c>
      <c r="E624">
        <v>4855</v>
      </c>
      <c r="F624">
        <v>15646</v>
      </c>
    </row>
    <row r="625" spans="1:6" x14ac:dyDescent="0.3">
      <c r="A625" s="1">
        <v>45582</v>
      </c>
      <c r="B625" t="s">
        <v>9</v>
      </c>
      <c r="C625">
        <v>5172</v>
      </c>
      <c r="D625">
        <v>8466</v>
      </c>
      <c r="E625">
        <v>6326</v>
      </c>
      <c r="F625">
        <v>19964</v>
      </c>
    </row>
    <row r="626" spans="1:6" x14ac:dyDescent="0.3">
      <c r="A626" s="1">
        <v>45330</v>
      </c>
      <c r="B626" t="s">
        <v>22</v>
      </c>
      <c r="C626">
        <v>15848</v>
      </c>
      <c r="D626">
        <v>1293</v>
      </c>
      <c r="E626">
        <v>2031</v>
      </c>
      <c r="F626">
        <v>19172</v>
      </c>
    </row>
    <row r="627" spans="1:6" x14ac:dyDescent="0.3">
      <c r="A627" s="1">
        <v>45584</v>
      </c>
      <c r="B627" t="s">
        <v>35</v>
      </c>
      <c r="C627">
        <v>5172</v>
      </c>
      <c r="D627">
        <v>8257</v>
      </c>
      <c r="E627">
        <v>7039</v>
      </c>
      <c r="F627">
        <v>20468</v>
      </c>
    </row>
    <row r="628" spans="1:6" x14ac:dyDescent="0.3">
      <c r="A628" s="1">
        <v>45303</v>
      </c>
      <c r="B628" t="s">
        <v>26</v>
      </c>
      <c r="C628">
        <v>4484</v>
      </c>
      <c r="D628">
        <v>8223</v>
      </c>
      <c r="E628">
        <v>873</v>
      </c>
      <c r="F628">
        <v>13580</v>
      </c>
    </row>
    <row r="629" spans="1:6" x14ac:dyDescent="0.3">
      <c r="A629" s="1">
        <v>45407</v>
      </c>
      <c r="B629" t="s">
        <v>9</v>
      </c>
      <c r="C629">
        <v>8130</v>
      </c>
      <c r="D629">
        <v>1412</v>
      </c>
      <c r="E629">
        <v>805</v>
      </c>
      <c r="F629">
        <v>10347</v>
      </c>
    </row>
    <row r="630" spans="1:6" x14ac:dyDescent="0.3">
      <c r="A630" s="1">
        <v>45614</v>
      </c>
      <c r="B630" t="s">
        <v>35</v>
      </c>
      <c r="C630">
        <v>10773</v>
      </c>
      <c r="D630">
        <v>5829</v>
      </c>
      <c r="E630">
        <v>4818</v>
      </c>
      <c r="F630">
        <v>21420</v>
      </c>
    </row>
    <row r="631" spans="1:6" x14ac:dyDescent="0.3">
      <c r="A631" s="1">
        <v>45653</v>
      </c>
      <c r="B631" t="s">
        <v>13</v>
      </c>
      <c r="C631">
        <v>4708</v>
      </c>
      <c r="D631">
        <v>5018</v>
      </c>
      <c r="E631">
        <v>1987</v>
      </c>
      <c r="F631">
        <v>11713</v>
      </c>
    </row>
    <row r="632" spans="1:6" x14ac:dyDescent="0.3">
      <c r="A632" s="1">
        <v>45518</v>
      </c>
      <c r="B632" t="s">
        <v>22</v>
      </c>
      <c r="C632">
        <v>14205</v>
      </c>
      <c r="D632">
        <v>8382</v>
      </c>
      <c r="E632">
        <v>5413</v>
      </c>
      <c r="F632">
        <v>28000</v>
      </c>
    </row>
    <row r="633" spans="1:6" x14ac:dyDescent="0.3">
      <c r="A633" s="1">
        <v>45354</v>
      </c>
      <c r="B633" t="s">
        <v>35</v>
      </c>
      <c r="C633">
        <v>18738</v>
      </c>
      <c r="D633">
        <v>4357</v>
      </c>
      <c r="E633">
        <v>2959</v>
      </c>
      <c r="F633">
        <v>26054</v>
      </c>
    </row>
    <row r="634" spans="1:6" x14ac:dyDescent="0.3">
      <c r="A634" s="1">
        <v>45418</v>
      </c>
      <c r="B634" t="s">
        <v>22</v>
      </c>
      <c r="C634">
        <v>5616</v>
      </c>
      <c r="D634">
        <v>9446</v>
      </c>
      <c r="E634">
        <v>4689</v>
      </c>
      <c r="F634">
        <v>19751</v>
      </c>
    </row>
    <row r="635" spans="1:6" x14ac:dyDescent="0.3">
      <c r="A635" s="1">
        <v>45616</v>
      </c>
      <c r="B635" t="s">
        <v>9</v>
      </c>
      <c r="C635">
        <v>3400</v>
      </c>
      <c r="D635">
        <v>4370</v>
      </c>
      <c r="E635">
        <v>1896</v>
      </c>
      <c r="F635">
        <v>9666</v>
      </c>
    </row>
    <row r="636" spans="1:6" x14ac:dyDescent="0.3">
      <c r="A636" s="1">
        <v>45547</v>
      </c>
      <c r="B636" t="s">
        <v>35</v>
      </c>
      <c r="C636">
        <v>10326</v>
      </c>
      <c r="D636">
        <v>7184</v>
      </c>
      <c r="E636">
        <v>2599</v>
      </c>
      <c r="F636">
        <v>20109</v>
      </c>
    </row>
    <row r="637" spans="1:6" x14ac:dyDescent="0.3">
      <c r="A637" s="1">
        <v>45568</v>
      </c>
      <c r="B637" t="s">
        <v>35</v>
      </c>
      <c r="C637">
        <v>13483</v>
      </c>
      <c r="D637">
        <v>9922</v>
      </c>
      <c r="E637">
        <v>5265</v>
      </c>
      <c r="F637">
        <v>28670</v>
      </c>
    </row>
    <row r="638" spans="1:6" x14ac:dyDescent="0.3">
      <c r="A638" s="1">
        <v>45417</v>
      </c>
      <c r="B638" t="s">
        <v>22</v>
      </c>
      <c r="C638">
        <v>17704</v>
      </c>
      <c r="D638">
        <v>8292</v>
      </c>
      <c r="E638">
        <v>2257</v>
      </c>
      <c r="F638">
        <v>28253</v>
      </c>
    </row>
    <row r="639" spans="1:6" x14ac:dyDescent="0.3">
      <c r="A639" s="1">
        <v>45413</v>
      </c>
      <c r="B639" t="s">
        <v>26</v>
      </c>
      <c r="C639">
        <v>19074</v>
      </c>
      <c r="D639">
        <v>1468</v>
      </c>
      <c r="E639">
        <v>3523</v>
      </c>
      <c r="F639">
        <v>24065</v>
      </c>
    </row>
    <row r="640" spans="1:6" x14ac:dyDescent="0.3">
      <c r="A640" s="1">
        <v>45635</v>
      </c>
      <c r="B640" t="s">
        <v>9</v>
      </c>
      <c r="C640">
        <v>17404</v>
      </c>
      <c r="D640">
        <v>9509</v>
      </c>
      <c r="E640">
        <v>4442</v>
      </c>
      <c r="F640">
        <v>31355</v>
      </c>
    </row>
    <row r="641" spans="1:6" x14ac:dyDescent="0.3">
      <c r="A641" s="1">
        <v>45515</v>
      </c>
      <c r="B641" t="s">
        <v>13</v>
      </c>
      <c r="C641">
        <v>6534</v>
      </c>
      <c r="D641">
        <v>9102</v>
      </c>
      <c r="E641">
        <v>3687</v>
      </c>
      <c r="F641">
        <v>19323</v>
      </c>
    </row>
    <row r="642" spans="1:6" x14ac:dyDescent="0.3">
      <c r="A642" s="1">
        <v>45418</v>
      </c>
      <c r="B642" t="s">
        <v>26</v>
      </c>
      <c r="C642">
        <v>19683</v>
      </c>
      <c r="D642">
        <v>3233</v>
      </c>
      <c r="E642">
        <v>6105</v>
      </c>
      <c r="F642">
        <v>29021</v>
      </c>
    </row>
    <row r="643" spans="1:6" x14ac:dyDescent="0.3">
      <c r="A643" s="1">
        <v>45295</v>
      </c>
      <c r="B643" t="s">
        <v>22</v>
      </c>
      <c r="C643">
        <v>8409</v>
      </c>
      <c r="D643">
        <v>7388</v>
      </c>
      <c r="E643">
        <v>5677</v>
      </c>
      <c r="F643">
        <v>21474</v>
      </c>
    </row>
    <row r="644" spans="1:6" x14ac:dyDescent="0.3">
      <c r="A644" s="1">
        <v>45472</v>
      </c>
      <c r="B644" t="s">
        <v>9</v>
      </c>
      <c r="C644">
        <v>5721</v>
      </c>
      <c r="D644">
        <v>1027</v>
      </c>
      <c r="E644">
        <v>6792</v>
      </c>
      <c r="F644">
        <v>13540</v>
      </c>
    </row>
    <row r="645" spans="1:6" x14ac:dyDescent="0.3">
      <c r="A645" s="1">
        <v>45603</v>
      </c>
      <c r="B645" t="s">
        <v>13</v>
      </c>
      <c r="C645">
        <v>2149</v>
      </c>
      <c r="D645">
        <v>5049</v>
      </c>
      <c r="E645">
        <v>2397</v>
      </c>
      <c r="F645">
        <v>9595</v>
      </c>
    </row>
    <row r="646" spans="1:6" x14ac:dyDescent="0.3">
      <c r="A646" s="1">
        <v>45445</v>
      </c>
      <c r="B646" t="s">
        <v>35</v>
      </c>
      <c r="C646">
        <v>19076</v>
      </c>
      <c r="D646">
        <v>9182</v>
      </c>
      <c r="E646">
        <v>3946</v>
      </c>
      <c r="F646">
        <v>32204</v>
      </c>
    </row>
    <row r="647" spans="1:6" x14ac:dyDescent="0.3">
      <c r="A647" s="1">
        <v>45563</v>
      </c>
      <c r="B647" t="s">
        <v>26</v>
      </c>
      <c r="C647">
        <v>14849</v>
      </c>
      <c r="D647">
        <v>5929</v>
      </c>
      <c r="E647">
        <v>7874</v>
      </c>
      <c r="F647">
        <v>28652</v>
      </c>
    </row>
    <row r="648" spans="1:6" x14ac:dyDescent="0.3">
      <c r="A648" s="1">
        <v>45635</v>
      </c>
      <c r="B648" t="s">
        <v>22</v>
      </c>
      <c r="C648">
        <v>13374</v>
      </c>
      <c r="D648">
        <v>2219</v>
      </c>
      <c r="E648">
        <v>833</v>
      </c>
      <c r="F648">
        <v>16426</v>
      </c>
    </row>
    <row r="649" spans="1:6" x14ac:dyDescent="0.3">
      <c r="A649" s="1">
        <v>45653</v>
      </c>
      <c r="B649" t="s">
        <v>9</v>
      </c>
      <c r="C649">
        <v>19925</v>
      </c>
      <c r="D649">
        <v>5748</v>
      </c>
      <c r="E649">
        <v>3349</v>
      </c>
      <c r="F649">
        <v>29022</v>
      </c>
    </row>
    <row r="650" spans="1:6" x14ac:dyDescent="0.3">
      <c r="A650" s="1">
        <v>45492</v>
      </c>
      <c r="B650" t="s">
        <v>35</v>
      </c>
      <c r="C650">
        <v>9472</v>
      </c>
      <c r="D650">
        <v>6563</v>
      </c>
      <c r="E650">
        <v>2915</v>
      </c>
      <c r="F650">
        <v>18950</v>
      </c>
    </row>
    <row r="651" spans="1:6" x14ac:dyDescent="0.3">
      <c r="A651" s="1">
        <v>45471</v>
      </c>
      <c r="B651" t="s">
        <v>26</v>
      </c>
      <c r="C651">
        <v>7197</v>
      </c>
      <c r="D651">
        <v>3542</v>
      </c>
      <c r="E651">
        <v>7480</v>
      </c>
      <c r="F651">
        <v>18219</v>
      </c>
    </row>
    <row r="652" spans="1:6" x14ac:dyDescent="0.3">
      <c r="A652" s="1">
        <v>45545</v>
      </c>
      <c r="B652" t="s">
        <v>13</v>
      </c>
      <c r="C652">
        <v>6019</v>
      </c>
      <c r="D652">
        <v>2917</v>
      </c>
      <c r="E652">
        <v>4705</v>
      </c>
      <c r="F652">
        <v>13641</v>
      </c>
    </row>
    <row r="653" spans="1:6" x14ac:dyDescent="0.3">
      <c r="A653" s="1">
        <v>45356</v>
      </c>
      <c r="B653" t="s">
        <v>26</v>
      </c>
      <c r="C653">
        <v>12485</v>
      </c>
      <c r="D653">
        <v>6502</v>
      </c>
      <c r="E653">
        <v>4952</v>
      </c>
      <c r="F653">
        <v>23939</v>
      </c>
    </row>
    <row r="654" spans="1:6" x14ac:dyDescent="0.3">
      <c r="A654" s="1">
        <v>45479</v>
      </c>
      <c r="B654" t="s">
        <v>26</v>
      </c>
      <c r="C654">
        <v>9390</v>
      </c>
      <c r="D654">
        <v>2230</v>
      </c>
      <c r="E654">
        <v>7062</v>
      </c>
      <c r="F654">
        <v>18682</v>
      </c>
    </row>
    <row r="655" spans="1:6" x14ac:dyDescent="0.3">
      <c r="A655" s="1">
        <v>45573</v>
      </c>
      <c r="B655" t="s">
        <v>35</v>
      </c>
      <c r="C655">
        <v>3044</v>
      </c>
      <c r="D655">
        <v>7368</v>
      </c>
      <c r="E655">
        <v>5726</v>
      </c>
      <c r="F655">
        <v>16138</v>
      </c>
    </row>
    <row r="656" spans="1:6" x14ac:dyDescent="0.3">
      <c r="A656" s="1">
        <v>45354</v>
      </c>
      <c r="B656" t="s">
        <v>13</v>
      </c>
      <c r="C656">
        <v>8727</v>
      </c>
      <c r="D656">
        <v>4067</v>
      </c>
      <c r="E656">
        <v>901</v>
      </c>
      <c r="F656">
        <v>13695</v>
      </c>
    </row>
    <row r="657" spans="1:6" x14ac:dyDescent="0.3">
      <c r="A657" s="1">
        <v>45577</v>
      </c>
      <c r="B657" t="s">
        <v>22</v>
      </c>
      <c r="C657">
        <v>3926</v>
      </c>
      <c r="D657">
        <v>4489</v>
      </c>
      <c r="E657">
        <v>3890</v>
      </c>
      <c r="F657">
        <v>12305</v>
      </c>
    </row>
    <row r="658" spans="1:6" x14ac:dyDescent="0.3">
      <c r="A658" s="1">
        <v>45328</v>
      </c>
      <c r="B658" t="s">
        <v>9</v>
      </c>
      <c r="C658">
        <v>11123</v>
      </c>
      <c r="D658">
        <v>4016</v>
      </c>
      <c r="E658">
        <v>4163</v>
      </c>
      <c r="F658">
        <v>19302</v>
      </c>
    </row>
    <row r="659" spans="1:6" x14ac:dyDescent="0.3">
      <c r="A659" s="1">
        <v>45514</v>
      </c>
      <c r="B659" t="s">
        <v>13</v>
      </c>
      <c r="C659">
        <v>7541</v>
      </c>
      <c r="D659">
        <v>6754</v>
      </c>
      <c r="E659">
        <v>2592</v>
      </c>
      <c r="F659">
        <v>16887</v>
      </c>
    </row>
    <row r="660" spans="1:6" x14ac:dyDescent="0.3">
      <c r="A660" s="1">
        <v>45480</v>
      </c>
      <c r="B660" t="s">
        <v>22</v>
      </c>
      <c r="C660">
        <v>16790</v>
      </c>
      <c r="D660">
        <v>7882</v>
      </c>
      <c r="E660">
        <v>4568</v>
      </c>
      <c r="F660">
        <v>29240</v>
      </c>
    </row>
    <row r="661" spans="1:6" x14ac:dyDescent="0.3">
      <c r="A661" s="1">
        <v>45499</v>
      </c>
      <c r="B661" t="s">
        <v>22</v>
      </c>
      <c r="C661">
        <v>12415</v>
      </c>
      <c r="D661">
        <v>8773</v>
      </c>
      <c r="E661">
        <v>7941</v>
      </c>
      <c r="F661">
        <v>29129</v>
      </c>
    </row>
    <row r="662" spans="1:6" x14ac:dyDescent="0.3">
      <c r="A662" s="1">
        <v>45386</v>
      </c>
      <c r="B662" t="s">
        <v>9</v>
      </c>
      <c r="C662">
        <v>10720</v>
      </c>
      <c r="D662">
        <v>4627</v>
      </c>
      <c r="E662">
        <v>3229</v>
      </c>
      <c r="F662">
        <v>18576</v>
      </c>
    </row>
    <row r="663" spans="1:6" x14ac:dyDescent="0.3">
      <c r="A663" s="1">
        <v>45323</v>
      </c>
      <c r="B663" t="s">
        <v>26</v>
      </c>
      <c r="C663">
        <v>13423</v>
      </c>
      <c r="D663">
        <v>7434</v>
      </c>
      <c r="E663">
        <v>5408</v>
      </c>
      <c r="F663">
        <v>26265</v>
      </c>
    </row>
    <row r="664" spans="1:6" x14ac:dyDescent="0.3">
      <c r="A664" s="1">
        <v>45610</v>
      </c>
      <c r="B664" t="s">
        <v>13</v>
      </c>
      <c r="C664">
        <v>4485</v>
      </c>
      <c r="D664">
        <v>1121</v>
      </c>
      <c r="E664">
        <v>5822</v>
      </c>
      <c r="F664">
        <v>11428</v>
      </c>
    </row>
    <row r="665" spans="1:6" x14ac:dyDescent="0.3">
      <c r="A665" s="1">
        <v>45590</v>
      </c>
      <c r="B665" t="s">
        <v>35</v>
      </c>
      <c r="C665">
        <v>6993</v>
      </c>
      <c r="D665">
        <v>3992</v>
      </c>
      <c r="E665">
        <v>930</v>
      </c>
      <c r="F665">
        <v>11915</v>
      </c>
    </row>
    <row r="666" spans="1:6" x14ac:dyDescent="0.3">
      <c r="A666" s="1">
        <v>45502</v>
      </c>
      <c r="B666" t="s">
        <v>9</v>
      </c>
      <c r="C666">
        <v>10938</v>
      </c>
      <c r="D666">
        <v>6939</v>
      </c>
      <c r="E666">
        <v>2901</v>
      </c>
      <c r="F666">
        <v>20778</v>
      </c>
    </row>
    <row r="667" spans="1:6" x14ac:dyDescent="0.3">
      <c r="A667" s="1">
        <v>45557</v>
      </c>
      <c r="B667" t="s">
        <v>13</v>
      </c>
      <c r="C667">
        <v>3072</v>
      </c>
      <c r="D667">
        <v>2705</v>
      </c>
      <c r="E667">
        <v>7669</v>
      </c>
      <c r="F667">
        <v>13446</v>
      </c>
    </row>
    <row r="668" spans="1:6" x14ac:dyDescent="0.3">
      <c r="A668" s="1">
        <v>45402</v>
      </c>
      <c r="B668" t="s">
        <v>9</v>
      </c>
      <c r="C668">
        <v>19414</v>
      </c>
      <c r="D668">
        <v>5293</v>
      </c>
      <c r="E668">
        <v>7327</v>
      </c>
      <c r="F668">
        <v>32034</v>
      </c>
    </row>
    <row r="669" spans="1:6" x14ac:dyDescent="0.3">
      <c r="A669" s="1">
        <v>45514</v>
      </c>
      <c r="B669" t="s">
        <v>35</v>
      </c>
      <c r="C669">
        <v>15337</v>
      </c>
      <c r="D669">
        <v>1743</v>
      </c>
      <c r="E669">
        <v>3532</v>
      </c>
      <c r="F669">
        <v>20612</v>
      </c>
    </row>
    <row r="670" spans="1:6" x14ac:dyDescent="0.3">
      <c r="A670" s="1">
        <v>45506</v>
      </c>
      <c r="B670" t="s">
        <v>9</v>
      </c>
      <c r="C670">
        <v>7775</v>
      </c>
      <c r="D670">
        <v>9472</v>
      </c>
      <c r="E670">
        <v>7013</v>
      </c>
      <c r="F670">
        <v>24260</v>
      </c>
    </row>
    <row r="671" spans="1:6" x14ac:dyDescent="0.3">
      <c r="A671" s="1">
        <v>45478</v>
      </c>
      <c r="B671" t="s">
        <v>13</v>
      </c>
      <c r="C671">
        <v>17745</v>
      </c>
      <c r="D671">
        <v>5064</v>
      </c>
      <c r="E671">
        <v>3660</v>
      </c>
      <c r="F671">
        <v>26469</v>
      </c>
    </row>
    <row r="672" spans="1:6" x14ac:dyDescent="0.3">
      <c r="A672" s="1">
        <v>45397</v>
      </c>
      <c r="B672" t="s">
        <v>9</v>
      </c>
      <c r="C672">
        <v>13186</v>
      </c>
      <c r="D672">
        <v>6975</v>
      </c>
      <c r="E672">
        <v>4971</v>
      </c>
      <c r="F672">
        <v>25132</v>
      </c>
    </row>
    <row r="673" spans="1:6" x14ac:dyDescent="0.3">
      <c r="A673" s="1">
        <v>45508</v>
      </c>
      <c r="B673" t="s">
        <v>9</v>
      </c>
      <c r="C673">
        <v>18307</v>
      </c>
      <c r="D673">
        <v>6103</v>
      </c>
      <c r="E673">
        <v>2050</v>
      </c>
      <c r="F673">
        <v>26460</v>
      </c>
    </row>
    <row r="674" spans="1:6" x14ac:dyDescent="0.3">
      <c r="A674" s="1">
        <v>45392</v>
      </c>
      <c r="B674" t="s">
        <v>13</v>
      </c>
      <c r="C674">
        <v>13538</v>
      </c>
      <c r="D674">
        <v>1390</v>
      </c>
      <c r="E674">
        <v>2825</v>
      </c>
      <c r="F674">
        <v>17753</v>
      </c>
    </row>
    <row r="675" spans="1:6" x14ac:dyDescent="0.3">
      <c r="A675" s="1">
        <v>45521</v>
      </c>
      <c r="B675" t="s">
        <v>22</v>
      </c>
      <c r="C675">
        <v>12200</v>
      </c>
      <c r="D675">
        <v>5157</v>
      </c>
      <c r="E675">
        <v>4353</v>
      </c>
      <c r="F675">
        <v>21710</v>
      </c>
    </row>
    <row r="676" spans="1:6" x14ac:dyDescent="0.3">
      <c r="A676" s="1">
        <v>45398</v>
      </c>
      <c r="B676" t="s">
        <v>13</v>
      </c>
      <c r="C676">
        <v>7087</v>
      </c>
      <c r="D676">
        <v>6591</v>
      </c>
      <c r="E676">
        <v>4210</v>
      </c>
      <c r="F676">
        <v>17888</v>
      </c>
    </row>
    <row r="677" spans="1:6" x14ac:dyDescent="0.3">
      <c r="A677" s="1">
        <v>45546</v>
      </c>
      <c r="B677" t="s">
        <v>13</v>
      </c>
      <c r="C677">
        <v>12102</v>
      </c>
      <c r="D677">
        <v>6844</v>
      </c>
      <c r="E677">
        <v>3418</v>
      </c>
      <c r="F677">
        <v>22364</v>
      </c>
    </row>
    <row r="678" spans="1:6" x14ac:dyDescent="0.3">
      <c r="A678" s="1">
        <v>45433</v>
      </c>
      <c r="B678" t="s">
        <v>9</v>
      </c>
      <c r="C678">
        <v>13525</v>
      </c>
      <c r="D678">
        <v>4475</v>
      </c>
      <c r="E678">
        <v>7084</v>
      </c>
      <c r="F678">
        <v>25084</v>
      </c>
    </row>
    <row r="679" spans="1:6" x14ac:dyDescent="0.3">
      <c r="A679" s="1">
        <v>45449</v>
      </c>
      <c r="B679" t="s">
        <v>26</v>
      </c>
      <c r="C679">
        <v>11251</v>
      </c>
      <c r="D679">
        <v>6258</v>
      </c>
      <c r="E679">
        <v>1897</v>
      </c>
      <c r="F679">
        <v>19406</v>
      </c>
    </row>
    <row r="680" spans="1:6" x14ac:dyDescent="0.3">
      <c r="A680" s="1">
        <v>45623</v>
      </c>
      <c r="B680" t="s">
        <v>22</v>
      </c>
      <c r="C680">
        <v>6070</v>
      </c>
      <c r="D680">
        <v>4257</v>
      </c>
      <c r="E680">
        <v>4455</v>
      </c>
      <c r="F680">
        <v>14782</v>
      </c>
    </row>
    <row r="681" spans="1:6" x14ac:dyDescent="0.3">
      <c r="A681" s="1">
        <v>45334</v>
      </c>
      <c r="B681" t="s">
        <v>13</v>
      </c>
      <c r="C681">
        <v>8521</v>
      </c>
      <c r="D681">
        <v>2989</v>
      </c>
      <c r="E681">
        <v>1140</v>
      </c>
      <c r="F681">
        <v>12650</v>
      </c>
    </row>
    <row r="682" spans="1:6" x14ac:dyDescent="0.3">
      <c r="A682" s="1">
        <v>45424</v>
      </c>
      <c r="B682" t="s">
        <v>13</v>
      </c>
      <c r="C682">
        <v>12151</v>
      </c>
      <c r="D682">
        <v>8989</v>
      </c>
      <c r="E682">
        <v>5739</v>
      </c>
      <c r="F682">
        <v>26879</v>
      </c>
    </row>
    <row r="683" spans="1:6" x14ac:dyDescent="0.3">
      <c r="A683" s="1">
        <v>45408</v>
      </c>
      <c r="B683" t="s">
        <v>26</v>
      </c>
      <c r="C683">
        <v>8837</v>
      </c>
      <c r="D683">
        <v>4669</v>
      </c>
      <c r="E683">
        <v>3978</v>
      </c>
      <c r="F683">
        <v>17484</v>
      </c>
    </row>
    <row r="684" spans="1:6" x14ac:dyDescent="0.3">
      <c r="A684" s="1">
        <v>45579</v>
      </c>
      <c r="B684" t="s">
        <v>13</v>
      </c>
      <c r="C684">
        <v>8647</v>
      </c>
      <c r="D684">
        <v>7274</v>
      </c>
      <c r="E684">
        <v>4516</v>
      </c>
      <c r="F684">
        <v>20437</v>
      </c>
    </row>
    <row r="685" spans="1:6" x14ac:dyDescent="0.3">
      <c r="A685" s="1">
        <v>45412</v>
      </c>
      <c r="B685" t="s">
        <v>9</v>
      </c>
      <c r="C685">
        <v>9974</v>
      </c>
      <c r="D685">
        <v>1311</v>
      </c>
      <c r="E685">
        <v>4844</v>
      </c>
      <c r="F685">
        <v>16129</v>
      </c>
    </row>
    <row r="686" spans="1:6" x14ac:dyDescent="0.3">
      <c r="A686" s="1">
        <v>45634</v>
      </c>
      <c r="B686" t="s">
        <v>9</v>
      </c>
      <c r="C686">
        <v>10676</v>
      </c>
      <c r="D686">
        <v>3159</v>
      </c>
      <c r="E686">
        <v>5542</v>
      </c>
      <c r="F686">
        <v>19377</v>
      </c>
    </row>
    <row r="687" spans="1:6" x14ac:dyDescent="0.3">
      <c r="A687" s="1">
        <v>45617</v>
      </c>
      <c r="B687" t="s">
        <v>9</v>
      </c>
      <c r="C687">
        <v>18517</v>
      </c>
      <c r="D687">
        <v>2181</v>
      </c>
      <c r="E687">
        <v>7262</v>
      </c>
      <c r="F687">
        <v>27960</v>
      </c>
    </row>
    <row r="688" spans="1:6" x14ac:dyDescent="0.3">
      <c r="A688" s="1">
        <v>45576</v>
      </c>
      <c r="B688" t="s">
        <v>26</v>
      </c>
      <c r="C688">
        <v>18855</v>
      </c>
      <c r="D688">
        <v>2711</v>
      </c>
      <c r="E688">
        <v>2342</v>
      </c>
      <c r="F688">
        <v>23908</v>
      </c>
    </row>
    <row r="689" spans="1:6" x14ac:dyDescent="0.3">
      <c r="A689" s="1">
        <v>45360</v>
      </c>
      <c r="B689" t="s">
        <v>22</v>
      </c>
      <c r="C689">
        <v>5908</v>
      </c>
      <c r="D689">
        <v>6135</v>
      </c>
      <c r="E689">
        <v>1354</v>
      </c>
      <c r="F689">
        <v>13397</v>
      </c>
    </row>
    <row r="690" spans="1:6" x14ac:dyDescent="0.3">
      <c r="A690" s="1">
        <v>45411</v>
      </c>
      <c r="B690" t="s">
        <v>22</v>
      </c>
      <c r="C690">
        <v>10642</v>
      </c>
      <c r="D690">
        <v>5652</v>
      </c>
      <c r="E690">
        <v>5709</v>
      </c>
      <c r="F690">
        <v>22003</v>
      </c>
    </row>
    <row r="691" spans="1:6" x14ac:dyDescent="0.3">
      <c r="A691" s="1">
        <v>45498</v>
      </c>
      <c r="B691" t="s">
        <v>35</v>
      </c>
      <c r="C691">
        <v>11219</v>
      </c>
      <c r="D691">
        <v>4358</v>
      </c>
      <c r="E691">
        <v>600</v>
      </c>
      <c r="F691">
        <v>16177</v>
      </c>
    </row>
    <row r="692" spans="1:6" x14ac:dyDescent="0.3">
      <c r="A692" s="1">
        <v>45602</v>
      </c>
      <c r="B692" t="s">
        <v>26</v>
      </c>
      <c r="C692">
        <v>19736</v>
      </c>
      <c r="D692">
        <v>4149</v>
      </c>
      <c r="E692">
        <v>1180</v>
      </c>
      <c r="F692">
        <v>25065</v>
      </c>
    </row>
    <row r="693" spans="1:6" x14ac:dyDescent="0.3">
      <c r="A693" s="1">
        <v>45551</v>
      </c>
      <c r="B693" t="s">
        <v>9</v>
      </c>
      <c r="C693">
        <v>7874</v>
      </c>
      <c r="D693">
        <v>8010</v>
      </c>
      <c r="E693">
        <v>7486</v>
      </c>
      <c r="F693">
        <v>23370</v>
      </c>
    </row>
    <row r="694" spans="1:6" x14ac:dyDescent="0.3">
      <c r="A694" s="1">
        <v>45558</v>
      </c>
      <c r="B694" t="s">
        <v>22</v>
      </c>
      <c r="C694">
        <v>2152</v>
      </c>
      <c r="D694">
        <v>3353</v>
      </c>
      <c r="E694">
        <v>2224</v>
      </c>
      <c r="F694">
        <v>7729</v>
      </c>
    </row>
    <row r="695" spans="1:6" x14ac:dyDescent="0.3">
      <c r="A695" s="1">
        <v>45382</v>
      </c>
      <c r="B695" t="s">
        <v>13</v>
      </c>
      <c r="C695">
        <v>12419</v>
      </c>
      <c r="D695">
        <v>3140</v>
      </c>
      <c r="E695">
        <v>1109</v>
      </c>
      <c r="F695">
        <v>16668</v>
      </c>
    </row>
    <row r="696" spans="1:6" x14ac:dyDescent="0.3">
      <c r="A696" s="1">
        <v>45592</v>
      </c>
      <c r="B696" t="s">
        <v>35</v>
      </c>
      <c r="C696">
        <v>15359</v>
      </c>
      <c r="D696">
        <v>8326</v>
      </c>
      <c r="E696">
        <v>4292</v>
      </c>
      <c r="F696">
        <v>27977</v>
      </c>
    </row>
    <row r="697" spans="1:6" x14ac:dyDescent="0.3">
      <c r="A697" s="1">
        <v>45601</v>
      </c>
      <c r="B697" t="s">
        <v>35</v>
      </c>
      <c r="C697">
        <v>7397</v>
      </c>
      <c r="D697">
        <v>9451</v>
      </c>
      <c r="E697">
        <v>7843</v>
      </c>
      <c r="F697">
        <v>24691</v>
      </c>
    </row>
    <row r="698" spans="1:6" x14ac:dyDescent="0.3">
      <c r="A698" s="1">
        <v>45342</v>
      </c>
      <c r="B698" t="s">
        <v>13</v>
      </c>
      <c r="C698">
        <v>11102</v>
      </c>
      <c r="D698">
        <v>2450</v>
      </c>
      <c r="E698">
        <v>2062</v>
      </c>
      <c r="F698">
        <v>15614</v>
      </c>
    </row>
    <row r="699" spans="1:6" x14ac:dyDescent="0.3">
      <c r="A699" s="1">
        <v>45561</v>
      </c>
      <c r="B699" t="s">
        <v>13</v>
      </c>
      <c r="C699">
        <v>14359</v>
      </c>
      <c r="D699">
        <v>7997</v>
      </c>
      <c r="E699">
        <v>2365</v>
      </c>
      <c r="F699">
        <v>24721</v>
      </c>
    </row>
    <row r="700" spans="1:6" x14ac:dyDescent="0.3">
      <c r="A700" s="1">
        <v>45590</v>
      </c>
      <c r="B700" t="s">
        <v>26</v>
      </c>
      <c r="C700">
        <v>2707</v>
      </c>
      <c r="D700">
        <v>4348</v>
      </c>
      <c r="E700">
        <v>1083</v>
      </c>
      <c r="F700">
        <v>8138</v>
      </c>
    </row>
    <row r="701" spans="1:6" x14ac:dyDescent="0.3">
      <c r="A701" s="1">
        <v>45435</v>
      </c>
      <c r="B701" t="s">
        <v>13</v>
      </c>
      <c r="C701">
        <v>13327</v>
      </c>
      <c r="D701">
        <v>3662</v>
      </c>
      <c r="E701">
        <v>888</v>
      </c>
      <c r="F701">
        <v>17877</v>
      </c>
    </row>
    <row r="702" spans="1:6" x14ac:dyDescent="0.3">
      <c r="A702" s="1">
        <v>45293</v>
      </c>
      <c r="B702" t="s">
        <v>22</v>
      </c>
      <c r="C702">
        <v>17448</v>
      </c>
      <c r="D702">
        <v>8992</v>
      </c>
      <c r="E702">
        <v>6484</v>
      </c>
      <c r="F702">
        <v>32924</v>
      </c>
    </row>
    <row r="703" spans="1:6" x14ac:dyDescent="0.3">
      <c r="A703" s="1">
        <v>45547</v>
      </c>
      <c r="B703" t="s">
        <v>22</v>
      </c>
      <c r="C703">
        <v>7007</v>
      </c>
      <c r="D703">
        <v>2472</v>
      </c>
      <c r="E703">
        <v>4127</v>
      </c>
      <c r="F703">
        <v>13606</v>
      </c>
    </row>
    <row r="704" spans="1:6" x14ac:dyDescent="0.3">
      <c r="A704" s="1">
        <v>45404</v>
      </c>
      <c r="B704" t="s">
        <v>22</v>
      </c>
      <c r="C704">
        <v>18384</v>
      </c>
      <c r="D704">
        <v>5045</v>
      </c>
      <c r="E704">
        <v>1388</v>
      </c>
      <c r="F704">
        <v>24817</v>
      </c>
    </row>
    <row r="705" spans="1:6" x14ac:dyDescent="0.3">
      <c r="A705" s="1">
        <v>45417</v>
      </c>
      <c r="B705" t="s">
        <v>26</v>
      </c>
      <c r="C705">
        <v>15280</v>
      </c>
      <c r="D705">
        <v>6541</v>
      </c>
      <c r="E705">
        <v>1705</v>
      </c>
      <c r="F705">
        <v>23526</v>
      </c>
    </row>
    <row r="706" spans="1:6" x14ac:dyDescent="0.3">
      <c r="A706" s="1">
        <v>45609</v>
      </c>
      <c r="B706" t="s">
        <v>13</v>
      </c>
      <c r="C706">
        <v>14301</v>
      </c>
      <c r="D706">
        <v>5505</v>
      </c>
      <c r="E706">
        <v>2837</v>
      </c>
      <c r="F706">
        <v>22643</v>
      </c>
    </row>
    <row r="707" spans="1:6" x14ac:dyDescent="0.3">
      <c r="A707" s="1">
        <v>45317</v>
      </c>
      <c r="B707" t="s">
        <v>35</v>
      </c>
      <c r="C707">
        <v>2195</v>
      </c>
      <c r="D707">
        <v>8572</v>
      </c>
      <c r="E707">
        <v>1070</v>
      </c>
      <c r="F707">
        <v>11837</v>
      </c>
    </row>
    <row r="708" spans="1:6" x14ac:dyDescent="0.3">
      <c r="A708" s="1">
        <v>45525</v>
      </c>
      <c r="B708" t="s">
        <v>22</v>
      </c>
      <c r="C708">
        <v>19658</v>
      </c>
      <c r="D708">
        <v>7726</v>
      </c>
      <c r="E708">
        <v>4592</v>
      </c>
      <c r="F708">
        <v>31976</v>
      </c>
    </row>
    <row r="709" spans="1:6" x14ac:dyDescent="0.3">
      <c r="A709" s="1">
        <v>45521</v>
      </c>
      <c r="B709" t="s">
        <v>22</v>
      </c>
      <c r="C709">
        <v>10346</v>
      </c>
      <c r="D709">
        <v>7532</v>
      </c>
      <c r="E709">
        <v>2659</v>
      </c>
      <c r="F709">
        <v>20537</v>
      </c>
    </row>
    <row r="710" spans="1:6" x14ac:dyDescent="0.3">
      <c r="A710" s="1">
        <v>45565</v>
      </c>
      <c r="B710" t="s">
        <v>13</v>
      </c>
      <c r="C710">
        <v>9672</v>
      </c>
      <c r="D710">
        <v>5373</v>
      </c>
      <c r="E710">
        <v>6903</v>
      </c>
      <c r="F710">
        <v>21948</v>
      </c>
    </row>
    <row r="711" spans="1:6" x14ac:dyDescent="0.3">
      <c r="A711" s="1">
        <v>45300</v>
      </c>
      <c r="B711" t="s">
        <v>13</v>
      </c>
      <c r="C711">
        <v>11383</v>
      </c>
      <c r="D711">
        <v>2838</v>
      </c>
      <c r="E711">
        <v>5175</v>
      </c>
      <c r="F711">
        <v>19396</v>
      </c>
    </row>
    <row r="712" spans="1:6" x14ac:dyDescent="0.3">
      <c r="A712" s="1">
        <v>45556</v>
      </c>
      <c r="B712" t="s">
        <v>9</v>
      </c>
      <c r="C712">
        <v>6024</v>
      </c>
      <c r="D712">
        <v>8814</v>
      </c>
      <c r="E712">
        <v>899</v>
      </c>
      <c r="F712">
        <v>15737</v>
      </c>
    </row>
    <row r="713" spans="1:6" x14ac:dyDescent="0.3">
      <c r="A713" s="1">
        <v>45464</v>
      </c>
      <c r="B713" t="s">
        <v>9</v>
      </c>
      <c r="C713">
        <v>8677</v>
      </c>
      <c r="D713">
        <v>6422</v>
      </c>
      <c r="E713">
        <v>3927</v>
      </c>
      <c r="F713">
        <v>19026</v>
      </c>
    </row>
    <row r="714" spans="1:6" x14ac:dyDescent="0.3">
      <c r="A714" s="1">
        <v>45382</v>
      </c>
      <c r="B714" t="s">
        <v>13</v>
      </c>
      <c r="C714">
        <v>13914</v>
      </c>
      <c r="D714">
        <v>8787</v>
      </c>
      <c r="E714">
        <v>7525</v>
      </c>
      <c r="F714">
        <v>30226</v>
      </c>
    </row>
    <row r="715" spans="1:6" x14ac:dyDescent="0.3">
      <c r="A715" s="1">
        <v>45306</v>
      </c>
      <c r="B715" t="s">
        <v>35</v>
      </c>
      <c r="C715">
        <v>2640</v>
      </c>
      <c r="D715">
        <v>9701</v>
      </c>
      <c r="E715">
        <v>6370</v>
      </c>
      <c r="F715">
        <v>18711</v>
      </c>
    </row>
    <row r="716" spans="1:6" x14ac:dyDescent="0.3">
      <c r="A716" s="1">
        <v>45442</v>
      </c>
      <c r="B716" t="s">
        <v>22</v>
      </c>
      <c r="C716">
        <v>5987</v>
      </c>
      <c r="D716">
        <v>7032</v>
      </c>
      <c r="E716">
        <v>7852</v>
      </c>
      <c r="F716">
        <v>20871</v>
      </c>
    </row>
    <row r="717" spans="1:6" x14ac:dyDescent="0.3">
      <c r="A717" s="1">
        <v>45377</v>
      </c>
      <c r="B717" t="s">
        <v>22</v>
      </c>
      <c r="C717">
        <v>9674</v>
      </c>
      <c r="D717">
        <v>7842</v>
      </c>
      <c r="E717">
        <v>3124</v>
      </c>
      <c r="F717">
        <v>20640</v>
      </c>
    </row>
    <row r="718" spans="1:6" x14ac:dyDescent="0.3">
      <c r="A718" s="1">
        <v>45381</v>
      </c>
      <c r="B718" t="s">
        <v>26</v>
      </c>
      <c r="C718">
        <v>2609</v>
      </c>
      <c r="D718">
        <v>6946</v>
      </c>
      <c r="E718">
        <v>6061</v>
      </c>
      <c r="F718">
        <v>15616</v>
      </c>
    </row>
    <row r="719" spans="1:6" x14ac:dyDescent="0.3">
      <c r="A719" s="1">
        <v>45648</v>
      </c>
      <c r="B719" t="s">
        <v>26</v>
      </c>
      <c r="C719">
        <v>8235</v>
      </c>
      <c r="D719">
        <v>4971</v>
      </c>
      <c r="E719">
        <v>5257</v>
      </c>
      <c r="F719">
        <v>18463</v>
      </c>
    </row>
    <row r="720" spans="1:6" x14ac:dyDescent="0.3">
      <c r="A720" s="1">
        <v>45405</v>
      </c>
      <c r="B720" t="s">
        <v>9</v>
      </c>
      <c r="C720">
        <v>3143</v>
      </c>
      <c r="D720">
        <v>8913</v>
      </c>
      <c r="E720">
        <v>5855</v>
      </c>
      <c r="F720">
        <v>17911</v>
      </c>
    </row>
    <row r="721" spans="1:6" x14ac:dyDescent="0.3">
      <c r="A721" s="1">
        <v>45518</v>
      </c>
      <c r="B721" t="s">
        <v>35</v>
      </c>
      <c r="C721">
        <v>7103</v>
      </c>
      <c r="D721">
        <v>6524</v>
      </c>
      <c r="E721">
        <v>6955</v>
      </c>
      <c r="F721">
        <v>20582</v>
      </c>
    </row>
    <row r="722" spans="1:6" x14ac:dyDescent="0.3">
      <c r="A722" s="1">
        <v>45456</v>
      </c>
      <c r="B722" t="s">
        <v>22</v>
      </c>
      <c r="C722">
        <v>2244</v>
      </c>
      <c r="D722">
        <v>5009</v>
      </c>
      <c r="E722">
        <v>4949</v>
      </c>
      <c r="F722">
        <v>12202</v>
      </c>
    </row>
    <row r="723" spans="1:6" x14ac:dyDescent="0.3">
      <c r="A723" s="1">
        <v>45337</v>
      </c>
      <c r="B723" t="s">
        <v>9</v>
      </c>
      <c r="C723">
        <v>19655</v>
      </c>
      <c r="D723">
        <v>6094</v>
      </c>
      <c r="E723">
        <v>7139</v>
      </c>
      <c r="F723">
        <v>32888</v>
      </c>
    </row>
    <row r="724" spans="1:6" x14ac:dyDescent="0.3">
      <c r="A724" s="1">
        <v>45401</v>
      </c>
      <c r="B724" t="s">
        <v>13</v>
      </c>
      <c r="C724">
        <v>5138</v>
      </c>
      <c r="D724">
        <v>1010</v>
      </c>
      <c r="E724">
        <v>6165</v>
      </c>
      <c r="F724">
        <v>12313</v>
      </c>
    </row>
    <row r="725" spans="1:6" x14ac:dyDescent="0.3">
      <c r="A725" s="1">
        <v>45594</v>
      </c>
      <c r="B725" t="s">
        <v>22</v>
      </c>
      <c r="C725">
        <v>9378</v>
      </c>
      <c r="D725">
        <v>1279</v>
      </c>
      <c r="E725">
        <v>1119</v>
      </c>
      <c r="F725">
        <v>11776</v>
      </c>
    </row>
    <row r="726" spans="1:6" x14ac:dyDescent="0.3">
      <c r="A726" s="1">
        <v>45421</v>
      </c>
      <c r="B726" t="s">
        <v>13</v>
      </c>
      <c r="C726">
        <v>11026</v>
      </c>
      <c r="D726">
        <v>6042</v>
      </c>
      <c r="E726">
        <v>6404</v>
      </c>
      <c r="F726">
        <v>23472</v>
      </c>
    </row>
    <row r="727" spans="1:6" x14ac:dyDescent="0.3">
      <c r="A727" s="1">
        <v>45311</v>
      </c>
      <c r="B727" t="s">
        <v>35</v>
      </c>
      <c r="C727">
        <v>18995</v>
      </c>
      <c r="D727">
        <v>9002</v>
      </c>
      <c r="E727">
        <v>6212</v>
      </c>
      <c r="F727">
        <v>34209</v>
      </c>
    </row>
    <row r="728" spans="1:6" x14ac:dyDescent="0.3">
      <c r="A728" s="1">
        <v>45303</v>
      </c>
      <c r="B728" t="s">
        <v>35</v>
      </c>
      <c r="C728">
        <v>7094</v>
      </c>
      <c r="D728">
        <v>3959</v>
      </c>
      <c r="E728">
        <v>4005</v>
      </c>
      <c r="F728">
        <v>15058</v>
      </c>
    </row>
    <row r="729" spans="1:6" x14ac:dyDescent="0.3">
      <c r="A729" s="1">
        <v>45435</v>
      </c>
      <c r="B729" t="s">
        <v>13</v>
      </c>
      <c r="C729">
        <v>10700</v>
      </c>
      <c r="D729">
        <v>8041</v>
      </c>
      <c r="E729">
        <v>938</v>
      </c>
      <c r="F729">
        <v>19679</v>
      </c>
    </row>
    <row r="730" spans="1:6" x14ac:dyDescent="0.3">
      <c r="A730" s="1">
        <v>45327</v>
      </c>
      <c r="B730" t="s">
        <v>35</v>
      </c>
      <c r="C730">
        <v>9636</v>
      </c>
      <c r="D730">
        <v>3984</v>
      </c>
      <c r="E730">
        <v>5438</v>
      </c>
      <c r="F730">
        <v>19058</v>
      </c>
    </row>
    <row r="731" spans="1:6" x14ac:dyDescent="0.3">
      <c r="A731" s="1">
        <v>45630</v>
      </c>
      <c r="B731" t="s">
        <v>26</v>
      </c>
      <c r="C731">
        <v>3307</v>
      </c>
      <c r="D731">
        <v>4917</v>
      </c>
      <c r="E731">
        <v>1492</v>
      </c>
      <c r="F731">
        <v>9716</v>
      </c>
    </row>
    <row r="732" spans="1:6" x14ac:dyDescent="0.3">
      <c r="A732" s="1">
        <v>45366</v>
      </c>
      <c r="B732" t="s">
        <v>9</v>
      </c>
      <c r="C732">
        <v>11791</v>
      </c>
      <c r="D732">
        <v>9324</v>
      </c>
      <c r="E732">
        <v>6247</v>
      </c>
      <c r="F732">
        <v>27362</v>
      </c>
    </row>
    <row r="733" spans="1:6" x14ac:dyDescent="0.3">
      <c r="A733" s="1">
        <v>45635</v>
      </c>
      <c r="B733" t="s">
        <v>26</v>
      </c>
      <c r="C733">
        <v>4702</v>
      </c>
      <c r="D733">
        <v>5796</v>
      </c>
      <c r="E733">
        <v>7686</v>
      </c>
      <c r="F733">
        <v>18184</v>
      </c>
    </row>
    <row r="734" spans="1:6" x14ac:dyDescent="0.3">
      <c r="A734" s="1">
        <v>45584</v>
      </c>
      <c r="B734" t="s">
        <v>22</v>
      </c>
      <c r="C734">
        <v>6428</v>
      </c>
      <c r="D734">
        <v>5722</v>
      </c>
      <c r="E734">
        <v>7726</v>
      </c>
      <c r="F734">
        <v>19876</v>
      </c>
    </row>
    <row r="735" spans="1:6" x14ac:dyDescent="0.3">
      <c r="A735" s="1">
        <v>45492</v>
      </c>
      <c r="B735" t="s">
        <v>22</v>
      </c>
      <c r="C735">
        <v>16458</v>
      </c>
      <c r="D735">
        <v>3604</v>
      </c>
      <c r="E735">
        <v>7941</v>
      </c>
      <c r="F735">
        <v>28003</v>
      </c>
    </row>
    <row r="736" spans="1:6" x14ac:dyDescent="0.3">
      <c r="A736" s="1">
        <v>45304</v>
      </c>
      <c r="B736" t="s">
        <v>26</v>
      </c>
      <c r="C736">
        <v>15121</v>
      </c>
      <c r="D736">
        <v>5410</v>
      </c>
      <c r="E736">
        <v>4610</v>
      </c>
      <c r="F736">
        <v>25141</v>
      </c>
    </row>
    <row r="737" spans="1:6" x14ac:dyDescent="0.3">
      <c r="A737" s="1">
        <v>45496</v>
      </c>
      <c r="B737" t="s">
        <v>9</v>
      </c>
      <c r="C737">
        <v>11271</v>
      </c>
      <c r="D737">
        <v>7348</v>
      </c>
      <c r="E737">
        <v>5892</v>
      </c>
      <c r="F737">
        <v>24511</v>
      </c>
    </row>
    <row r="738" spans="1:6" x14ac:dyDescent="0.3">
      <c r="A738" s="1">
        <v>45613</v>
      </c>
      <c r="B738" t="s">
        <v>22</v>
      </c>
      <c r="C738">
        <v>5527</v>
      </c>
      <c r="D738">
        <v>1288</v>
      </c>
      <c r="E738">
        <v>6398</v>
      </c>
      <c r="F738">
        <v>13213</v>
      </c>
    </row>
    <row r="739" spans="1:6" x14ac:dyDescent="0.3">
      <c r="A739" s="1">
        <v>45598</v>
      </c>
      <c r="B739" t="s">
        <v>22</v>
      </c>
      <c r="C739">
        <v>17438</v>
      </c>
      <c r="D739">
        <v>5305</v>
      </c>
      <c r="E739">
        <v>1642</v>
      </c>
      <c r="F739">
        <v>24385</v>
      </c>
    </row>
    <row r="740" spans="1:6" x14ac:dyDescent="0.3">
      <c r="A740" s="1">
        <v>45612</v>
      </c>
      <c r="B740" t="s">
        <v>9</v>
      </c>
      <c r="C740">
        <v>7920</v>
      </c>
      <c r="D740">
        <v>8378</v>
      </c>
      <c r="E740">
        <v>6418</v>
      </c>
      <c r="F740">
        <v>22716</v>
      </c>
    </row>
    <row r="741" spans="1:6" x14ac:dyDescent="0.3">
      <c r="A741" s="1">
        <v>45576</v>
      </c>
      <c r="B741" t="s">
        <v>26</v>
      </c>
      <c r="C741">
        <v>6018</v>
      </c>
      <c r="D741">
        <v>7564</v>
      </c>
      <c r="E741">
        <v>7089</v>
      </c>
      <c r="F741">
        <v>20671</v>
      </c>
    </row>
    <row r="742" spans="1:6" x14ac:dyDescent="0.3">
      <c r="A742" s="1">
        <v>45415</v>
      </c>
      <c r="B742" t="s">
        <v>13</v>
      </c>
      <c r="C742">
        <v>2993</v>
      </c>
      <c r="D742">
        <v>1883</v>
      </c>
      <c r="E742">
        <v>6648</v>
      </c>
      <c r="F742">
        <v>11524</v>
      </c>
    </row>
    <row r="743" spans="1:6" x14ac:dyDescent="0.3">
      <c r="A743" s="1">
        <v>45649</v>
      </c>
      <c r="B743" t="s">
        <v>26</v>
      </c>
      <c r="C743">
        <v>17580</v>
      </c>
      <c r="D743">
        <v>2719</v>
      </c>
      <c r="E743">
        <v>7576</v>
      </c>
      <c r="F743">
        <v>27875</v>
      </c>
    </row>
    <row r="744" spans="1:6" x14ac:dyDescent="0.3">
      <c r="A744" s="1">
        <v>45384</v>
      </c>
      <c r="B744" t="s">
        <v>26</v>
      </c>
      <c r="C744">
        <v>7033</v>
      </c>
      <c r="D744">
        <v>3459</v>
      </c>
      <c r="E744">
        <v>3285</v>
      </c>
      <c r="F744">
        <v>13777</v>
      </c>
    </row>
    <row r="745" spans="1:6" x14ac:dyDescent="0.3">
      <c r="A745" s="1">
        <v>45356</v>
      </c>
      <c r="B745" t="s">
        <v>35</v>
      </c>
      <c r="C745">
        <v>2268</v>
      </c>
      <c r="D745">
        <v>9190</v>
      </c>
      <c r="E745">
        <v>5263</v>
      </c>
      <c r="F745">
        <v>16721</v>
      </c>
    </row>
    <row r="746" spans="1:6" x14ac:dyDescent="0.3">
      <c r="A746" s="1">
        <v>45503</v>
      </c>
      <c r="B746" t="s">
        <v>35</v>
      </c>
      <c r="C746">
        <v>3954</v>
      </c>
      <c r="D746">
        <v>6516</v>
      </c>
      <c r="E746">
        <v>6683</v>
      </c>
      <c r="F746">
        <v>17153</v>
      </c>
    </row>
    <row r="747" spans="1:6" x14ac:dyDescent="0.3">
      <c r="A747" s="1">
        <v>45519</v>
      </c>
      <c r="B747" t="s">
        <v>22</v>
      </c>
      <c r="C747">
        <v>19911</v>
      </c>
      <c r="D747">
        <v>2179</v>
      </c>
      <c r="E747">
        <v>4239</v>
      </c>
      <c r="F747">
        <v>26329</v>
      </c>
    </row>
    <row r="748" spans="1:6" x14ac:dyDescent="0.3">
      <c r="A748" s="1">
        <v>45427</v>
      </c>
      <c r="B748" t="s">
        <v>35</v>
      </c>
      <c r="C748">
        <v>6290</v>
      </c>
      <c r="D748">
        <v>6697</v>
      </c>
      <c r="E748">
        <v>3214</v>
      </c>
      <c r="F748">
        <v>16201</v>
      </c>
    </row>
    <row r="749" spans="1:6" x14ac:dyDescent="0.3">
      <c r="A749" s="1">
        <v>45296</v>
      </c>
      <c r="B749" t="s">
        <v>22</v>
      </c>
      <c r="C749">
        <v>18341</v>
      </c>
      <c r="D749">
        <v>2185</v>
      </c>
      <c r="E749">
        <v>2340</v>
      </c>
      <c r="F749">
        <v>22866</v>
      </c>
    </row>
    <row r="750" spans="1:6" x14ac:dyDescent="0.3">
      <c r="A750" s="1">
        <v>45558</v>
      </c>
      <c r="B750" t="s">
        <v>26</v>
      </c>
      <c r="C750">
        <v>7873</v>
      </c>
      <c r="D750">
        <v>6283</v>
      </c>
      <c r="E750">
        <v>4938</v>
      </c>
      <c r="F750">
        <v>19094</v>
      </c>
    </row>
    <row r="751" spans="1:6" x14ac:dyDescent="0.3">
      <c r="A751" s="1">
        <v>45510</v>
      </c>
      <c r="B751" t="s">
        <v>22</v>
      </c>
      <c r="C751">
        <v>9244</v>
      </c>
      <c r="D751">
        <v>5373</v>
      </c>
      <c r="E751">
        <v>3859</v>
      </c>
      <c r="F751">
        <v>18476</v>
      </c>
    </row>
    <row r="752" spans="1:6" x14ac:dyDescent="0.3">
      <c r="A752" s="1">
        <v>45586</v>
      </c>
      <c r="B752" t="s">
        <v>22</v>
      </c>
      <c r="C752">
        <v>19402</v>
      </c>
      <c r="D752">
        <v>6044</v>
      </c>
      <c r="E752">
        <v>2555</v>
      </c>
      <c r="F752">
        <v>28001</v>
      </c>
    </row>
    <row r="753" spans="1:6" x14ac:dyDescent="0.3">
      <c r="A753" s="1">
        <v>45636</v>
      </c>
      <c r="B753" t="s">
        <v>9</v>
      </c>
      <c r="C753">
        <v>16496</v>
      </c>
      <c r="D753">
        <v>6268</v>
      </c>
      <c r="E753">
        <v>1122</v>
      </c>
      <c r="F753">
        <v>23886</v>
      </c>
    </row>
    <row r="754" spans="1:6" x14ac:dyDescent="0.3">
      <c r="A754" s="1">
        <v>45572</v>
      </c>
      <c r="B754" t="s">
        <v>9</v>
      </c>
      <c r="C754">
        <v>8785</v>
      </c>
      <c r="D754">
        <v>7337</v>
      </c>
      <c r="E754">
        <v>1202</v>
      </c>
      <c r="F754">
        <v>17324</v>
      </c>
    </row>
    <row r="755" spans="1:6" x14ac:dyDescent="0.3">
      <c r="A755" s="1">
        <v>45467</v>
      </c>
      <c r="B755" t="s">
        <v>26</v>
      </c>
      <c r="C755">
        <v>7513</v>
      </c>
      <c r="D755">
        <v>7332</v>
      </c>
      <c r="E755">
        <v>2829</v>
      </c>
      <c r="F755">
        <v>17674</v>
      </c>
    </row>
    <row r="756" spans="1:6" x14ac:dyDescent="0.3">
      <c r="A756" s="1">
        <v>45652</v>
      </c>
      <c r="B756" t="s">
        <v>26</v>
      </c>
      <c r="C756">
        <v>8594</v>
      </c>
      <c r="D756">
        <v>9046</v>
      </c>
      <c r="E756">
        <v>5771</v>
      </c>
      <c r="F756">
        <v>23411</v>
      </c>
    </row>
    <row r="757" spans="1:6" x14ac:dyDescent="0.3">
      <c r="A757" s="1">
        <v>45376</v>
      </c>
      <c r="B757" t="s">
        <v>9</v>
      </c>
      <c r="C757">
        <v>2006</v>
      </c>
      <c r="D757">
        <v>1530</v>
      </c>
      <c r="E757">
        <v>1696</v>
      </c>
      <c r="F757">
        <v>5232</v>
      </c>
    </row>
    <row r="758" spans="1:6" x14ac:dyDescent="0.3">
      <c r="A758" s="1">
        <v>45587</v>
      </c>
      <c r="B758" t="s">
        <v>22</v>
      </c>
      <c r="C758">
        <v>10376</v>
      </c>
      <c r="D758">
        <v>5630</v>
      </c>
      <c r="E758">
        <v>4461</v>
      </c>
      <c r="F758">
        <v>20467</v>
      </c>
    </row>
    <row r="759" spans="1:6" x14ac:dyDescent="0.3">
      <c r="A759" s="1">
        <v>45545</v>
      </c>
      <c r="B759" t="s">
        <v>26</v>
      </c>
      <c r="C759">
        <v>12915</v>
      </c>
      <c r="D759">
        <v>2736</v>
      </c>
      <c r="E759">
        <v>6545</v>
      </c>
      <c r="F759">
        <v>22196</v>
      </c>
    </row>
    <row r="760" spans="1:6" x14ac:dyDescent="0.3">
      <c r="A760" s="1">
        <v>45538</v>
      </c>
      <c r="B760" t="s">
        <v>9</v>
      </c>
      <c r="C760">
        <v>3684</v>
      </c>
      <c r="D760">
        <v>6303</v>
      </c>
      <c r="E760">
        <v>4853</v>
      </c>
      <c r="F760">
        <v>14840</v>
      </c>
    </row>
    <row r="761" spans="1:6" x14ac:dyDescent="0.3">
      <c r="A761" s="1">
        <v>45591</v>
      </c>
      <c r="B761" t="s">
        <v>22</v>
      </c>
      <c r="C761">
        <v>10948</v>
      </c>
      <c r="D761">
        <v>5107</v>
      </c>
      <c r="E761">
        <v>1666</v>
      </c>
      <c r="F761">
        <v>17721</v>
      </c>
    </row>
    <row r="762" spans="1:6" x14ac:dyDescent="0.3">
      <c r="A762" s="1">
        <v>45588</v>
      </c>
      <c r="B762" t="s">
        <v>35</v>
      </c>
      <c r="C762">
        <v>15806</v>
      </c>
      <c r="D762">
        <v>1963</v>
      </c>
      <c r="E762">
        <v>4830</v>
      </c>
      <c r="F762">
        <v>22599</v>
      </c>
    </row>
    <row r="763" spans="1:6" x14ac:dyDescent="0.3">
      <c r="A763" s="1">
        <v>45618</v>
      </c>
      <c r="B763" t="s">
        <v>9</v>
      </c>
      <c r="C763">
        <v>8914</v>
      </c>
      <c r="D763">
        <v>4771</v>
      </c>
      <c r="E763">
        <v>3905</v>
      </c>
      <c r="F763">
        <v>17590</v>
      </c>
    </row>
    <row r="764" spans="1:6" x14ac:dyDescent="0.3">
      <c r="A764" s="1">
        <v>45323</v>
      </c>
      <c r="B764" t="s">
        <v>26</v>
      </c>
      <c r="C764">
        <v>4888</v>
      </c>
      <c r="D764">
        <v>7941</v>
      </c>
      <c r="E764">
        <v>5731</v>
      </c>
      <c r="F764">
        <v>18560</v>
      </c>
    </row>
    <row r="765" spans="1:6" x14ac:dyDescent="0.3">
      <c r="A765" s="1">
        <v>45633</v>
      </c>
      <c r="B765" t="s">
        <v>22</v>
      </c>
      <c r="C765">
        <v>5944</v>
      </c>
      <c r="D765">
        <v>2435</v>
      </c>
      <c r="E765">
        <v>5946</v>
      </c>
      <c r="F765">
        <v>14325</v>
      </c>
    </row>
    <row r="766" spans="1:6" x14ac:dyDescent="0.3">
      <c r="A766" s="1">
        <v>45459</v>
      </c>
      <c r="B766" t="s">
        <v>26</v>
      </c>
      <c r="C766">
        <v>15283</v>
      </c>
      <c r="D766">
        <v>6369</v>
      </c>
      <c r="E766">
        <v>1590</v>
      </c>
      <c r="F766">
        <v>23242</v>
      </c>
    </row>
    <row r="767" spans="1:6" x14ac:dyDescent="0.3">
      <c r="A767" s="1">
        <v>45327</v>
      </c>
      <c r="B767" t="s">
        <v>9</v>
      </c>
      <c r="C767">
        <v>11399</v>
      </c>
      <c r="D767">
        <v>7662</v>
      </c>
      <c r="E767">
        <v>3506</v>
      </c>
      <c r="F767">
        <v>22567</v>
      </c>
    </row>
    <row r="768" spans="1:6" x14ac:dyDescent="0.3">
      <c r="A768" s="1">
        <v>45605</v>
      </c>
      <c r="B768" t="s">
        <v>35</v>
      </c>
      <c r="C768">
        <v>8465</v>
      </c>
      <c r="D768">
        <v>3450</v>
      </c>
      <c r="E768">
        <v>2613</v>
      </c>
      <c r="F768">
        <v>14528</v>
      </c>
    </row>
    <row r="769" spans="1:6" x14ac:dyDescent="0.3">
      <c r="A769" s="1">
        <v>45405</v>
      </c>
      <c r="B769" t="s">
        <v>35</v>
      </c>
      <c r="C769">
        <v>2109</v>
      </c>
      <c r="D769">
        <v>5102</v>
      </c>
      <c r="E769">
        <v>7530</v>
      </c>
      <c r="F769">
        <v>14741</v>
      </c>
    </row>
    <row r="770" spans="1:6" x14ac:dyDescent="0.3">
      <c r="A770" s="1">
        <v>45384</v>
      </c>
      <c r="B770" t="s">
        <v>35</v>
      </c>
      <c r="C770">
        <v>2100</v>
      </c>
      <c r="D770">
        <v>7647</v>
      </c>
      <c r="E770">
        <v>7309</v>
      </c>
      <c r="F770">
        <v>17056</v>
      </c>
    </row>
    <row r="771" spans="1:6" x14ac:dyDescent="0.3">
      <c r="A771" s="1">
        <v>45431</v>
      </c>
      <c r="B771" t="s">
        <v>9</v>
      </c>
      <c r="C771">
        <v>7972</v>
      </c>
      <c r="D771">
        <v>8061</v>
      </c>
      <c r="E771">
        <v>3475</v>
      </c>
      <c r="F771">
        <v>19508</v>
      </c>
    </row>
    <row r="772" spans="1:6" x14ac:dyDescent="0.3">
      <c r="A772" s="1">
        <v>45596</v>
      </c>
      <c r="B772" t="s">
        <v>9</v>
      </c>
      <c r="C772">
        <v>14426</v>
      </c>
      <c r="D772">
        <v>9380</v>
      </c>
      <c r="E772">
        <v>5524</v>
      </c>
      <c r="F772">
        <v>29330</v>
      </c>
    </row>
    <row r="773" spans="1:6" x14ac:dyDescent="0.3">
      <c r="A773" s="1">
        <v>45596</v>
      </c>
      <c r="B773" t="s">
        <v>22</v>
      </c>
      <c r="C773">
        <v>14626</v>
      </c>
      <c r="D773">
        <v>3441</v>
      </c>
      <c r="E773">
        <v>7245</v>
      </c>
      <c r="F773">
        <v>25312</v>
      </c>
    </row>
    <row r="774" spans="1:6" x14ac:dyDescent="0.3">
      <c r="A774" s="1">
        <v>45608</v>
      </c>
      <c r="B774" t="s">
        <v>13</v>
      </c>
      <c r="C774">
        <v>13673</v>
      </c>
      <c r="D774">
        <v>8785</v>
      </c>
      <c r="E774">
        <v>5432</v>
      </c>
      <c r="F774">
        <v>27890</v>
      </c>
    </row>
    <row r="775" spans="1:6" x14ac:dyDescent="0.3">
      <c r="A775" s="1">
        <v>45557</v>
      </c>
      <c r="B775" t="s">
        <v>13</v>
      </c>
      <c r="C775">
        <v>18270</v>
      </c>
      <c r="D775">
        <v>3141</v>
      </c>
      <c r="E775">
        <v>3432</v>
      </c>
      <c r="F775">
        <v>24843</v>
      </c>
    </row>
    <row r="776" spans="1:6" x14ac:dyDescent="0.3">
      <c r="A776" s="1">
        <v>45538</v>
      </c>
      <c r="B776" t="s">
        <v>22</v>
      </c>
      <c r="C776">
        <v>18413</v>
      </c>
      <c r="D776">
        <v>9975</v>
      </c>
      <c r="E776">
        <v>2241</v>
      </c>
      <c r="F776">
        <v>30629</v>
      </c>
    </row>
    <row r="777" spans="1:6" x14ac:dyDescent="0.3">
      <c r="A777" s="1">
        <v>45606</v>
      </c>
      <c r="B777" t="s">
        <v>9</v>
      </c>
      <c r="C777">
        <v>10899</v>
      </c>
      <c r="D777">
        <v>8445</v>
      </c>
      <c r="E777">
        <v>1584</v>
      </c>
      <c r="F777">
        <v>20928</v>
      </c>
    </row>
    <row r="778" spans="1:6" x14ac:dyDescent="0.3">
      <c r="A778" s="1">
        <v>45648</v>
      </c>
      <c r="B778" t="s">
        <v>26</v>
      </c>
      <c r="C778">
        <v>9367</v>
      </c>
      <c r="D778">
        <v>3857</v>
      </c>
      <c r="E778">
        <v>4205</v>
      </c>
      <c r="F778">
        <v>17429</v>
      </c>
    </row>
    <row r="779" spans="1:6" x14ac:dyDescent="0.3">
      <c r="A779" s="1">
        <v>45344</v>
      </c>
      <c r="B779" t="s">
        <v>35</v>
      </c>
      <c r="C779">
        <v>5281</v>
      </c>
      <c r="D779">
        <v>1472</v>
      </c>
      <c r="E779">
        <v>2707</v>
      </c>
      <c r="F779">
        <v>9460</v>
      </c>
    </row>
    <row r="780" spans="1:6" x14ac:dyDescent="0.3">
      <c r="A780" s="1">
        <v>45371</v>
      </c>
      <c r="B780" t="s">
        <v>35</v>
      </c>
      <c r="C780">
        <v>5461</v>
      </c>
      <c r="D780">
        <v>9416</v>
      </c>
      <c r="E780">
        <v>3475</v>
      </c>
      <c r="F780">
        <v>18352</v>
      </c>
    </row>
    <row r="781" spans="1:6" x14ac:dyDescent="0.3">
      <c r="A781" s="1">
        <v>45639</v>
      </c>
      <c r="B781" t="s">
        <v>9</v>
      </c>
      <c r="C781">
        <v>7257</v>
      </c>
      <c r="D781">
        <v>3503</v>
      </c>
      <c r="E781">
        <v>4643</v>
      </c>
      <c r="F781">
        <v>15403</v>
      </c>
    </row>
    <row r="782" spans="1:6" x14ac:dyDescent="0.3">
      <c r="A782" s="1">
        <v>45477</v>
      </c>
      <c r="B782" t="s">
        <v>13</v>
      </c>
      <c r="C782">
        <v>12038</v>
      </c>
      <c r="D782">
        <v>5388</v>
      </c>
      <c r="E782">
        <v>2156</v>
      </c>
      <c r="F782">
        <v>19582</v>
      </c>
    </row>
    <row r="783" spans="1:6" x14ac:dyDescent="0.3">
      <c r="A783" s="1">
        <v>45631</v>
      </c>
      <c r="B783" t="s">
        <v>22</v>
      </c>
      <c r="C783">
        <v>4176</v>
      </c>
      <c r="D783">
        <v>4001</v>
      </c>
      <c r="E783">
        <v>607</v>
      </c>
      <c r="F783">
        <v>8784</v>
      </c>
    </row>
    <row r="784" spans="1:6" x14ac:dyDescent="0.3">
      <c r="A784" s="1">
        <v>45635</v>
      </c>
      <c r="B784" t="s">
        <v>35</v>
      </c>
      <c r="C784">
        <v>14923</v>
      </c>
      <c r="D784">
        <v>4390</v>
      </c>
      <c r="E784">
        <v>7871</v>
      </c>
      <c r="F784">
        <v>27184</v>
      </c>
    </row>
    <row r="785" spans="1:6" x14ac:dyDescent="0.3">
      <c r="A785" s="1">
        <v>45395</v>
      </c>
      <c r="B785" t="s">
        <v>22</v>
      </c>
      <c r="C785">
        <v>3124</v>
      </c>
      <c r="D785">
        <v>5701</v>
      </c>
      <c r="E785">
        <v>930</v>
      </c>
      <c r="F785">
        <v>9755</v>
      </c>
    </row>
    <row r="786" spans="1:6" x14ac:dyDescent="0.3">
      <c r="A786" s="1">
        <v>45312</v>
      </c>
      <c r="B786" t="s">
        <v>22</v>
      </c>
      <c r="C786">
        <v>2651</v>
      </c>
      <c r="D786">
        <v>1843</v>
      </c>
      <c r="E786">
        <v>820</v>
      </c>
      <c r="F786">
        <v>5314</v>
      </c>
    </row>
    <row r="787" spans="1:6" x14ac:dyDescent="0.3">
      <c r="A787" s="1">
        <v>45313</v>
      </c>
      <c r="B787" t="s">
        <v>13</v>
      </c>
      <c r="C787">
        <v>8340</v>
      </c>
      <c r="D787">
        <v>1024</v>
      </c>
      <c r="E787">
        <v>7274</v>
      </c>
      <c r="F787">
        <v>16638</v>
      </c>
    </row>
    <row r="788" spans="1:6" x14ac:dyDescent="0.3">
      <c r="A788" s="1">
        <v>45592</v>
      </c>
      <c r="B788" t="s">
        <v>22</v>
      </c>
      <c r="C788">
        <v>18988</v>
      </c>
      <c r="D788">
        <v>3214</v>
      </c>
      <c r="E788">
        <v>4512</v>
      </c>
      <c r="F788">
        <v>26714</v>
      </c>
    </row>
    <row r="789" spans="1:6" x14ac:dyDescent="0.3">
      <c r="A789" s="1">
        <v>45644</v>
      </c>
      <c r="B789" t="s">
        <v>9</v>
      </c>
      <c r="C789">
        <v>16423</v>
      </c>
      <c r="D789">
        <v>2235</v>
      </c>
      <c r="E789">
        <v>696</v>
      </c>
      <c r="F789">
        <v>19354</v>
      </c>
    </row>
    <row r="790" spans="1:6" x14ac:dyDescent="0.3">
      <c r="A790" s="1">
        <v>45565</v>
      </c>
      <c r="B790" t="s">
        <v>22</v>
      </c>
      <c r="C790">
        <v>19782</v>
      </c>
      <c r="D790">
        <v>4938</v>
      </c>
      <c r="E790">
        <v>3164</v>
      </c>
      <c r="F790">
        <v>27884</v>
      </c>
    </row>
    <row r="791" spans="1:6" x14ac:dyDescent="0.3">
      <c r="A791" s="1">
        <v>45492</v>
      </c>
      <c r="B791" t="s">
        <v>26</v>
      </c>
      <c r="C791">
        <v>7930</v>
      </c>
      <c r="D791">
        <v>6906</v>
      </c>
      <c r="E791">
        <v>724</v>
      </c>
      <c r="F791">
        <v>15560</v>
      </c>
    </row>
    <row r="792" spans="1:6" x14ac:dyDescent="0.3">
      <c r="A792" s="1">
        <v>45471</v>
      </c>
      <c r="B792" t="s">
        <v>22</v>
      </c>
      <c r="C792">
        <v>5266</v>
      </c>
      <c r="D792">
        <v>4104</v>
      </c>
      <c r="E792">
        <v>684</v>
      </c>
      <c r="F792">
        <v>10054</v>
      </c>
    </row>
    <row r="793" spans="1:6" x14ac:dyDescent="0.3">
      <c r="A793" s="1">
        <v>45481</v>
      </c>
      <c r="B793" t="s">
        <v>35</v>
      </c>
      <c r="C793">
        <v>4676</v>
      </c>
      <c r="D793">
        <v>7694</v>
      </c>
      <c r="E793">
        <v>1346</v>
      </c>
      <c r="F793">
        <v>13716</v>
      </c>
    </row>
    <row r="794" spans="1:6" x14ac:dyDescent="0.3">
      <c r="A794" s="1">
        <v>45380</v>
      </c>
      <c r="B794" t="s">
        <v>26</v>
      </c>
      <c r="C794">
        <v>15498</v>
      </c>
      <c r="D794">
        <v>3576</v>
      </c>
      <c r="E794">
        <v>7336</v>
      </c>
      <c r="F794">
        <v>26410</v>
      </c>
    </row>
    <row r="795" spans="1:6" x14ac:dyDescent="0.3">
      <c r="A795" s="1">
        <v>45360</v>
      </c>
      <c r="B795" t="s">
        <v>13</v>
      </c>
      <c r="C795">
        <v>12407</v>
      </c>
      <c r="D795">
        <v>7216</v>
      </c>
      <c r="E795">
        <v>1976</v>
      </c>
      <c r="F795">
        <v>21599</v>
      </c>
    </row>
    <row r="796" spans="1:6" x14ac:dyDescent="0.3">
      <c r="A796" s="1">
        <v>45292</v>
      </c>
      <c r="B796" t="s">
        <v>13</v>
      </c>
      <c r="C796">
        <v>2553</v>
      </c>
      <c r="D796">
        <v>3860</v>
      </c>
      <c r="E796">
        <v>4602</v>
      </c>
      <c r="F796">
        <v>11015</v>
      </c>
    </row>
    <row r="797" spans="1:6" x14ac:dyDescent="0.3">
      <c r="A797" s="1">
        <v>45543</v>
      </c>
      <c r="B797" t="s">
        <v>13</v>
      </c>
      <c r="C797">
        <v>11067</v>
      </c>
      <c r="D797">
        <v>9654</v>
      </c>
      <c r="E797">
        <v>5572</v>
      </c>
      <c r="F797">
        <v>26293</v>
      </c>
    </row>
    <row r="798" spans="1:6" x14ac:dyDescent="0.3">
      <c r="A798" s="1">
        <v>45454</v>
      </c>
      <c r="B798" t="s">
        <v>13</v>
      </c>
      <c r="C798">
        <v>18101</v>
      </c>
      <c r="D798">
        <v>1345</v>
      </c>
      <c r="E798">
        <v>2410</v>
      </c>
      <c r="F798">
        <v>21856</v>
      </c>
    </row>
    <row r="799" spans="1:6" x14ac:dyDescent="0.3">
      <c r="A799" s="1">
        <v>45589</v>
      </c>
      <c r="B799" t="s">
        <v>22</v>
      </c>
      <c r="C799">
        <v>6950</v>
      </c>
      <c r="D799">
        <v>4948</v>
      </c>
      <c r="E799">
        <v>4683</v>
      </c>
      <c r="F799">
        <v>16581</v>
      </c>
    </row>
    <row r="800" spans="1:6" x14ac:dyDescent="0.3">
      <c r="A800" s="1">
        <v>45381</v>
      </c>
      <c r="B800" t="s">
        <v>26</v>
      </c>
      <c r="C800">
        <v>18156</v>
      </c>
      <c r="D800">
        <v>8056</v>
      </c>
      <c r="E800">
        <v>896</v>
      </c>
      <c r="F800">
        <v>27108</v>
      </c>
    </row>
    <row r="801" spans="1:6" x14ac:dyDescent="0.3">
      <c r="A801" s="1">
        <v>45518</v>
      </c>
      <c r="B801" t="s">
        <v>22</v>
      </c>
      <c r="C801">
        <v>15658</v>
      </c>
      <c r="D801">
        <v>7477</v>
      </c>
      <c r="E801">
        <v>3762</v>
      </c>
      <c r="F801">
        <v>26897</v>
      </c>
    </row>
    <row r="802" spans="1:6" x14ac:dyDescent="0.3">
      <c r="A802" s="1">
        <v>45612</v>
      </c>
      <c r="B802" t="s">
        <v>26</v>
      </c>
      <c r="C802">
        <v>14521</v>
      </c>
      <c r="D802">
        <v>3362</v>
      </c>
      <c r="E802">
        <v>7360</v>
      </c>
      <c r="F802">
        <v>25243</v>
      </c>
    </row>
    <row r="803" spans="1:6" x14ac:dyDescent="0.3">
      <c r="A803" s="1">
        <v>45499</v>
      </c>
      <c r="B803" t="s">
        <v>9</v>
      </c>
      <c r="C803">
        <v>4356</v>
      </c>
      <c r="D803">
        <v>6905</v>
      </c>
      <c r="E803">
        <v>6540</v>
      </c>
      <c r="F803">
        <v>17801</v>
      </c>
    </row>
    <row r="804" spans="1:6" x14ac:dyDescent="0.3">
      <c r="A804" s="1">
        <v>45550</v>
      </c>
      <c r="B804" t="s">
        <v>13</v>
      </c>
      <c r="C804">
        <v>19093</v>
      </c>
      <c r="D804">
        <v>9979</v>
      </c>
      <c r="E804">
        <v>1989</v>
      </c>
      <c r="F804">
        <v>31061</v>
      </c>
    </row>
    <row r="805" spans="1:6" x14ac:dyDescent="0.3">
      <c r="A805" s="1">
        <v>45445</v>
      </c>
      <c r="B805" t="s">
        <v>9</v>
      </c>
      <c r="C805">
        <v>9281</v>
      </c>
      <c r="D805">
        <v>1607</v>
      </c>
      <c r="E805">
        <v>729</v>
      </c>
      <c r="F805">
        <v>11617</v>
      </c>
    </row>
    <row r="806" spans="1:6" x14ac:dyDescent="0.3">
      <c r="A806" s="1">
        <v>45530</v>
      </c>
      <c r="B806" t="s">
        <v>26</v>
      </c>
      <c r="C806">
        <v>19613</v>
      </c>
      <c r="D806">
        <v>2799</v>
      </c>
      <c r="E806">
        <v>1632</v>
      </c>
      <c r="F806">
        <v>24044</v>
      </c>
    </row>
    <row r="807" spans="1:6" x14ac:dyDescent="0.3">
      <c r="A807" s="1">
        <v>45328</v>
      </c>
      <c r="B807" t="s">
        <v>35</v>
      </c>
      <c r="C807">
        <v>2841</v>
      </c>
      <c r="D807">
        <v>6016</v>
      </c>
      <c r="E807">
        <v>2912</v>
      </c>
      <c r="F807">
        <v>11769</v>
      </c>
    </row>
    <row r="808" spans="1:6" x14ac:dyDescent="0.3">
      <c r="A808" s="1">
        <v>45413</v>
      </c>
      <c r="B808" t="s">
        <v>22</v>
      </c>
      <c r="C808">
        <v>16945</v>
      </c>
      <c r="D808">
        <v>6008</v>
      </c>
      <c r="E808">
        <v>6002</v>
      </c>
      <c r="F808">
        <v>28955</v>
      </c>
    </row>
    <row r="809" spans="1:6" x14ac:dyDescent="0.3">
      <c r="A809" s="1">
        <v>45600</v>
      </c>
      <c r="B809" t="s">
        <v>35</v>
      </c>
      <c r="C809">
        <v>15816</v>
      </c>
      <c r="D809">
        <v>9313</v>
      </c>
      <c r="E809">
        <v>3773</v>
      </c>
      <c r="F809">
        <v>28902</v>
      </c>
    </row>
    <row r="810" spans="1:6" x14ac:dyDescent="0.3">
      <c r="A810" s="1">
        <v>45614</v>
      </c>
      <c r="B810" t="s">
        <v>22</v>
      </c>
      <c r="C810">
        <v>12843</v>
      </c>
      <c r="D810">
        <v>4620</v>
      </c>
      <c r="E810">
        <v>6778</v>
      </c>
      <c r="F810">
        <v>24241</v>
      </c>
    </row>
    <row r="811" spans="1:6" x14ac:dyDescent="0.3">
      <c r="A811" s="1">
        <v>45354</v>
      </c>
      <c r="B811" t="s">
        <v>26</v>
      </c>
      <c r="C811">
        <v>9869</v>
      </c>
      <c r="D811">
        <v>5453</v>
      </c>
      <c r="E811">
        <v>5479</v>
      </c>
      <c r="F811">
        <v>20801</v>
      </c>
    </row>
    <row r="812" spans="1:6" x14ac:dyDescent="0.3">
      <c r="A812" s="1">
        <v>45499</v>
      </c>
      <c r="B812" t="s">
        <v>13</v>
      </c>
      <c r="C812">
        <v>10926</v>
      </c>
      <c r="D812">
        <v>4460</v>
      </c>
      <c r="E812">
        <v>7750</v>
      </c>
      <c r="F812">
        <v>23136</v>
      </c>
    </row>
    <row r="813" spans="1:6" x14ac:dyDescent="0.3">
      <c r="A813" s="1">
        <v>45573</v>
      </c>
      <c r="B813" t="s">
        <v>35</v>
      </c>
      <c r="C813">
        <v>18694</v>
      </c>
      <c r="D813">
        <v>4346</v>
      </c>
      <c r="E813">
        <v>2262</v>
      </c>
      <c r="F813">
        <v>25302</v>
      </c>
    </row>
    <row r="814" spans="1:6" x14ac:dyDescent="0.3">
      <c r="A814" s="1">
        <v>45560</v>
      </c>
      <c r="B814" t="s">
        <v>26</v>
      </c>
      <c r="C814">
        <v>18793</v>
      </c>
      <c r="D814">
        <v>9695</v>
      </c>
      <c r="E814">
        <v>2465</v>
      </c>
      <c r="F814">
        <v>30953</v>
      </c>
    </row>
    <row r="815" spans="1:6" x14ac:dyDescent="0.3">
      <c r="A815" s="1">
        <v>45513</v>
      </c>
      <c r="B815" t="s">
        <v>22</v>
      </c>
      <c r="C815">
        <v>4803</v>
      </c>
      <c r="D815">
        <v>1333</v>
      </c>
      <c r="E815">
        <v>7415</v>
      </c>
      <c r="F815">
        <v>13551</v>
      </c>
    </row>
    <row r="816" spans="1:6" x14ac:dyDescent="0.3">
      <c r="A816" s="1">
        <v>45649</v>
      </c>
      <c r="B816" t="s">
        <v>26</v>
      </c>
      <c r="C816">
        <v>15674</v>
      </c>
      <c r="D816">
        <v>3310</v>
      </c>
      <c r="E816">
        <v>2628</v>
      </c>
      <c r="F816">
        <v>21612</v>
      </c>
    </row>
    <row r="817" spans="1:6" x14ac:dyDescent="0.3">
      <c r="A817" s="1">
        <v>45473</v>
      </c>
      <c r="B817" t="s">
        <v>35</v>
      </c>
      <c r="C817">
        <v>4457</v>
      </c>
      <c r="D817">
        <v>3587</v>
      </c>
      <c r="E817">
        <v>3344</v>
      </c>
      <c r="F817">
        <v>11388</v>
      </c>
    </row>
    <row r="818" spans="1:6" x14ac:dyDescent="0.3">
      <c r="A818" s="1">
        <v>45631</v>
      </c>
      <c r="B818" t="s">
        <v>13</v>
      </c>
      <c r="C818">
        <v>2584</v>
      </c>
      <c r="D818">
        <v>5969</v>
      </c>
      <c r="E818">
        <v>6481</v>
      </c>
      <c r="F818">
        <v>15034</v>
      </c>
    </row>
    <row r="819" spans="1:6" x14ac:dyDescent="0.3">
      <c r="A819" s="1">
        <v>45564</v>
      </c>
      <c r="B819" t="s">
        <v>22</v>
      </c>
      <c r="C819">
        <v>15784</v>
      </c>
      <c r="D819">
        <v>8447</v>
      </c>
      <c r="E819">
        <v>6842</v>
      </c>
      <c r="F819">
        <v>31073</v>
      </c>
    </row>
    <row r="820" spans="1:6" x14ac:dyDescent="0.3">
      <c r="A820" s="1">
        <v>45538</v>
      </c>
      <c r="B820" t="s">
        <v>26</v>
      </c>
      <c r="C820">
        <v>6692</v>
      </c>
      <c r="D820">
        <v>8982</v>
      </c>
      <c r="E820">
        <v>5850</v>
      </c>
      <c r="F820">
        <v>21524</v>
      </c>
    </row>
    <row r="821" spans="1:6" x14ac:dyDescent="0.3">
      <c r="A821" s="1">
        <v>45366</v>
      </c>
      <c r="B821" t="s">
        <v>9</v>
      </c>
      <c r="C821">
        <v>15900</v>
      </c>
      <c r="D821">
        <v>9807</v>
      </c>
      <c r="E821">
        <v>6301</v>
      </c>
      <c r="F821">
        <v>32008</v>
      </c>
    </row>
    <row r="822" spans="1:6" x14ac:dyDescent="0.3">
      <c r="A822" s="1">
        <v>45445</v>
      </c>
      <c r="B822" t="s">
        <v>35</v>
      </c>
      <c r="C822">
        <v>14637</v>
      </c>
      <c r="D822">
        <v>1577</v>
      </c>
      <c r="E822">
        <v>5073</v>
      </c>
      <c r="F822">
        <v>21287</v>
      </c>
    </row>
    <row r="823" spans="1:6" x14ac:dyDescent="0.3">
      <c r="A823" s="1">
        <v>45377</v>
      </c>
      <c r="B823" t="s">
        <v>9</v>
      </c>
      <c r="C823">
        <v>14813</v>
      </c>
      <c r="D823">
        <v>2554</v>
      </c>
      <c r="E823">
        <v>4209</v>
      </c>
      <c r="F823">
        <v>21576</v>
      </c>
    </row>
    <row r="824" spans="1:6" x14ac:dyDescent="0.3">
      <c r="A824" s="1">
        <v>45436</v>
      </c>
      <c r="B824" t="s">
        <v>22</v>
      </c>
      <c r="C824">
        <v>9962</v>
      </c>
      <c r="D824">
        <v>8621</v>
      </c>
      <c r="E824">
        <v>1877</v>
      </c>
      <c r="F824">
        <v>20460</v>
      </c>
    </row>
    <row r="825" spans="1:6" x14ac:dyDescent="0.3">
      <c r="A825" s="1">
        <v>45640</v>
      </c>
      <c r="B825" t="s">
        <v>26</v>
      </c>
      <c r="C825">
        <v>4127</v>
      </c>
      <c r="D825">
        <v>2205</v>
      </c>
      <c r="E825">
        <v>5877</v>
      </c>
      <c r="F825">
        <v>12209</v>
      </c>
    </row>
    <row r="826" spans="1:6" x14ac:dyDescent="0.3">
      <c r="A826" s="1">
        <v>45550</v>
      </c>
      <c r="B826" t="s">
        <v>13</v>
      </c>
      <c r="C826">
        <v>13655</v>
      </c>
      <c r="D826">
        <v>1424</v>
      </c>
      <c r="E826">
        <v>1628</v>
      </c>
      <c r="F826">
        <v>16707</v>
      </c>
    </row>
    <row r="827" spans="1:6" x14ac:dyDescent="0.3">
      <c r="A827" s="1">
        <v>45333</v>
      </c>
      <c r="B827" t="s">
        <v>22</v>
      </c>
      <c r="C827">
        <v>18324</v>
      </c>
      <c r="D827">
        <v>4579</v>
      </c>
      <c r="E827">
        <v>857</v>
      </c>
      <c r="F827">
        <v>23760</v>
      </c>
    </row>
    <row r="828" spans="1:6" x14ac:dyDescent="0.3">
      <c r="A828" s="1">
        <v>45642</v>
      </c>
      <c r="B828" t="s">
        <v>26</v>
      </c>
      <c r="C828">
        <v>18738</v>
      </c>
      <c r="D828">
        <v>1298</v>
      </c>
      <c r="E828">
        <v>4756</v>
      </c>
      <c r="F828">
        <v>24792</v>
      </c>
    </row>
    <row r="829" spans="1:6" x14ac:dyDescent="0.3">
      <c r="A829" s="1">
        <v>45453</v>
      </c>
      <c r="B829" t="s">
        <v>13</v>
      </c>
      <c r="C829">
        <v>18249</v>
      </c>
      <c r="D829">
        <v>2890</v>
      </c>
      <c r="E829">
        <v>3253</v>
      </c>
      <c r="F829">
        <v>24392</v>
      </c>
    </row>
    <row r="830" spans="1:6" x14ac:dyDescent="0.3">
      <c r="A830" s="1">
        <v>45507</v>
      </c>
      <c r="B830" t="s">
        <v>22</v>
      </c>
      <c r="C830">
        <v>11187</v>
      </c>
      <c r="D830">
        <v>2926</v>
      </c>
      <c r="E830">
        <v>6423</v>
      </c>
      <c r="F830">
        <v>20536</v>
      </c>
    </row>
    <row r="831" spans="1:6" x14ac:dyDescent="0.3">
      <c r="A831" s="1">
        <v>45316</v>
      </c>
      <c r="B831" t="s">
        <v>13</v>
      </c>
      <c r="C831">
        <v>6847</v>
      </c>
      <c r="D831">
        <v>9477</v>
      </c>
      <c r="E831">
        <v>4078</v>
      </c>
      <c r="F831">
        <v>20402</v>
      </c>
    </row>
    <row r="832" spans="1:6" x14ac:dyDescent="0.3">
      <c r="A832" s="1">
        <v>45321</v>
      </c>
      <c r="B832" t="s">
        <v>35</v>
      </c>
      <c r="C832">
        <v>3130</v>
      </c>
      <c r="D832">
        <v>5377</v>
      </c>
      <c r="E832">
        <v>1817</v>
      </c>
      <c r="F832">
        <v>10324</v>
      </c>
    </row>
    <row r="833" spans="1:6" x14ac:dyDescent="0.3">
      <c r="A833" s="1">
        <v>45309</v>
      </c>
      <c r="B833" t="s">
        <v>22</v>
      </c>
      <c r="C833">
        <v>13387</v>
      </c>
      <c r="D833">
        <v>7023</v>
      </c>
      <c r="E833">
        <v>5162</v>
      </c>
      <c r="F833">
        <v>25572</v>
      </c>
    </row>
    <row r="834" spans="1:6" x14ac:dyDescent="0.3">
      <c r="A834" s="1">
        <v>45445</v>
      </c>
      <c r="B834" t="s">
        <v>22</v>
      </c>
      <c r="C834">
        <v>5925</v>
      </c>
      <c r="D834">
        <v>5477</v>
      </c>
      <c r="E834">
        <v>3481</v>
      </c>
      <c r="F834">
        <v>14883</v>
      </c>
    </row>
    <row r="835" spans="1:6" x14ac:dyDescent="0.3">
      <c r="A835" s="1">
        <v>45401</v>
      </c>
      <c r="B835" t="s">
        <v>35</v>
      </c>
      <c r="C835">
        <v>9692</v>
      </c>
      <c r="D835">
        <v>5994</v>
      </c>
      <c r="E835">
        <v>6778</v>
      </c>
      <c r="F835">
        <v>22464</v>
      </c>
    </row>
    <row r="836" spans="1:6" x14ac:dyDescent="0.3">
      <c r="A836" s="1">
        <v>45492</v>
      </c>
      <c r="B836" t="s">
        <v>26</v>
      </c>
      <c r="C836">
        <v>13286</v>
      </c>
      <c r="D836">
        <v>1257</v>
      </c>
      <c r="E836">
        <v>1503</v>
      </c>
      <c r="F836">
        <v>16046</v>
      </c>
    </row>
    <row r="837" spans="1:6" x14ac:dyDescent="0.3">
      <c r="A837" s="1">
        <v>45448</v>
      </c>
      <c r="B837" t="s">
        <v>26</v>
      </c>
      <c r="C837">
        <v>10082</v>
      </c>
      <c r="D837">
        <v>5949</v>
      </c>
      <c r="E837">
        <v>6360</v>
      </c>
      <c r="F837">
        <v>22391</v>
      </c>
    </row>
    <row r="838" spans="1:6" x14ac:dyDescent="0.3">
      <c r="A838" s="1">
        <v>45417</v>
      </c>
      <c r="B838" t="s">
        <v>13</v>
      </c>
      <c r="C838">
        <v>12767</v>
      </c>
      <c r="D838">
        <v>5252</v>
      </c>
      <c r="E838">
        <v>7033</v>
      </c>
      <c r="F838">
        <v>25052</v>
      </c>
    </row>
    <row r="839" spans="1:6" x14ac:dyDescent="0.3">
      <c r="A839" s="1">
        <v>45474</v>
      </c>
      <c r="B839" t="s">
        <v>13</v>
      </c>
      <c r="C839">
        <v>3763</v>
      </c>
      <c r="D839">
        <v>1813</v>
      </c>
      <c r="E839">
        <v>7552</v>
      </c>
      <c r="F839">
        <v>13128</v>
      </c>
    </row>
    <row r="840" spans="1:6" x14ac:dyDescent="0.3">
      <c r="A840" s="1">
        <v>45552</v>
      </c>
      <c r="B840" t="s">
        <v>35</v>
      </c>
      <c r="C840">
        <v>9001</v>
      </c>
      <c r="D840">
        <v>5311</v>
      </c>
      <c r="E840">
        <v>3627</v>
      </c>
      <c r="F840">
        <v>17939</v>
      </c>
    </row>
    <row r="841" spans="1:6" x14ac:dyDescent="0.3">
      <c r="A841" s="1">
        <v>45586</v>
      </c>
      <c r="B841" t="s">
        <v>13</v>
      </c>
      <c r="C841">
        <v>7270</v>
      </c>
      <c r="D841">
        <v>1630</v>
      </c>
      <c r="E841">
        <v>2860</v>
      </c>
      <c r="F841">
        <v>11760</v>
      </c>
    </row>
    <row r="842" spans="1:6" x14ac:dyDescent="0.3">
      <c r="A842" s="1">
        <v>45652</v>
      </c>
      <c r="B842" t="s">
        <v>22</v>
      </c>
      <c r="C842">
        <v>2627</v>
      </c>
      <c r="D842">
        <v>1431</v>
      </c>
      <c r="E842">
        <v>1777</v>
      </c>
      <c r="F842">
        <v>5835</v>
      </c>
    </row>
    <row r="843" spans="1:6" x14ac:dyDescent="0.3">
      <c r="A843" s="1">
        <v>45564</v>
      </c>
      <c r="B843" t="s">
        <v>9</v>
      </c>
      <c r="C843">
        <v>18759</v>
      </c>
      <c r="D843">
        <v>9662</v>
      </c>
      <c r="E843">
        <v>2661</v>
      </c>
      <c r="F843">
        <v>31082</v>
      </c>
    </row>
    <row r="844" spans="1:6" x14ac:dyDescent="0.3">
      <c r="A844" s="1">
        <v>45511</v>
      </c>
      <c r="B844" t="s">
        <v>9</v>
      </c>
      <c r="C844">
        <v>16620</v>
      </c>
      <c r="D844">
        <v>1039</v>
      </c>
      <c r="E844">
        <v>6142</v>
      </c>
      <c r="F844">
        <v>23801</v>
      </c>
    </row>
    <row r="845" spans="1:6" x14ac:dyDescent="0.3">
      <c r="A845" s="1">
        <v>45306</v>
      </c>
      <c r="B845" t="s">
        <v>9</v>
      </c>
      <c r="C845">
        <v>7909</v>
      </c>
      <c r="D845">
        <v>2880</v>
      </c>
      <c r="E845">
        <v>5299</v>
      </c>
      <c r="F845">
        <v>16088</v>
      </c>
    </row>
    <row r="846" spans="1:6" x14ac:dyDescent="0.3">
      <c r="A846" s="1">
        <v>45563</v>
      </c>
      <c r="B846" t="s">
        <v>35</v>
      </c>
      <c r="C846">
        <v>14500</v>
      </c>
      <c r="D846">
        <v>2389</v>
      </c>
      <c r="E846">
        <v>5165</v>
      </c>
      <c r="F846">
        <v>22054</v>
      </c>
    </row>
    <row r="847" spans="1:6" x14ac:dyDescent="0.3">
      <c r="A847" s="1">
        <v>45474</v>
      </c>
      <c r="B847" t="s">
        <v>9</v>
      </c>
      <c r="C847">
        <v>9257</v>
      </c>
      <c r="D847">
        <v>8377</v>
      </c>
      <c r="E847">
        <v>4094</v>
      </c>
      <c r="F847">
        <v>21728</v>
      </c>
    </row>
    <row r="848" spans="1:6" x14ac:dyDescent="0.3">
      <c r="A848" s="1">
        <v>45358</v>
      </c>
      <c r="B848" t="s">
        <v>35</v>
      </c>
      <c r="C848">
        <v>18164</v>
      </c>
      <c r="D848">
        <v>3075</v>
      </c>
      <c r="E848">
        <v>2751</v>
      </c>
      <c r="F848">
        <v>23990</v>
      </c>
    </row>
    <row r="849" spans="1:6" x14ac:dyDescent="0.3">
      <c r="A849" s="1">
        <v>45395</v>
      </c>
      <c r="B849" t="s">
        <v>35</v>
      </c>
      <c r="C849">
        <v>11416</v>
      </c>
      <c r="D849">
        <v>2677</v>
      </c>
      <c r="E849">
        <v>7951</v>
      </c>
      <c r="F849">
        <v>22044</v>
      </c>
    </row>
    <row r="850" spans="1:6" x14ac:dyDescent="0.3">
      <c r="A850" s="1">
        <v>45520</v>
      </c>
      <c r="B850" t="s">
        <v>35</v>
      </c>
      <c r="C850">
        <v>5677</v>
      </c>
      <c r="D850">
        <v>2173</v>
      </c>
      <c r="E850">
        <v>2478</v>
      </c>
      <c r="F850">
        <v>10328</v>
      </c>
    </row>
    <row r="851" spans="1:6" x14ac:dyDescent="0.3">
      <c r="A851" s="1">
        <v>45376</v>
      </c>
      <c r="B851" t="s">
        <v>13</v>
      </c>
      <c r="C851">
        <v>10796</v>
      </c>
      <c r="D851">
        <v>4969</v>
      </c>
      <c r="E851">
        <v>3617</v>
      </c>
      <c r="F851">
        <v>19382</v>
      </c>
    </row>
    <row r="852" spans="1:6" x14ac:dyDescent="0.3">
      <c r="A852" s="1">
        <v>45584</v>
      </c>
      <c r="B852" t="s">
        <v>22</v>
      </c>
      <c r="C852">
        <v>11400</v>
      </c>
      <c r="D852">
        <v>1997</v>
      </c>
      <c r="E852">
        <v>6827</v>
      </c>
      <c r="F852">
        <v>20224</v>
      </c>
    </row>
    <row r="853" spans="1:6" x14ac:dyDescent="0.3">
      <c r="A853" s="1">
        <v>45442</v>
      </c>
      <c r="B853" t="s">
        <v>9</v>
      </c>
      <c r="C853">
        <v>17239</v>
      </c>
      <c r="D853">
        <v>3926</v>
      </c>
      <c r="E853">
        <v>5126</v>
      </c>
      <c r="F853">
        <v>26291</v>
      </c>
    </row>
    <row r="854" spans="1:6" x14ac:dyDescent="0.3">
      <c r="A854" s="1">
        <v>45379</v>
      </c>
      <c r="B854" t="s">
        <v>22</v>
      </c>
      <c r="C854">
        <v>18161</v>
      </c>
      <c r="D854">
        <v>1007</v>
      </c>
      <c r="E854">
        <v>3142</v>
      </c>
      <c r="F854">
        <v>22310</v>
      </c>
    </row>
    <row r="855" spans="1:6" x14ac:dyDescent="0.3">
      <c r="A855" s="1">
        <v>45308</v>
      </c>
      <c r="B855" t="s">
        <v>35</v>
      </c>
      <c r="C855">
        <v>11251</v>
      </c>
      <c r="D855">
        <v>9262</v>
      </c>
      <c r="E855">
        <v>6507</v>
      </c>
      <c r="F855">
        <v>27020</v>
      </c>
    </row>
    <row r="856" spans="1:6" x14ac:dyDescent="0.3">
      <c r="A856" s="1">
        <v>45397</v>
      </c>
      <c r="B856" t="s">
        <v>9</v>
      </c>
      <c r="C856">
        <v>13267</v>
      </c>
      <c r="D856">
        <v>9215</v>
      </c>
      <c r="E856">
        <v>6946</v>
      </c>
      <c r="F856">
        <v>29428</v>
      </c>
    </row>
    <row r="857" spans="1:6" x14ac:dyDescent="0.3">
      <c r="A857" s="1">
        <v>45368</v>
      </c>
      <c r="B857" t="s">
        <v>35</v>
      </c>
      <c r="C857">
        <v>18149</v>
      </c>
      <c r="D857">
        <v>4578</v>
      </c>
      <c r="E857">
        <v>3239</v>
      </c>
      <c r="F857">
        <v>25966</v>
      </c>
    </row>
    <row r="858" spans="1:6" x14ac:dyDescent="0.3">
      <c r="A858" s="1">
        <v>45598</v>
      </c>
      <c r="B858" t="s">
        <v>13</v>
      </c>
      <c r="C858">
        <v>17173</v>
      </c>
      <c r="D858">
        <v>1516</v>
      </c>
      <c r="E858">
        <v>7075</v>
      </c>
      <c r="F858">
        <v>25764</v>
      </c>
    </row>
    <row r="859" spans="1:6" x14ac:dyDescent="0.3">
      <c r="A859" s="1">
        <v>45626</v>
      </c>
      <c r="B859" t="s">
        <v>9</v>
      </c>
      <c r="C859">
        <v>10049</v>
      </c>
      <c r="D859">
        <v>7077</v>
      </c>
      <c r="E859">
        <v>7863</v>
      </c>
      <c r="F859">
        <v>24989</v>
      </c>
    </row>
    <row r="860" spans="1:6" x14ac:dyDescent="0.3">
      <c r="A860" s="1">
        <v>45363</v>
      </c>
      <c r="B860" t="s">
        <v>22</v>
      </c>
      <c r="C860">
        <v>14098</v>
      </c>
      <c r="D860">
        <v>3752</v>
      </c>
      <c r="E860">
        <v>4646</v>
      </c>
      <c r="F860">
        <v>22496</v>
      </c>
    </row>
    <row r="861" spans="1:6" x14ac:dyDescent="0.3">
      <c r="A861" s="1">
        <v>45384</v>
      </c>
      <c r="B861" t="s">
        <v>26</v>
      </c>
      <c r="C861">
        <v>9244</v>
      </c>
      <c r="D861">
        <v>9005</v>
      </c>
      <c r="E861">
        <v>1149</v>
      </c>
      <c r="F861">
        <v>19398</v>
      </c>
    </row>
    <row r="862" spans="1:6" x14ac:dyDescent="0.3">
      <c r="A862" s="1">
        <v>45330</v>
      </c>
      <c r="B862" t="s">
        <v>35</v>
      </c>
      <c r="C862">
        <v>10422</v>
      </c>
      <c r="D862">
        <v>8434</v>
      </c>
      <c r="E862">
        <v>4382</v>
      </c>
      <c r="F862">
        <v>23238</v>
      </c>
    </row>
    <row r="863" spans="1:6" x14ac:dyDescent="0.3">
      <c r="A863" s="1">
        <v>45572</v>
      </c>
      <c r="B863" t="s">
        <v>35</v>
      </c>
      <c r="C863">
        <v>17046</v>
      </c>
      <c r="D863">
        <v>5737</v>
      </c>
      <c r="E863">
        <v>5261</v>
      </c>
      <c r="F863">
        <v>28044</v>
      </c>
    </row>
    <row r="864" spans="1:6" x14ac:dyDescent="0.3">
      <c r="A864" s="1">
        <v>45376</v>
      </c>
      <c r="B864" t="s">
        <v>35</v>
      </c>
      <c r="C864">
        <v>7293</v>
      </c>
      <c r="D864">
        <v>6686</v>
      </c>
      <c r="E864">
        <v>6632</v>
      </c>
      <c r="F864">
        <v>20611</v>
      </c>
    </row>
    <row r="865" spans="1:6" x14ac:dyDescent="0.3">
      <c r="A865" s="1">
        <v>45650</v>
      </c>
      <c r="B865" t="s">
        <v>9</v>
      </c>
      <c r="C865">
        <v>17414</v>
      </c>
      <c r="D865">
        <v>4951</v>
      </c>
      <c r="E865">
        <v>4951</v>
      </c>
      <c r="F865">
        <v>27316</v>
      </c>
    </row>
    <row r="866" spans="1:6" x14ac:dyDescent="0.3">
      <c r="A866" s="1">
        <v>45613</v>
      </c>
      <c r="B866" t="s">
        <v>13</v>
      </c>
      <c r="C866">
        <v>16371</v>
      </c>
      <c r="D866">
        <v>8142</v>
      </c>
      <c r="E866">
        <v>5808</v>
      </c>
      <c r="F866">
        <v>30321</v>
      </c>
    </row>
    <row r="867" spans="1:6" x14ac:dyDescent="0.3">
      <c r="A867" s="1">
        <v>45420</v>
      </c>
      <c r="B867" t="s">
        <v>35</v>
      </c>
      <c r="C867">
        <v>5513</v>
      </c>
      <c r="D867">
        <v>6971</v>
      </c>
      <c r="E867">
        <v>4065</v>
      </c>
      <c r="F867">
        <v>16549</v>
      </c>
    </row>
    <row r="868" spans="1:6" x14ac:dyDescent="0.3">
      <c r="A868" s="1">
        <v>45540</v>
      </c>
      <c r="B868" t="s">
        <v>26</v>
      </c>
      <c r="C868">
        <v>19677</v>
      </c>
      <c r="D868">
        <v>9423</v>
      </c>
      <c r="E868">
        <v>4137</v>
      </c>
      <c r="F868">
        <v>33237</v>
      </c>
    </row>
    <row r="869" spans="1:6" x14ac:dyDescent="0.3">
      <c r="A869" s="1">
        <v>45372</v>
      </c>
      <c r="B869" t="s">
        <v>26</v>
      </c>
      <c r="C869">
        <v>3291</v>
      </c>
      <c r="D869">
        <v>5744</v>
      </c>
      <c r="E869">
        <v>4799</v>
      </c>
      <c r="F869">
        <v>13834</v>
      </c>
    </row>
    <row r="870" spans="1:6" x14ac:dyDescent="0.3">
      <c r="A870" s="1">
        <v>45413</v>
      </c>
      <c r="B870" t="s">
        <v>9</v>
      </c>
      <c r="C870">
        <v>11492</v>
      </c>
      <c r="D870">
        <v>4136</v>
      </c>
      <c r="E870">
        <v>4006</v>
      </c>
      <c r="F870">
        <v>19634</v>
      </c>
    </row>
    <row r="871" spans="1:6" x14ac:dyDescent="0.3">
      <c r="A871" s="1">
        <v>45414</v>
      </c>
      <c r="B871" t="s">
        <v>9</v>
      </c>
      <c r="C871">
        <v>14094</v>
      </c>
      <c r="D871">
        <v>7466</v>
      </c>
      <c r="E871">
        <v>2956</v>
      </c>
      <c r="F871">
        <v>24516</v>
      </c>
    </row>
    <row r="872" spans="1:6" x14ac:dyDescent="0.3">
      <c r="A872" s="1">
        <v>45462</v>
      </c>
      <c r="B872" t="s">
        <v>26</v>
      </c>
      <c r="C872">
        <v>3342</v>
      </c>
      <c r="D872">
        <v>1311</v>
      </c>
      <c r="E872">
        <v>7576</v>
      </c>
      <c r="F872">
        <v>12229</v>
      </c>
    </row>
    <row r="873" spans="1:6" x14ac:dyDescent="0.3">
      <c r="A873" s="1">
        <v>45323</v>
      </c>
      <c r="B873" t="s">
        <v>22</v>
      </c>
      <c r="C873">
        <v>12572</v>
      </c>
      <c r="D873">
        <v>6597</v>
      </c>
      <c r="E873">
        <v>4324</v>
      </c>
      <c r="F873">
        <v>23493</v>
      </c>
    </row>
    <row r="874" spans="1:6" x14ac:dyDescent="0.3">
      <c r="A874" s="1">
        <v>45561</v>
      </c>
      <c r="B874" t="s">
        <v>9</v>
      </c>
      <c r="C874">
        <v>9993</v>
      </c>
      <c r="D874">
        <v>1026</v>
      </c>
      <c r="E874">
        <v>5575</v>
      </c>
      <c r="F874">
        <v>16594</v>
      </c>
    </row>
    <row r="875" spans="1:6" x14ac:dyDescent="0.3">
      <c r="A875" s="1">
        <v>45532</v>
      </c>
      <c r="B875" t="s">
        <v>26</v>
      </c>
      <c r="C875">
        <v>6798</v>
      </c>
      <c r="D875">
        <v>7235</v>
      </c>
      <c r="E875">
        <v>723</v>
      </c>
      <c r="F875">
        <v>14756</v>
      </c>
    </row>
    <row r="876" spans="1:6" x14ac:dyDescent="0.3">
      <c r="A876" s="1">
        <v>45499</v>
      </c>
      <c r="B876" t="s">
        <v>35</v>
      </c>
      <c r="C876">
        <v>15848</v>
      </c>
      <c r="D876">
        <v>1036</v>
      </c>
      <c r="E876">
        <v>1029</v>
      </c>
      <c r="F876">
        <v>17913</v>
      </c>
    </row>
    <row r="877" spans="1:6" x14ac:dyDescent="0.3">
      <c r="A877" s="1">
        <v>45633</v>
      </c>
      <c r="B877" t="s">
        <v>22</v>
      </c>
      <c r="C877">
        <v>6678</v>
      </c>
      <c r="D877">
        <v>8274</v>
      </c>
      <c r="E877">
        <v>5921</v>
      </c>
      <c r="F877">
        <v>20873</v>
      </c>
    </row>
    <row r="878" spans="1:6" x14ac:dyDescent="0.3">
      <c r="A878" s="1">
        <v>45447</v>
      </c>
      <c r="B878" t="s">
        <v>22</v>
      </c>
      <c r="C878">
        <v>9179</v>
      </c>
      <c r="D878">
        <v>4514</v>
      </c>
      <c r="E878">
        <v>4965</v>
      </c>
      <c r="F878">
        <v>18658</v>
      </c>
    </row>
    <row r="879" spans="1:6" x14ac:dyDescent="0.3">
      <c r="A879" s="1">
        <v>45487</v>
      </c>
      <c r="B879" t="s">
        <v>35</v>
      </c>
      <c r="C879">
        <v>17074</v>
      </c>
      <c r="D879">
        <v>9615</v>
      </c>
      <c r="E879">
        <v>3876</v>
      </c>
      <c r="F879">
        <v>30565</v>
      </c>
    </row>
    <row r="880" spans="1:6" x14ac:dyDescent="0.3">
      <c r="A880" s="1">
        <v>45364</v>
      </c>
      <c r="B880" t="s">
        <v>13</v>
      </c>
      <c r="C880">
        <v>8717</v>
      </c>
      <c r="D880">
        <v>1106</v>
      </c>
      <c r="E880">
        <v>3052</v>
      </c>
      <c r="F880">
        <v>12875</v>
      </c>
    </row>
    <row r="881" spans="1:6" x14ac:dyDescent="0.3">
      <c r="A881" s="1">
        <v>45608</v>
      </c>
      <c r="B881" t="s">
        <v>13</v>
      </c>
      <c r="C881">
        <v>8288</v>
      </c>
      <c r="D881">
        <v>4377</v>
      </c>
      <c r="E881">
        <v>3272</v>
      </c>
      <c r="F881">
        <v>15937</v>
      </c>
    </row>
    <row r="882" spans="1:6" x14ac:dyDescent="0.3">
      <c r="A882" s="1">
        <v>45539</v>
      </c>
      <c r="B882" t="s">
        <v>26</v>
      </c>
      <c r="C882">
        <v>2324</v>
      </c>
      <c r="D882">
        <v>1030</v>
      </c>
      <c r="E882">
        <v>1655</v>
      </c>
      <c r="F882">
        <v>5009</v>
      </c>
    </row>
    <row r="883" spans="1:6" x14ac:dyDescent="0.3">
      <c r="A883" s="1">
        <v>45418</v>
      </c>
      <c r="B883" t="s">
        <v>9</v>
      </c>
      <c r="C883">
        <v>10633</v>
      </c>
      <c r="D883">
        <v>3549</v>
      </c>
      <c r="E883">
        <v>1750</v>
      </c>
      <c r="F883">
        <v>15932</v>
      </c>
    </row>
    <row r="884" spans="1:6" x14ac:dyDescent="0.3">
      <c r="A884" s="1">
        <v>45545</v>
      </c>
      <c r="B884" t="s">
        <v>13</v>
      </c>
      <c r="C884">
        <v>13652</v>
      </c>
      <c r="D884">
        <v>6161</v>
      </c>
      <c r="E884">
        <v>6966</v>
      </c>
      <c r="F884">
        <v>26779</v>
      </c>
    </row>
    <row r="885" spans="1:6" x14ac:dyDescent="0.3">
      <c r="A885" s="1">
        <v>45485</v>
      </c>
      <c r="B885" t="s">
        <v>13</v>
      </c>
      <c r="C885">
        <v>8052</v>
      </c>
      <c r="D885">
        <v>3303</v>
      </c>
      <c r="E885">
        <v>2835</v>
      </c>
      <c r="F885">
        <v>14190</v>
      </c>
    </row>
    <row r="886" spans="1:6" x14ac:dyDescent="0.3">
      <c r="A886" s="1">
        <v>45471</v>
      </c>
      <c r="B886" t="s">
        <v>13</v>
      </c>
      <c r="C886">
        <v>17774</v>
      </c>
      <c r="D886">
        <v>7766</v>
      </c>
      <c r="E886">
        <v>6582</v>
      </c>
      <c r="F886">
        <v>32122</v>
      </c>
    </row>
    <row r="887" spans="1:6" x14ac:dyDescent="0.3">
      <c r="A887" s="1">
        <v>45629</v>
      </c>
      <c r="B887" t="s">
        <v>9</v>
      </c>
      <c r="C887">
        <v>10570</v>
      </c>
      <c r="D887">
        <v>8849</v>
      </c>
      <c r="E887">
        <v>6037</v>
      </c>
      <c r="F887">
        <v>25456</v>
      </c>
    </row>
    <row r="888" spans="1:6" x14ac:dyDescent="0.3">
      <c r="A888" s="1">
        <v>45333</v>
      </c>
      <c r="B888" t="s">
        <v>26</v>
      </c>
      <c r="C888">
        <v>16105</v>
      </c>
      <c r="D888">
        <v>4052</v>
      </c>
      <c r="E888">
        <v>3037</v>
      </c>
      <c r="F888">
        <v>23194</v>
      </c>
    </row>
    <row r="889" spans="1:6" x14ac:dyDescent="0.3">
      <c r="A889" s="1">
        <v>45444</v>
      </c>
      <c r="B889" t="s">
        <v>9</v>
      </c>
      <c r="C889">
        <v>3095</v>
      </c>
      <c r="D889">
        <v>6952</v>
      </c>
      <c r="E889">
        <v>3192</v>
      </c>
      <c r="F889">
        <v>13239</v>
      </c>
    </row>
    <row r="890" spans="1:6" x14ac:dyDescent="0.3">
      <c r="A890" s="1">
        <v>45397</v>
      </c>
      <c r="B890" t="s">
        <v>22</v>
      </c>
      <c r="C890">
        <v>14889</v>
      </c>
      <c r="D890">
        <v>1064</v>
      </c>
      <c r="E890">
        <v>5825</v>
      </c>
      <c r="F890">
        <v>21778</v>
      </c>
    </row>
    <row r="891" spans="1:6" x14ac:dyDescent="0.3">
      <c r="A891" s="1">
        <v>45555</v>
      </c>
      <c r="B891" t="s">
        <v>35</v>
      </c>
      <c r="C891">
        <v>18671</v>
      </c>
      <c r="D891">
        <v>1567</v>
      </c>
      <c r="E891">
        <v>5118</v>
      </c>
      <c r="F891">
        <v>25356</v>
      </c>
    </row>
    <row r="892" spans="1:6" x14ac:dyDescent="0.3">
      <c r="A892" s="1">
        <v>45362</v>
      </c>
      <c r="B892" t="s">
        <v>13</v>
      </c>
      <c r="C892">
        <v>18443</v>
      </c>
      <c r="D892">
        <v>4688</v>
      </c>
      <c r="E892">
        <v>3131</v>
      </c>
      <c r="F892">
        <v>26262</v>
      </c>
    </row>
    <row r="893" spans="1:6" x14ac:dyDescent="0.3">
      <c r="A893" s="1">
        <v>45300</v>
      </c>
      <c r="B893" t="s">
        <v>22</v>
      </c>
      <c r="C893">
        <v>16405</v>
      </c>
      <c r="D893">
        <v>3528</v>
      </c>
      <c r="E893">
        <v>1656</v>
      </c>
      <c r="F893">
        <v>21589</v>
      </c>
    </row>
    <row r="894" spans="1:6" x14ac:dyDescent="0.3">
      <c r="A894" s="1">
        <v>45441</v>
      </c>
      <c r="B894" t="s">
        <v>35</v>
      </c>
      <c r="C894">
        <v>9125</v>
      </c>
      <c r="D894">
        <v>3915</v>
      </c>
      <c r="E894">
        <v>7663</v>
      </c>
      <c r="F894">
        <v>20703</v>
      </c>
    </row>
    <row r="895" spans="1:6" x14ac:dyDescent="0.3">
      <c r="A895" s="1">
        <v>45397</v>
      </c>
      <c r="B895" t="s">
        <v>22</v>
      </c>
      <c r="C895">
        <v>4028</v>
      </c>
      <c r="D895">
        <v>3002</v>
      </c>
      <c r="E895">
        <v>5152</v>
      </c>
      <c r="F895">
        <v>12182</v>
      </c>
    </row>
    <row r="896" spans="1:6" x14ac:dyDescent="0.3">
      <c r="A896" s="1">
        <v>45628</v>
      </c>
      <c r="B896" t="s">
        <v>35</v>
      </c>
      <c r="C896">
        <v>8815</v>
      </c>
      <c r="D896">
        <v>9264</v>
      </c>
      <c r="E896">
        <v>5445</v>
      </c>
      <c r="F896">
        <v>23524</v>
      </c>
    </row>
    <row r="897" spans="1:6" x14ac:dyDescent="0.3">
      <c r="A897" s="1">
        <v>45639</v>
      </c>
      <c r="B897" t="s">
        <v>26</v>
      </c>
      <c r="C897">
        <v>12772</v>
      </c>
      <c r="D897">
        <v>9660</v>
      </c>
      <c r="E897">
        <v>2666</v>
      </c>
      <c r="F897">
        <v>25098</v>
      </c>
    </row>
    <row r="898" spans="1:6" x14ac:dyDescent="0.3">
      <c r="A898" s="1">
        <v>45519</v>
      </c>
      <c r="B898" t="s">
        <v>13</v>
      </c>
      <c r="C898">
        <v>17857</v>
      </c>
      <c r="D898">
        <v>1830</v>
      </c>
      <c r="E898">
        <v>2802</v>
      </c>
      <c r="F898">
        <v>22489</v>
      </c>
    </row>
    <row r="899" spans="1:6" x14ac:dyDescent="0.3">
      <c r="A899" s="1">
        <v>45352</v>
      </c>
      <c r="B899" t="s">
        <v>13</v>
      </c>
      <c r="C899">
        <v>15122</v>
      </c>
      <c r="D899">
        <v>7351</v>
      </c>
      <c r="E899">
        <v>7054</v>
      </c>
      <c r="F899">
        <v>29527</v>
      </c>
    </row>
    <row r="900" spans="1:6" x14ac:dyDescent="0.3">
      <c r="A900" s="1">
        <v>45482</v>
      </c>
      <c r="B900" t="s">
        <v>13</v>
      </c>
      <c r="C900">
        <v>3464</v>
      </c>
      <c r="D900">
        <v>6146</v>
      </c>
      <c r="E900">
        <v>2701</v>
      </c>
      <c r="F900">
        <v>12311</v>
      </c>
    </row>
    <row r="901" spans="1:6" x14ac:dyDescent="0.3">
      <c r="A901" s="1">
        <v>45374</v>
      </c>
      <c r="B901" t="s">
        <v>13</v>
      </c>
      <c r="C901">
        <v>13868</v>
      </c>
      <c r="D901">
        <v>4335</v>
      </c>
      <c r="E901">
        <v>2143</v>
      </c>
      <c r="F901">
        <v>20346</v>
      </c>
    </row>
    <row r="902" spans="1:6" x14ac:dyDescent="0.3">
      <c r="A902" s="1">
        <v>45577</v>
      </c>
      <c r="B902" t="s">
        <v>26</v>
      </c>
      <c r="C902">
        <v>15973</v>
      </c>
      <c r="D902">
        <v>1435</v>
      </c>
      <c r="E902">
        <v>6407</v>
      </c>
      <c r="F902">
        <v>23815</v>
      </c>
    </row>
    <row r="903" spans="1:6" x14ac:dyDescent="0.3">
      <c r="A903" s="1">
        <v>45496</v>
      </c>
      <c r="B903" t="s">
        <v>9</v>
      </c>
      <c r="C903">
        <v>11023</v>
      </c>
      <c r="D903">
        <v>8529</v>
      </c>
      <c r="E903">
        <v>4026</v>
      </c>
      <c r="F903">
        <v>23578</v>
      </c>
    </row>
    <row r="904" spans="1:6" x14ac:dyDescent="0.3">
      <c r="A904" s="1">
        <v>45404</v>
      </c>
      <c r="B904" t="s">
        <v>22</v>
      </c>
      <c r="C904">
        <v>19873</v>
      </c>
      <c r="D904">
        <v>9258</v>
      </c>
      <c r="E904">
        <v>3933</v>
      </c>
      <c r="F904">
        <v>33064</v>
      </c>
    </row>
    <row r="905" spans="1:6" x14ac:dyDescent="0.3">
      <c r="A905" s="1">
        <v>45385</v>
      </c>
      <c r="B905" t="s">
        <v>35</v>
      </c>
      <c r="C905">
        <v>2212</v>
      </c>
      <c r="D905">
        <v>9621</v>
      </c>
      <c r="E905">
        <v>7516</v>
      </c>
      <c r="F905">
        <v>19349</v>
      </c>
    </row>
    <row r="906" spans="1:6" x14ac:dyDescent="0.3">
      <c r="A906" s="1">
        <v>45322</v>
      </c>
      <c r="B906" t="s">
        <v>13</v>
      </c>
      <c r="C906">
        <v>4716</v>
      </c>
      <c r="D906">
        <v>9508</v>
      </c>
      <c r="E906">
        <v>1196</v>
      </c>
      <c r="F906">
        <v>15420</v>
      </c>
    </row>
    <row r="907" spans="1:6" x14ac:dyDescent="0.3">
      <c r="A907" s="1">
        <v>45562</v>
      </c>
      <c r="B907" t="s">
        <v>9</v>
      </c>
      <c r="C907">
        <v>11160</v>
      </c>
      <c r="D907">
        <v>9720</v>
      </c>
      <c r="E907">
        <v>3417</v>
      </c>
      <c r="F907">
        <v>24297</v>
      </c>
    </row>
    <row r="908" spans="1:6" x14ac:dyDescent="0.3">
      <c r="A908" s="1">
        <v>45323</v>
      </c>
      <c r="B908" t="s">
        <v>13</v>
      </c>
      <c r="C908">
        <v>19646</v>
      </c>
      <c r="D908">
        <v>6070</v>
      </c>
      <c r="E908">
        <v>979</v>
      </c>
      <c r="F908">
        <v>26695</v>
      </c>
    </row>
    <row r="909" spans="1:6" x14ac:dyDescent="0.3">
      <c r="A909" s="1">
        <v>45603</v>
      </c>
      <c r="B909" t="s">
        <v>26</v>
      </c>
      <c r="C909">
        <v>14839</v>
      </c>
      <c r="D909">
        <v>6524</v>
      </c>
      <c r="E909">
        <v>1907</v>
      </c>
      <c r="F909">
        <v>23270</v>
      </c>
    </row>
    <row r="910" spans="1:6" x14ac:dyDescent="0.3">
      <c r="A910" s="1">
        <v>45508</v>
      </c>
      <c r="B910" t="s">
        <v>26</v>
      </c>
      <c r="C910">
        <v>11286</v>
      </c>
      <c r="D910">
        <v>3621</v>
      </c>
      <c r="E910">
        <v>3789</v>
      </c>
      <c r="F910">
        <v>18696</v>
      </c>
    </row>
    <row r="911" spans="1:6" x14ac:dyDescent="0.3">
      <c r="A911" s="1">
        <v>45583</v>
      </c>
      <c r="B911" t="s">
        <v>26</v>
      </c>
      <c r="C911">
        <v>17264</v>
      </c>
      <c r="D911">
        <v>4777</v>
      </c>
      <c r="E911">
        <v>3855</v>
      </c>
      <c r="F911">
        <v>25896</v>
      </c>
    </row>
    <row r="912" spans="1:6" x14ac:dyDescent="0.3">
      <c r="A912" s="1">
        <v>45386</v>
      </c>
      <c r="B912" t="s">
        <v>26</v>
      </c>
      <c r="C912">
        <v>2438</v>
      </c>
      <c r="D912">
        <v>9698</v>
      </c>
      <c r="E912">
        <v>819</v>
      </c>
      <c r="F912">
        <v>12955</v>
      </c>
    </row>
    <row r="913" spans="1:6" x14ac:dyDescent="0.3">
      <c r="A913" s="1">
        <v>45552</v>
      </c>
      <c r="B913" t="s">
        <v>22</v>
      </c>
      <c r="C913">
        <v>4434</v>
      </c>
      <c r="D913">
        <v>6084</v>
      </c>
      <c r="E913">
        <v>4840</v>
      </c>
      <c r="F913">
        <v>15358</v>
      </c>
    </row>
    <row r="914" spans="1:6" x14ac:dyDescent="0.3">
      <c r="A914" s="1">
        <v>45330</v>
      </c>
      <c r="B914" t="s">
        <v>13</v>
      </c>
      <c r="C914">
        <v>10715</v>
      </c>
      <c r="D914">
        <v>3283</v>
      </c>
      <c r="E914">
        <v>3490</v>
      </c>
      <c r="F914">
        <v>17488</v>
      </c>
    </row>
    <row r="915" spans="1:6" x14ac:dyDescent="0.3">
      <c r="A915" s="1">
        <v>45589</v>
      </c>
      <c r="B915" t="s">
        <v>22</v>
      </c>
      <c r="C915">
        <v>17210</v>
      </c>
      <c r="D915">
        <v>5095</v>
      </c>
      <c r="E915">
        <v>4143</v>
      </c>
      <c r="F915">
        <v>26448</v>
      </c>
    </row>
    <row r="916" spans="1:6" x14ac:dyDescent="0.3">
      <c r="A916" s="1">
        <v>45480</v>
      </c>
      <c r="B916" t="s">
        <v>35</v>
      </c>
      <c r="C916">
        <v>16709</v>
      </c>
      <c r="D916">
        <v>9690</v>
      </c>
      <c r="E916">
        <v>739</v>
      </c>
      <c r="F916">
        <v>27138</v>
      </c>
    </row>
    <row r="917" spans="1:6" x14ac:dyDescent="0.3">
      <c r="A917" s="1">
        <v>45506</v>
      </c>
      <c r="B917" t="s">
        <v>35</v>
      </c>
      <c r="C917">
        <v>10643</v>
      </c>
      <c r="D917">
        <v>5935</v>
      </c>
      <c r="E917">
        <v>2672</v>
      </c>
      <c r="F917">
        <v>19250</v>
      </c>
    </row>
    <row r="918" spans="1:6" x14ac:dyDescent="0.3">
      <c r="A918" s="1">
        <v>45485</v>
      </c>
      <c r="B918" t="s">
        <v>13</v>
      </c>
      <c r="C918">
        <v>6090</v>
      </c>
      <c r="D918">
        <v>2117</v>
      </c>
      <c r="E918">
        <v>7475</v>
      </c>
      <c r="F918">
        <v>15682</v>
      </c>
    </row>
    <row r="919" spans="1:6" x14ac:dyDescent="0.3">
      <c r="A919" s="1">
        <v>45493</v>
      </c>
      <c r="B919" t="s">
        <v>13</v>
      </c>
      <c r="C919">
        <v>4436</v>
      </c>
      <c r="D919">
        <v>1653</v>
      </c>
      <c r="E919">
        <v>4166</v>
      </c>
      <c r="F919">
        <v>10255</v>
      </c>
    </row>
    <row r="920" spans="1:6" x14ac:dyDescent="0.3">
      <c r="A920" s="1">
        <v>45342</v>
      </c>
      <c r="B920" t="s">
        <v>9</v>
      </c>
      <c r="C920">
        <v>9495</v>
      </c>
      <c r="D920">
        <v>2124</v>
      </c>
      <c r="E920">
        <v>4706</v>
      </c>
      <c r="F920">
        <v>16325</v>
      </c>
    </row>
    <row r="921" spans="1:6" x14ac:dyDescent="0.3">
      <c r="A921" s="1">
        <v>45362</v>
      </c>
      <c r="B921" t="s">
        <v>22</v>
      </c>
      <c r="C921">
        <v>2052</v>
      </c>
      <c r="D921">
        <v>9767</v>
      </c>
      <c r="E921">
        <v>1675</v>
      </c>
      <c r="F921">
        <v>13494</v>
      </c>
    </row>
    <row r="922" spans="1:6" x14ac:dyDescent="0.3">
      <c r="A922" s="1">
        <v>45358</v>
      </c>
      <c r="B922" t="s">
        <v>35</v>
      </c>
      <c r="C922">
        <v>4575</v>
      </c>
      <c r="D922">
        <v>1978</v>
      </c>
      <c r="E922">
        <v>6859</v>
      </c>
      <c r="F922">
        <v>13412</v>
      </c>
    </row>
    <row r="923" spans="1:6" x14ac:dyDescent="0.3">
      <c r="A923" s="1">
        <v>45431</v>
      </c>
      <c r="B923" t="s">
        <v>9</v>
      </c>
      <c r="C923">
        <v>19560</v>
      </c>
      <c r="D923">
        <v>9041</v>
      </c>
      <c r="E923">
        <v>4036</v>
      </c>
      <c r="F923">
        <v>32637</v>
      </c>
    </row>
    <row r="924" spans="1:6" x14ac:dyDescent="0.3">
      <c r="A924" s="1">
        <v>45485</v>
      </c>
      <c r="B924" t="s">
        <v>26</v>
      </c>
      <c r="C924">
        <v>17358</v>
      </c>
      <c r="D924">
        <v>6965</v>
      </c>
      <c r="E924">
        <v>7258</v>
      </c>
      <c r="F924">
        <v>31581</v>
      </c>
    </row>
    <row r="925" spans="1:6" x14ac:dyDescent="0.3">
      <c r="A925" s="1">
        <v>45447</v>
      </c>
      <c r="B925" t="s">
        <v>26</v>
      </c>
      <c r="C925">
        <v>8789</v>
      </c>
      <c r="D925">
        <v>3992</v>
      </c>
      <c r="E925">
        <v>5043</v>
      </c>
      <c r="F925">
        <v>17824</v>
      </c>
    </row>
    <row r="926" spans="1:6" x14ac:dyDescent="0.3">
      <c r="A926" s="1">
        <v>45645</v>
      </c>
      <c r="B926" t="s">
        <v>26</v>
      </c>
      <c r="C926">
        <v>7636</v>
      </c>
      <c r="D926">
        <v>7948</v>
      </c>
      <c r="E926">
        <v>4230</v>
      </c>
      <c r="F926">
        <v>19814</v>
      </c>
    </row>
    <row r="927" spans="1:6" x14ac:dyDescent="0.3">
      <c r="A927" s="1">
        <v>45492</v>
      </c>
      <c r="B927" t="s">
        <v>9</v>
      </c>
      <c r="C927">
        <v>19199</v>
      </c>
      <c r="D927">
        <v>3118</v>
      </c>
      <c r="E927">
        <v>2851</v>
      </c>
      <c r="F927">
        <v>25168</v>
      </c>
    </row>
    <row r="928" spans="1:6" x14ac:dyDescent="0.3">
      <c r="A928" s="1">
        <v>45418</v>
      </c>
      <c r="B928" t="s">
        <v>26</v>
      </c>
      <c r="C928">
        <v>5795</v>
      </c>
      <c r="D928">
        <v>9061</v>
      </c>
      <c r="E928">
        <v>4580</v>
      </c>
      <c r="F928">
        <v>19436</v>
      </c>
    </row>
    <row r="929" spans="1:6" x14ac:dyDescent="0.3">
      <c r="A929" s="1">
        <v>45584</v>
      </c>
      <c r="B929" t="s">
        <v>35</v>
      </c>
      <c r="C929">
        <v>7923</v>
      </c>
      <c r="D929">
        <v>3980</v>
      </c>
      <c r="E929">
        <v>6896</v>
      </c>
      <c r="F929">
        <v>18799</v>
      </c>
    </row>
    <row r="930" spans="1:6" x14ac:dyDescent="0.3">
      <c r="A930" s="1">
        <v>45361</v>
      </c>
      <c r="B930" t="s">
        <v>9</v>
      </c>
      <c r="C930">
        <v>7537</v>
      </c>
      <c r="D930">
        <v>9790</v>
      </c>
      <c r="E930">
        <v>3291</v>
      </c>
      <c r="F930">
        <v>20618</v>
      </c>
    </row>
    <row r="931" spans="1:6" x14ac:dyDescent="0.3">
      <c r="A931" s="1">
        <v>45657</v>
      </c>
      <c r="B931" t="s">
        <v>9</v>
      </c>
      <c r="C931">
        <v>12353</v>
      </c>
      <c r="D931">
        <v>2056</v>
      </c>
      <c r="E931">
        <v>864</v>
      </c>
      <c r="F931">
        <v>15273</v>
      </c>
    </row>
    <row r="932" spans="1:6" x14ac:dyDescent="0.3">
      <c r="A932" s="1">
        <v>45348</v>
      </c>
      <c r="B932" t="s">
        <v>13</v>
      </c>
      <c r="C932">
        <v>2073</v>
      </c>
      <c r="D932">
        <v>9274</v>
      </c>
      <c r="E932">
        <v>1445</v>
      </c>
      <c r="F932">
        <v>12792</v>
      </c>
    </row>
    <row r="933" spans="1:6" x14ac:dyDescent="0.3">
      <c r="A933" s="1">
        <v>45493</v>
      </c>
      <c r="B933" t="s">
        <v>35</v>
      </c>
      <c r="C933">
        <v>7394</v>
      </c>
      <c r="D933">
        <v>4679</v>
      </c>
      <c r="E933">
        <v>2997</v>
      </c>
      <c r="F933">
        <v>15070</v>
      </c>
    </row>
    <row r="934" spans="1:6" x14ac:dyDescent="0.3">
      <c r="A934" s="1">
        <v>45555</v>
      </c>
      <c r="B934" t="s">
        <v>9</v>
      </c>
      <c r="C934">
        <v>17945</v>
      </c>
      <c r="D934">
        <v>3805</v>
      </c>
      <c r="E934">
        <v>3160</v>
      </c>
      <c r="F934">
        <v>24910</v>
      </c>
    </row>
    <row r="935" spans="1:6" x14ac:dyDescent="0.3">
      <c r="A935" s="1">
        <v>45345</v>
      </c>
      <c r="B935" t="s">
        <v>13</v>
      </c>
      <c r="C935">
        <v>11330</v>
      </c>
      <c r="D935">
        <v>9043</v>
      </c>
      <c r="E935">
        <v>6305</v>
      </c>
      <c r="F935">
        <v>26678</v>
      </c>
    </row>
    <row r="936" spans="1:6" x14ac:dyDescent="0.3">
      <c r="A936" s="1">
        <v>45574</v>
      </c>
      <c r="B936" t="s">
        <v>9</v>
      </c>
      <c r="C936">
        <v>7556</v>
      </c>
      <c r="D936">
        <v>3045</v>
      </c>
      <c r="E936">
        <v>7835</v>
      </c>
      <c r="F936">
        <v>18436</v>
      </c>
    </row>
    <row r="937" spans="1:6" x14ac:dyDescent="0.3">
      <c r="A937" s="1">
        <v>45641</v>
      </c>
      <c r="B937" t="s">
        <v>9</v>
      </c>
      <c r="C937">
        <v>3576</v>
      </c>
      <c r="D937">
        <v>2519</v>
      </c>
      <c r="E937">
        <v>5955</v>
      </c>
      <c r="F937">
        <v>12050</v>
      </c>
    </row>
    <row r="938" spans="1:6" x14ac:dyDescent="0.3">
      <c r="A938" s="1">
        <v>45358</v>
      </c>
      <c r="B938" t="s">
        <v>35</v>
      </c>
      <c r="C938">
        <v>14950</v>
      </c>
      <c r="D938">
        <v>6779</v>
      </c>
      <c r="E938">
        <v>840</v>
      </c>
      <c r="F938">
        <v>22569</v>
      </c>
    </row>
    <row r="939" spans="1:6" x14ac:dyDescent="0.3">
      <c r="A939" s="1">
        <v>45556</v>
      </c>
      <c r="B939" t="s">
        <v>22</v>
      </c>
      <c r="C939">
        <v>2935</v>
      </c>
      <c r="D939">
        <v>5341</v>
      </c>
      <c r="E939">
        <v>987</v>
      </c>
      <c r="F939">
        <v>9263</v>
      </c>
    </row>
    <row r="940" spans="1:6" x14ac:dyDescent="0.3">
      <c r="A940" s="1">
        <v>45515</v>
      </c>
      <c r="B940" t="s">
        <v>35</v>
      </c>
      <c r="C940">
        <v>9802</v>
      </c>
      <c r="D940">
        <v>9533</v>
      </c>
      <c r="E940">
        <v>3317</v>
      </c>
      <c r="F940">
        <v>22652</v>
      </c>
    </row>
    <row r="941" spans="1:6" x14ac:dyDescent="0.3">
      <c r="A941" s="1">
        <v>45480</v>
      </c>
      <c r="B941" t="s">
        <v>9</v>
      </c>
      <c r="C941">
        <v>3245</v>
      </c>
      <c r="D941">
        <v>6499</v>
      </c>
      <c r="E941">
        <v>1596</v>
      </c>
      <c r="F941">
        <v>11340</v>
      </c>
    </row>
    <row r="942" spans="1:6" x14ac:dyDescent="0.3">
      <c r="A942" s="1">
        <v>45514</v>
      </c>
      <c r="B942" t="s">
        <v>22</v>
      </c>
      <c r="C942">
        <v>14111</v>
      </c>
      <c r="D942">
        <v>9056</v>
      </c>
      <c r="E942">
        <v>7680</v>
      </c>
      <c r="F942">
        <v>30847</v>
      </c>
    </row>
    <row r="943" spans="1:6" x14ac:dyDescent="0.3">
      <c r="A943" s="1">
        <v>45515</v>
      </c>
      <c r="B943" t="s">
        <v>35</v>
      </c>
      <c r="C943">
        <v>13920</v>
      </c>
      <c r="D943">
        <v>8947</v>
      </c>
      <c r="E943">
        <v>3433</v>
      </c>
      <c r="F943">
        <v>26300</v>
      </c>
    </row>
    <row r="944" spans="1:6" x14ac:dyDescent="0.3">
      <c r="A944" s="1">
        <v>45391</v>
      </c>
      <c r="B944" t="s">
        <v>13</v>
      </c>
      <c r="C944">
        <v>16374</v>
      </c>
      <c r="D944">
        <v>8650</v>
      </c>
      <c r="E944">
        <v>3822</v>
      </c>
      <c r="F944">
        <v>28846</v>
      </c>
    </row>
    <row r="945" spans="1:6" x14ac:dyDescent="0.3">
      <c r="A945" s="1">
        <v>45528</v>
      </c>
      <c r="B945" t="s">
        <v>9</v>
      </c>
      <c r="C945">
        <v>18062</v>
      </c>
      <c r="D945">
        <v>6261</v>
      </c>
      <c r="E945">
        <v>2887</v>
      </c>
      <c r="F945">
        <v>27210</v>
      </c>
    </row>
    <row r="946" spans="1:6" x14ac:dyDescent="0.3">
      <c r="A946" s="1">
        <v>45459</v>
      </c>
      <c r="B946" t="s">
        <v>35</v>
      </c>
      <c r="C946">
        <v>13433</v>
      </c>
      <c r="D946">
        <v>1172</v>
      </c>
      <c r="E946">
        <v>814</v>
      </c>
      <c r="F946">
        <v>15419</v>
      </c>
    </row>
    <row r="947" spans="1:6" x14ac:dyDescent="0.3">
      <c r="A947" s="1">
        <v>45332</v>
      </c>
      <c r="B947" t="s">
        <v>26</v>
      </c>
      <c r="C947">
        <v>5282</v>
      </c>
      <c r="D947">
        <v>7672</v>
      </c>
      <c r="E947">
        <v>7350</v>
      </c>
      <c r="F947">
        <v>20304</v>
      </c>
    </row>
    <row r="948" spans="1:6" x14ac:dyDescent="0.3">
      <c r="A948" s="1">
        <v>45345</v>
      </c>
      <c r="B948" t="s">
        <v>9</v>
      </c>
      <c r="C948">
        <v>13177</v>
      </c>
      <c r="D948">
        <v>4428</v>
      </c>
      <c r="E948">
        <v>676</v>
      </c>
      <c r="F948">
        <v>18281</v>
      </c>
    </row>
    <row r="949" spans="1:6" x14ac:dyDescent="0.3">
      <c r="A949" s="1">
        <v>45565</v>
      </c>
      <c r="B949" t="s">
        <v>22</v>
      </c>
      <c r="C949">
        <v>19228</v>
      </c>
      <c r="D949">
        <v>9542</v>
      </c>
      <c r="E949">
        <v>3736</v>
      </c>
      <c r="F949">
        <v>32506</v>
      </c>
    </row>
    <row r="950" spans="1:6" x14ac:dyDescent="0.3">
      <c r="A950" s="1">
        <v>45472</v>
      </c>
      <c r="B950" t="s">
        <v>35</v>
      </c>
      <c r="C950">
        <v>15366</v>
      </c>
      <c r="D950">
        <v>3277</v>
      </c>
      <c r="E950">
        <v>6016</v>
      </c>
      <c r="F950">
        <v>24659</v>
      </c>
    </row>
    <row r="951" spans="1:6" x14ac:dyDescent="0.3">
      <c r="A951" s="1">
        <v>45594</v>
      </c>
      <c r="B951" t="s">
        <v>26</v>
      </c>
      <c r="C951">
        <v>8913</v>
      </c>
      <c r="D951">
        <v>1474</v>
      </c>
      <c r="E951">
        <v>7204</v>
      </c>
      <c r="F951">
        <v>17591</v>
      </c>
    </row>
    <row r="952" spans="1:6" x14ac:dyDescent="0.3">
      <c r="A952" s="1">
        <v>45467</v>
      </c>
      <c r="B952" t="s">
        <v>9</v>
      </c>
      <c r="C952">
        <v>19818</v>
      </c>
      <c r="D952">
        <v>1619</v>
      </c>
      <c r="E952">
        <v>3327</v>
      </c>
      <c r="F952">
        <v>24764</v>
      </c>
    </row>
    <row r="953" spans="1:6" x14ac:dyDescent="0.3">
      <c r="A953" s="1">
        <v>45598</v>
      </c>
      <c r="B953" t="s">
        <v>35</v>
      </c>
      <c r="C953">
        <v>19556</v>
      </c>
      <c r="D953">
        <v>9779</v>
      </c>
      <c r="E953">
        <v>4568</v>
      </c>
      <c r="F953">
        <v>33903</v>
      </c>
    </row>
    <row r="954" spans="1:6" x14ac:dyDescent="0.3">
      <c r="A954" s="1">
        <v>45390</v>
      </c>
      <c r="B954" t="s">
        <v>9</v>
      </c>
      <c r="C954">
        <v>7043</v>
      </c>
      <c r="D954">
        <v>5316</v>
      </c>
      <c r="E954">
        <v>7718</v>
      </c>
      <c r="F954">
        <v>20077</v>
      </c>
    </row>
    <row r="955" spans="1:6" x14ac:dyDescent="0.3">
      <c r="A955" s="1">
        <v>45645</v>
      </c>
      <c r="B955" t="s">
        <v>22</v>
      </c>
      <c r="C955">
        <v>11873</v>
      </c>
      <c r="D955">
        <v>5911</v>
      </c>
      <c r="E955">
        <v>2760</v>
      </c>
      <c r="F955">
        <v>20544</v>
      </c>
    </row>
    <row r="956" spans="1:6" x14ac:dyDescent="0.3">
      <c r="A956" s="1">
        <v>45649</v>
      </c>
      <c r="B956" t="s">
        <v>22</v>
      </c>
      <c r="C956">
        <v>5125</v>
      </c>
      <c r="D956">
        <v>7757</v>
      </c>
      <c r="E956">
        <v>5301</v>
      </c>
      <c r="F956">
        <v>18183</v>
      </c>
    </row>
    <row r="957" spans="1:6" x14ac:dyDescent="0.3">
      <c r="A957" s="1">
        <v>45334</v>
      </c>
      <c r="B957" t="s">
        <v>35</v>
      </c>
      <c r="C957">
        <v>15996</v>
      </c>
      <c r="D957">
        <v>2072</v>
      </c>
      <c r="E957">
        <v>7697</v>
      </c>
      <c r="F957">
        <v>25765</v>
      </c>
    </row>
    <row r="958" spans="1:6" x14ac:dyDescent="0.3">
      <c r="A958" s="1">
        <v>45420</v>
      </c>
      <c r="B958" t="s">
        <v>9</v>
      </c>
      <c r="C958">
        <v>9058</v>
      </c>
      <c r="D958">
        <v>1274</v>
      </c>
      <c r="E958">
        <v>1049</v>
      </c>
      <c r="F958">
        <v>11381</v>
      </c>
    </row>
    <row r="959" spans="1:6" x14ac:dyDescent="0.3">
      <c r="A959" s="1">
        <v>45462</v>
      </c>
      <c r="B959" t="s">
        <v>13</v>
      </c>
      <c r="C959">
        <v>11556</v>
      </c>
      <c r="D959">
        <v>8937</v>
      </c>
      <c r="E959">
        <v>5727</v>
      </c>
      <c r="F959">
        <v>26220</v>
      </c>
    </row>
    <row r="960" spans="1:6" x14ac:dyDescent="0.3">
      <c r="A960" s="1">
        <v>45350</v>
      </c>
      <c r="B960" t="s">
        <v>22</v>
      </c>
      <c r="C960">
        <v>6411</v>
      </c>
      <c r="D960">
        <v>1418</v>
      </c>
      <c r="E960">
        <v>6872</v>
      </c>
      <c r="F960">
        <v>14701</v>
      </c>
    </row>
    <row r="961" spans="1:6" x14ac:dyDescent="0.3">
      <c r="A961" s="1">
        <v>45439</v>
      </c>
      <c r="B961" t="s">
        <v>26</v>
      </c>
      <c r="C961">
        <v>9967</v>
      </c>
      <c r="D961">
        <v>4227</v>
      </c>
      <c r="E961">
        <v>4979</v>
      </c>
      <c r="F961">
        <v>19173</v>
      </c>
    </row>
    <row r="962" spans="1:6" x14ac:dyDescent="0.3">
      <c r="A962" s="1">
        <v>45405</v>
      </c>
      <c r="B962" t="s">
        <v>22</v>
      </c>
      <c r="C962">
        <v>8497</v>
      </c>
      <c r="D962">
        <v>5186</v>
      </c>
      <c r="E962">
        <v>3998</v>
      </c>
      <c r="F962">
        <v>17681</v>
      </c>
    </row>
    <row r="963" spans="1:6" x14ac:dyDescent="0.3">
      <c r="A963" s="1">
        <v>45311</v>
      </c>
      <c r="B963" t="s">
        <v>9</v>
      </c>
      <c r="C963">
        <v>13466</v>
      </c>
      <c r="D963">
        <v>3125</v>
      </c>
      <c r="E963">
        <v>5360</v>
      </c>
      <c r="F963">
        <v>21951</v>
      </c>
    </row>
    <row r="964" spans="1:6" x14ac:dyDescent="0.3">
      <c r="A964" s="1">
        <v>45516</v>
      </c>
      <c r="B964" t="s">
        <v>13</v>
      </c>
      <c r="C964">
        <v>7716</v>
      </c>
      <c r="D964">
        <v>8498</v>
      </c>
      <c r="E964">
        <v>5169</v>
      </c>
      <c r="F964">
        <v>21383</v>
      </c>
    </row>
    <row r="965" spans="1:6" x14ac:dyDescent="0.3">
      <c r="A965" s="1">
        <v>45428</v>
      </c>
      <c r="B965" t="s">
        <v>9</v>
      </c>
      <c r="C965">
        <v>18529</v>
      </c>
      <c r="D965">
        <v>7268</v>
      </c>
      <c r="E965">
        <v>4452</v>
      </c>
      <c r="F965">
        <v>30249</v>
      </c>
    </row>
    <row r="966" spans="1:6" x14ac:dyDescent="0.3">
      <c r="A966" s="1">
        <v>45623</v>
      </c>
      <c r="B966" t="s">
        <v>9</v>
      </c>
      <c r="C966">
        <v>8429</v>
      </c>
      <c r="D966">
        <v>9327</v>
      </c>
      <c r="E966">
        <v>2119</v>
      </c>
      <c r="F966">
        <v>19875</v>
      </c>
    </row>
    <row r="967" spans="1:6" x14ac:dyDescent="0.3">
      <c r="A967" s="1">
        <v>45563</v>
      </c>
      <c r="B967" t="s">
        <v>35</v>
      </c>
      <c r="C967">
        <v>16069</v>
      </c>
      <c r="D967">
        <v>6846</v>
      </c>
      <c r="E967">
        <v>1868</v>
      </c>
      <c r="F967">
        <v>24783</v>
      </c>
    </row>
    <row r="968" spans="1:6" x14ac:dyDescent="0.3">
      <c r="A968" s="1">
        <v>45332</v>
      </c>
      <c r="B968" t="s">
        <v>13</v>
      </c>
      <c r="C968">
        <v>16336</v>
      </c>
      <c r="D968">
        <v>9207</v>
      </c>
      <c r="E968">
        <v>4221</v>
      </c>
      <c r="F968">
        <v>29764</v>
      </c>
    </row>
    <row r="969" spans="1:6" x14ac:dyDescent="0.3">
      <c r="A969" s="1">
        <v>45499</v>
      </c>
      <c r="B969" t="s">
        <v>26</v>
      </c>
      <c r="C969">
        <v>18764</v>
      </c>
      <c r="D969">
        <v>3262</v>
      </c>
      <c r="E969">
        <v>3269</v>
      </c>
      <c r="F969">
        <v>25295</v>
      </c>
    </row>
    <row r="970" spans="1:6" x14ac:dyDescent="0.3">
      <c r="A970" s="1">
        <v>45631</v>
      </c>
      <c r="B970" t="s">
        <v>13</v>
      </c>
      <c r="C970">
        <v>8338</v>
      </c>
      <c r="D970">
        <v>8022</v>
      </c>
      <c r="E970">
        <v>7251</v>
      </c>
      <c r="F970">
        <v>23611</v>
      </c>
    </row>
    <row r="971" spans="1:6" x14ac:dyDescent="0.3">
      <c r="A971" s="1">
        <v>45394</v>
      </c>
      <c r="B971" t="s">
        <v>35</v>
      </c>
      <c r="C971">
        <v>8264</v>
      </c>
      <c r="D971">
        <v>7986</v>
      </c>
      <c r="E971">
        <v>3690</v>
      </c>
      <c r="F971">
        <v>19940</v>
      </c>
    </row>
    <row r="972" spans="1:6" x14ac:dyDescent="0.3">
      <c r="A972" s="1">
        <v>45357</v>
      </c>
      <c r="B972" t="s">
        <v>26</v>
      </c>
      <c r="C972">
        <v>4298</v>
      </c>
      <c r="D972">
        <v>1043</v>
      </c>
      <c r="E972">
        <v>1778</v>
      </c>
      <c r="F972">
        <v>7119</v>
      </c>
    </row>
    <row r="973" spans="1:6" x14ac:dyDescent="0.3">
      <c r="A973" s="1">
        <v>45295</v>
      </c>
      <c r="B973" t="s">
        <v>26</v>
      </c>
      <c r="C973">
        <v>6310</v>
      </c>
      <c r="D973">
        <v>2599</v>
      </c>
      <c r="E973">
        <v>5574</v>
      </c>
      <c r="F973">
        <v>14483</v>
      </c>
    </row>
    <row r="974" spans="1:6" x14ac:dyDescent="0.3">
      <c r="A974" s="1">
        <v>45293</v>
      </c>
      <c r="B974" t="s">
        <v>22</v>
      </c>
      <c r="C974">
        <v>14376</v>
      </c>
      <c r="D974">
        <v>7130</v>
      </c>
      <c r="E974">
        <v>4013</v>
      </c>
      <c r="F974">
        <v>25519</v>
      </c>
    </row>
    <row r="975" spans="1:6" x14ac:dyDescent="0.3">
      <c r="A975" s="1">
        <v>45413</v>
      </c>
      <c r="B975" t="s">
        <v>13</v>
      </c>
      <c r="C975">
        <v>14094</v>
      </c>
      <c r="D975">
        <v>3892</v>
      </c>
      <c r="E975">
        <v>2418</v>
      </c>
      <c r="F975">
        <v>20404</v>
      </c>
    </row>
    <row r="976" spans="1:6" x14ac:dyDescent="0.3">
      <c r="A976" s="1">
        <v>45608</v>
      </c>
      <c r="B976" t="s">
        <v>13</v>
      </c>
      <c r="C976">
        <v>6097</v>
      </c>
      <c r="D976">
        <v>9204</v>
      </c>
      <c r="E976">
        <v>6974</v>
      </c>
      <c r="F976">
        <v>22275</v>
      </c>
    </row>
    <row r="977" spans="1:6" x14ac:dyDescent="0.3">
      <c r="A977" s="1">
        <v>45380</v>
      </c>
      <c r="B977" t="s">
        <v>22</v>
      </c>
      <c r="C977">
        <v>13457</v>
      </c>
      <c r="D977">
        <v>2973</v>
      </c>
      <c r="E977">
        <v>6500</v>
      </c>
      <c r="F977">
        <v>22930</v>
      </c>
    </row>
    <row r="978" spans="1:6" x14ac:dyDescent="0.3">
      <c r="A978" s="1">
        <v>45409</v>
      </c>
      <c r="B978" t="s">
        <v>9</v>
      </c>
      <c r="C978">
        <v>10592</v>
      </c>
      <c r="D978">
        <v>9255</v>
      </c>
      <c r="E978">
        <v>4771</v>
      </c>
      <c r="F978">
        <v>24618</v>
      </c>
    </row>
    <row r="979" spans="1:6" x14ac:dyDescent="0.3">
      <c r="A979" s="1">
        <v>45591</v>
      </c>
      <c r="B979" t="s">
        <v>35</v>
      </c>
      <c r="C979">
        <v>13493</v>
      </c>
      <c r="D979">
        <v>2164</v>
      </c>
      <c r="E979">
        <v>3775</v>
      </c>
      <c r="F979">
        <v>19432</v>
      </c>
    </row>
    <row r="980" spans="1:6" x14ac:dyDescent="0.3">
      <c r="A980" s="1">
        <v>45469</v>
      </c>
      <c r="B980" t="s">
        <v>35</v>
      </c>
      <c r="C980">
        <v>16252</v>
      </c>
      <c r="D980">
        <v>6873</v>
      </c>
      <c r="E980">
        <v>4001</v>
      </c>
      <c r="F980">
        <v>27126</v>
      </c>
    </row>
    <row r="981" spans="1:6" x14ac:dyDescent="0.3">
      <c r="A981" s="1">
        <v>45555</v>
      </c>
      <c r="B981" t="s">
        <v>26</v>
      </c>
      <c r="C981">
        <v>2124</v>
      </c>
      <c r="D981">
        <v>3098</v>
      </c>
      <c r="E981">
        <v>7417</v>
      </c>
      <c r="F981">
        <v>12639</v>
      </c>
    </row>
    <row r="982" spans="1:6" x14ac:dyDescent="0.3">
      <c r="A982" s="1">
        <v>45364</v>
      </c>
      <c r="B982" t="s">
        <v>22</v>
      </c>
      <c r="C982">
        <v>7380</v>
      </c>
      <c r="D982">
        <v>1359</v>
      </c>
      <c r="E982">
        <v>6638</v>
      </c>
      <c r="F982">
        <v>15377</v>
      </c>
    </row>
    <row r="983" spans="1:6" x14ac:dyDescent="0.3">
      <c r="A983" s="1">
        <v>45359</v>
      </c>
      <c r="B983" t="s">
        <v>13</v>
      </c>
      <c r="C983">
        <v>12580</v>
      </c>
      <c r="D983">
        <v>9604</v>
      </c>
      <c r="E983">
        <v>7512</v>
      </c>
      <c r="F983">
        <v>29696</v>
      </c>
    </row>
    <row r="984" spans="1:6" x14ac:dyDescent="0.3">
      <c r="A984" s="1">
        <v>45390</v>
      </c>
      <c r="B984" t="s">
        <v>35</v>
      </c>
      <c r="C984">
        <v>9428</v>
      </c>
      <c r="D984">
        <v>4194</v>
      </c>
      <c r="E984">
        <v>4155</v>
      </c>
      <c r="F984">
        <v>17777</v>
      </c>
    </row>
    <row r="985" spans="1:6" x14ac:dyDescent="0.3">
      <c r="A985" s="1">
        <v>45380</v>
      </c>
      <c r="B985" t="s">
        <v>13</v>
      </c>
      <c r="C985">
        <v>3864</v>
      </c>
      <c r="D985">
        <v>2978</v>
      </c>
      <c r="E985">
        <v>1969</v>
      </c>
      <c r="F985">
        <v>8811</v>
      </c>
    </row>
    <row r="986" spans="1:6" x14ac:dyDescent="0.3">
      <c r="A986" s="1">
        <v>45315</v>
      </c>
      <c r="B986" t="s">
        <v>35</v>
      </c>
      <c r="C986">
        <v>18246</v>
      </c>
      <c r="D986">
        <v>9675</v>
      </c>
      <c r="E986">
        <v>3014</v>
      </c>
      <c r="F986">
        <v>30935</v>
      </c>
    </row>
    <row r="987" spans="1:6" x14ac:dyDescent="0.3">
      <c r="A987" s="1">
        <v>45518</v>
      </c>
      <c r="B987" t="s">
        <v>35</v>
      </c>
      <c r="C987">
        <v>9522</v>
      </c>
      <c r="D987">
        <v>8919</v>
      </c>
      <c r="E987">
        <v>5178</v>
      </c>
      <c r="F987">
        <v>23619</v>
      </c>
    </row>
    <row r="988" spans="1:6" x14ac:dyDescent="0.3">
      <c r="A988" s="1">
        <v>45359</v>
      </c>
      <c r="B988" t="s">
        <v>26</v>
      </c>
      <c r="C988">
        <v>3421</v>
      </c>
      <c r="D988">
        <v>4638</v>
      </c>
      <c r="E988">
        <v>6455</v>
      </c>
      <c r="F988">
        <v>14514</v>
      </c>
    </row>
    <row r="989" spans="1:6" x14ac:dyDescent="0.3">
      <c r="A989" s="1">
        <v>45476</v>
      </c>
      <c r="B989" t="s">
        <v>13</v>
      </c>
      <c r="C989">
        <v>13217</v>
      </c>
      <c r="D989">
        <v>2446</v>
      </c>
      <c r="E989">
        <v>5041</v>
      </c>
      <c r="F989">
        <v>20704</v>
      </c>
    </row>
    <row r="990" spans="1:6" x14ac:dyDescent="0.3">
      <c r="A990" s="1">
        <v>45353</v>
      </c>
      <c r="B990" t="s">
        <v>22</v>
      </c>
      <c r="C990">
        <v>10409</v>
      </c>
      <c r="D990">
        <v>7767</v>
      </c>
      <c r="E990">
        <v>2308</v>
      </c>
      <c r="F990">
        <v>20484</v>
      </c>
    </row>
    <row r="991" spans="1:6" x14ac:dyDescent="0.3">
      <c r="A991" s="1">
        <v>45438</v>
      </c>
      <c r="B991" t="s">
        <v>26</v>
      </c>
      <c r="C991">
        <v>3185</v>
      </c>
      <c r="D991">
        <v>3860</v>
      </c>
      <c r="E991">
        <v>6935</v>
      </c>
      <c r="F991">
        <v>13980</v>
      </c>
    </row>
    <row r="992" spans="1:6" x14ac:dyDescent="0.3">
      <c r="A992" s="1">
        <v>45400</v>
      </c>
      <c r="B992" t="s">
        <v>13</v>
      </c>
      <c r="C992">
        <v>12782</v>
      </c>
      <c r="D992">
        <v>4896</v>
      </c>
      <c r="E992">
        <v>2377</v>
      </c>
      <c r="F992">
        <v>20055</v>
      </c>
    </row>
    <row r="993" spans="1:6" x14ac:dyDescent="0.3">
      <c r="A993" s="1">
        <v>45577</v>
      </c>
      <c r="B993" t="s">
        <v>26</v>
      </c>
      <c r="C993">
        <v>19374</v>
      </c>
      <c r="D993">
        <v>6983</v>
      </c>
      <c r="E993">
        <v>4616</v>
      </c>
      <c r="F993">
        <v>30973</v>
      </c>
    </row>
    <row r="994" spans="1:6" x14ac:dyDescent="0.3">
      <c r="A994" s="1">
        <v>45368</v>
      </c>
      <c r="B994" t="s">
        <v>26</v>
      </c>
      <c r="C994">
        <v>17031</v>
      </c>
      <c r="D994">
        <v>1250</v>
      </c>
      <c r="E994">
        <v>1684</v>
      </c>
      <c r="F994">
        <v>19965</v>
      </c>
    </row>
    <row r="995" spans="1:6" x14ac:dyDescent="0.3">
      <c r="A995" s="1">
        <v>45369</v>
      </c>
      <c r="B995" t="s">
        <v>35</v>
      </c>
      <c r="C995">
        <v>5376</v>
      </c>
      <c r="D995">
        <v>6940</v>
      </c>
      <c r="E995">
        <v>2436</v>
      </c>
      <c r="F995">
        <v>14752</v>
      </c>
    </row>
    <row r="996" spans="1:6" x14ac:dyDescent="0.3">
      <c r="A996" s="1">
        <v>45495</v>
      </c>
      <c r="B996" t="s">
        <v>9</v>
      </c>
      <c r="C996">
        <v>16349</v>
      </c>
      <c r="D996">
        <v>4122</v>
      </c>
      <c r="E996">
        <v>2371</v>
      </c>
      <c r="F996">
        <v>22842</v>
      </c>
    </row>
    <row r="997" spans="1:6" x14ac:dyDescent="0.3">
      <c r="A997" s="1">
        <v>45317</v>
      </c>
      <c r="B997" t="s">
        <v>9</v>
      </c>
      <c r="C997">
        <v>14825</v>
      </c>
      <c r="D997">
        <v>7135</v>
      </c>
      <c r="E997">
        <v>1777</v>
      </c>
      <c r="F997">
        <v>23737</v>
      </c>
    </row>
    <row r="998" spans="1:6" x14ac:dyDescent="0.3">
      <c r="A998" s="1">
        <v>45370</v>
      </c>
      <c r="B998" t="s">
        <v>13</v>
      </c>
      <c r="C998">
        <v>3204</v>
      </c>
      <c r="D998">
        <v>7788</v>
      </c>
      <c r="E998">
        <v>6562</v>
      </c>
      <c r="F998">
        <v>17554</v>
      </c>
    </row>
    <row r="999" spans="1:6" x14ac:dyDescent="0.3">
      <c r="A999" s="1">
        <v>45652</v>
      </c>
      <c r="B999" t="s">
        <v>9</v>
      </c>
      <c r="C999">
        <v>12584</v>
      </c>
      <c r="D999">
        <v>7087</v>
      </c>
      <c r="E999">
        <v>7532</v>
      </c>
      <c r="F999">
        <v>27203</v>
      </c>
    </row>
    <row r="1000" spans="1:6" x14ac:dyDescent="0.3">
      <c r="A1000" s="1">
        <v>45608</v>
      </c>
      <c r="B1000" t="s">
        <v>26</v>
      </c>
      <c r="C1000">
        <v>18448</v>
      </c>
      <c r="D1000">
        <v>8202</v>
      </c>
      <c r="E1000">
        <v>4262</v>
      </c>
      <c r="F1000">
        <v>30912</v>
      </c>
    </row>
    <row r="1001" spans="1:6" x14ac:dyDescent="0.3">
      <c r="A1001" s="1">
        <v>45636</v>
      </c>
      <c r="B1001" t="s">
        <v>22</v>
      </c>
      <c r="C1001">
        <v>6616</v>
      </c>
      <c r="D1001">
        <v>8240</v>
      </c>
      <c r="E1001">
        <v>5261</v>
      </c>
      <c r="F1001">
        <v>20117</v>
      </c>
    </row>
    <row r="1002" spans="1:6" x14ac:dyDescent="0.3">
      <c r="A1002" s="1">
        <v>45630</v>
      </c>
      <c r="B1002" t="s">
        <v>22</v>
      </c>
      <c r="C1002">
        <v>15432</v>
      </c>
      <c r="D1002">
        <v>9863</v>
      </c>
      <c r="E1002">
        <v>3021</v>
      </c>
      <c r="F1002">
        <v>28316</v>
      </c>
    </row>
    <row r="1003" spans="1:6" x14ac:dyDescent="0.3">
      <c r="A1003" s="1">
        <v>45652</v>
      </c>
      <c r="B1003" t="s">
        <v>35</v>
      </c>
      <c r="C1003">
        <v>3089</v>
      </c>
      <c r="D1003">
        <v>9303</v>
      </c>
      <c r="E1003">
        <v>1867</v>
      </c>
      <c r="F1003">
        <v>14259</v>
      </c>
    </row>
    <row r="1004" spans="1:6" x14ac:dyDescent="0.3">
      <c r="A1004" s="1">
        <v>45640</v>
      </c>
      <c r="B1004" t="s">
        <v>9</v>
      </c>
      <c r="C1004">
        <v>15081</v>
      </c>
      <c r="D1004">
        <v>1324</v>
      </c>
      <c r="E1004">
        <v>7540</v>
      </c>
      <c r="F1004">
        <v>23945</v>
      </c>
    </row>
    <row r="1005" spans="1:6" x14ac:dyDescent="0.3">
      <c r="A1005" s="1">
        <v>45331</v>
      </c>
      <c r="B1005" t="s">
        <v>22</v>
      </c>
      <c r="C1005">
        <v>5591</v>
      </c>
      <c r="D1005">
        <v>2138</v>
      </c>
      <c r="E1005">
        <v>4922</v>
      </c>
      <c r="F1005">
        <v>12651</v>
      </c>
    </row>
    <row r="1006" spans="1:6" x14ac:dyDescent="0.3">
      <c r="A1006" s="1">
        <v>45535</v>
      </c>
      <c r="B1006" t="s">
        <v>9</v>
      </c>
      <c r="C1006">
        <v>14938</v>
      </c>
      <c r="D1006">
        <v>3907</v>
      </c>
      <c r="E1006">
        <v>4844</v>
      </c>
      <c r="F1006">
        <v>23689</v>
      </c>
    </row>
    <row r="1007" spans="1:6" x14ac:dyDescent="0.3">
      <c r="A1007" s="1">
        <v>45500</v>
      </c>
      <c r="B1007" t="s">
        <v>35</v>
      </c>
      <c r="C1007">
        <v>7241</v>
      </c>
      <c r="D1007">
        <v>1149</v>
      </c>
      <c r="E1007">
        <v>3333</v>
      </c>
      <c r="F1007">
        <v>11723</v>
      </c>
    </row>
    <row r="1008" spans="1:6" x14ac:dyDescent="0.3">
      <c r="A1008" s="1">
        <v>45468</v>
      </c>
      <c r="B1008" t="s">
        <v>26</v>
      </c>
      <c r="C1008">
        <v>12411</v>
      </c>
      <c r="D1008">
        <v>3488</v>
      </c>
      <c r="E1008">
        <v>2102</v>
      </c>
      <c r="F1008">
        <v>18001</v>
      </c>
    </row>
    <row r="1009" spans="1:6" x14ac:dyDescent="0.3">
      <c r="A1009" s="1">
        <v>45625</v>
      </c>
      <c r="B1009" t="s">
        <v>13</v>
      </c>
      <c r="C1009">
        <v>2728</v>
      </c>
      <c r="D1009">
        <v>3875</v>
      </c>
      <c r="E1009">
        <v>1153</v>
      </c>
      <c r="F1009">
        <v>7756</v>
      </c>
    </row>
    <row r="1010" spans="1:6" x14ac:dyDescent="0.3">
      <c r="A1010" s="1">
        <v>45558</v>
      </c>
      <c r="B1010" t="s">
        <v>9</v>
      </c>
      <c r="C1010">
        <v>7477</v>
      </c>
      <c r="D1010">
        <v>6330</v>
      </c>
      <c r="E1010">
        <v>2358</v>
      </c>
      <c r="F1010">
        <v>16165</v>
      </c>
    </row>
    <row r="1011" spans="1:6" x14ac:dyDescent="0.3">
      <c r="A1011" s="1">
        <v>45426</v>
      </c>
      <c r="B1011" t="s">
        <v>9</v>
      </c>
      <c r="C1011">
        <v>2222</v>
      </c>
      <c r="D1011">
        <v>8294</v>
      </c>
      <c r="E1011">
        <v>7407</v>
      </c>
      <c r="F1011">
        <v>17923</v>
      </c>
    </row>
    <row r="1012" spans="1:6" x14ac:dyDescent="0.3">
      <c r="A1012" s="1">
        <v>45492</v>
      </c>
      <c r="B1012" t="s">
        <v>13</v>
      </c>
      <c r="C1012">
        <v>8823</v>
      </c>
      <c r="D1012">
        <v>7261</v>
      </c>
      <c r="E1012">
        <v>5657</v>
      </c>
      <c r="F1012">
        <v>21741</v>
      </c>
    </row>
    <row r="1013" spans="1:6" x14ac:dyDescent="0.3">
      <c r="A1013" s="1">
        <v>45606</v>
      </c>
      <c r="B1013" t="s">
        <v>35</v>
      </c>
      <c r="C1013">
        <v>3825</v>
      </c>
      <c r="D1013">
        <v>6272</v>
      </c>
      <c r="E1013">
        <v>4328</v>
      </c>
      <c r="F1013">
        <v>14425</v>
      </c>
    </row>
    <row r="1014" spans="1:6" x14ac:dyDescent="0.3">
      <c r="A1014" s="1">
        <v>45557</v>
      </c>
      <c r="B1014" t="s">
        <v>26</v>
      </c>
      <c r="C1014">
        <v>6892</v>
      </c>
      <c r="D1014">
        <v>3332</v>
      </c>
      <c r="E1014">
        <v>6665</v>
      </c>
      <c r="F1014">
        <v>16889</v>
      </c>
    </row>
    <row r="1015" spans="1:6" x14ac:dyDescent="0.3">
      <c r="A1015" s="1">
        <v>45511</v>
      </c>
      <c r="B1015" t="s">
        <v>9</v>
      </c>
      <c r="C1015">
        <v>3800</v>
      </c>
      <c r="D1015">
        <v>6696</v>
      </c>
      <c r="E1015">
        <v>1976</v>
      </c>
      <c r="F1015">
        <v>12472</v>
      </c>
    </row>
    <row r="1016" spans="1:6" x14ac:dyDescent="0.3">
      <c r="A1016" s="1">
        <v>45428</v>
      </c>
      <c r="B1016" t="s">
        <v>9</v>
      </c>
      <c r="C1016">
        <v>10665</v>
      </c>
      <c r="D1016">
        <v>6997</v>
      </c>
      <c r="E1016">
        <v>4187</v>
      </c>
      <c r="F1016">
        <v>21849</v>
      </c>
    </row>
    <row r="1017" spans="1:6" x14ac:dyDescent="0.3">
      <c r="A1017" s="1">
        <v>45615</v>
      </c>
      <c r="B1017" t="s">
        <v>35</v>
      </c>
      <c r="C1017">
        <v>7209</v>
      </c>
      <c r="D1017">
        <v>7620</v>
      </c>
      <c r="E1017">
        <v>3862</v>
      </c>
      <c r="F1017">
        <v>18691</v>
      </c>
    </row>
    <row r="1018" spans="1:6" x14ac:dyDescent="0.3">
      <c r="A1018" s="1">
        <v>45303</v>
      </c>
      <c r="B1018" t="s">
        <v>9</v>
      </c>
      <c r="C1018">
        <v>13914</v>
      </c>
      <c r="D1018">
        <v>3343</v>
      </c>
      <c r="E1018">
        <v>2284</v>
      </c>
      <c r="F1018">
        <v>19541</v>
      </c>
    </row>
    <row r="1019" spans="1:6" x14ac:dyDescent="0.3">
      <c r="A1019" s="1">
        <v>45393</v>
      </c>
      <c r="B1019" t="s">
        <v>35</v>
      </c>
      <c r="C1019">
        <v>19260</v>
      </c>
      <c r="D1019">
        <v>6796</v>
      </c>
      <c r="E1019">
        <v>5538</v>
      </c>
      <c r="F1019">
        <v>31594</v>
      </c>
    </row>
    <row r="1020" spans="1:6" x14ac:dyDescent="0.3">
      <c r="A1020" s="1">
        <v>45488</v>
      </c>
      <c r="B1020" t="s">
        <v>13</v>
      </c>
      <c r="C1020">
        <v>15818</v>
      </c>
      <c r="D1020">
        <v>8304</v>
      </c>
      <c r="E1020">
        <v>7916</v>
      </c>
      <c r="F1020">
        <v>32038</v>
      </c>
    </row>
    <row r="1021" spans="1:6" x14ac:dyDescent="0.3">
      <c r="A1021" s="1">
        <v>45343</v>
      </c>
      <c r="B1021" t="s">
        <v>13</v>
      </c>
      <c r="C1021">
        <v>17825</v>
      </c>
      <c r="D1021">
        <v>3273</v>
      </c>
      <c r="E1021">
        <v>7304</v>
      </c>
      <c r="F1021">
        <v>28402</v>
      </c>
    </row>
    <row r="1022" spans="1:6" x14ac:dyDescent="0.3">
      <c r="A1022" s="1">
        <v>45638</v>
      </c>
      <c r="B1022" t="s">
        <v>22</v>
      </c>
      <c r="C1022">
        <v>18089</v>
      </c>
      <c r="D1022">
        <v>4996</v>
      </c>
      <c r="E1022">
        <v>5402</v>
      </c>
      <c r="F1022">
        <v>28487</v>
      </c>
    </row>
    <row r="1023" spans="1:6" x14ac:dyDescent="0.3">
      <c r="A1023" s="1">
        <v>45541</v>
      </c>
      <c r="B1023" t="s">
        <v>35</v>
      </c>
      <c r="C1023">
        <v>17061</v>
      </c>
      <c r="D1023">
        <v>2971</v>
      </c>
      <c r="E1023">
        <v>6711</v>
      </c>
      <c r="F1023">
        <v>26743</v>
      </c>
    </row>
    <row r="1024" spans="1:6" x14ac:dyDescent="0.3">
      <c r="A1024" s="1">
        <v>45484</v>
      </c>
      <c r="B1024" t="s">
        <v>35</v>
      </c>
      <c r="C1024">
        <v>14696</v>
      </c>
      <c r="D1024">
        <v>2374</v>
      </c>
      <c r="E1024">
        <v>4776</v>
      </c>
      <c r="F1024">
        <v>21846</v>
      </c>
    </row>
    <row r="1025" spans="1:6" x14ac:dyDescent="0.3">
      <c r="A1025" s="1">
        <v>45413</v>
      </c>
      <c r="B1025" t="s">
        <v>22</v>
      </c>
      <c r="C1025">
        <v>2965</v>
      </c>
      <c r="D1025">
        <v>4847</v>
      </c>
      <c r="E1025">
        <v>746</v>
      </c>
      <c r="F1025">
        <v>8558</v>
      </c>
    </row>
    <row r="1026" spans="1:6" x14ac:dyDescent="0.3">
      <c r="A1026" s="1">
        <v>45578</v>
      </c>
      <c r="B1026" t="s">
        <v>22</v>
      </c>
      <c r="C1026">
        <v>3988</v>
      </c>
      <c r="D1026">
        <v>4499</v>
      </c>
      <c r="E1026">
        <v>2348</v>
      </c>
      <c r="F1026">
        <v>10835</v>
      </c>
    </row>
    <row r="1027" spans="1:6" x14ac:dyDescent="0.3">
      <c r="A1027" s="1">
        <v>45394</v>
      </c>
      <c r="B1027" t="s">
        <v>26</v>
      </c>
      <c r="C1027">
        <v>18676</v>
      </c>
      <c r="D1027">
        <v>3769</v>
      </c>
      <c r="E1027">
        <v>2506</v>
      </c>
      <c r="F1027">
        <v>24951</v>
      </c>
    </row>
    <row r="1028" spans="1:6" x14ac:dyDescent="0.3">
      <c r="A1028" s="1">
        <v>45616</v>
      </c>
      <c r="B1028" t="s">
        <v>35</v>
      </c>
      <c r="C1028">
        <v>17574</v>
      </c>
      <c r="D1028">
        <v>2507</v>
      </c>
      <c r="E1028">
        <v>4518</v>
      </c>
      <c r="F1028">
        <v>24599</v>
      </c>
    </row>
    <row r="1029" spans="1:6" x14ac:dyDescent="0.3">
      <c r="A1029" s="1">
        <v>45499</v>
      </c>
      <c r="B1029" t="s">
        <v>22</v>
      </c>
      <c r="C1029">
        <v>10660</v>
      </c>
      <c r="D1029">
        <v>7670</v>
      </c>
      <c r="E1029">
        <v>7129</v>
      </c>
      <c r="F1029">
        <v>25459</v>
      </c>
    </row>
    <row r="1030" spans="1:6" x14ac:dyDescent="0.3">
      <c r="A1030" s="1">
        <v>45400</v>
      </c>
      <c r="B1030" t="s">
        <v>35</v>
      </c>
      <c r="C1030">
        <v>7839</v>
      </c>
      <c r="D1030">
        <v>1224</v>
      </c>
      <c r="E1030">
        <v>3170</v>
      </c>
      <c r="F1030">
        <v>12233</v>
      </c>
    </row>
    <row r="1031" spans="1:6" x14ac:dyDescent="0.3">
      <c r="A1031" s="1">
        <v>45307</v>
      </c>
      <c r="B1031" t="s">
        <v>26</v>
      </c>
      <c r="C1031">
        <v>18434</v>
      </c>
      <c r="D1031">
        <v>4102</v>
      </c>
      <c r="E1031">
        <v>6641</v>
      </c>
      <c r="F1031">
        <v>29177</v>
      </c>
    </row>
    <row r="1032" spans="1:6" x14ac:dyDescent="0.3">
      <c r="A1032" s="1">
        <v>45430</v>
      </c>
      <c r="B1032" t="s">
        <v>35</v>
      </c>
      <c r="C1032">
        <v>18154</v>
      </c>
      <c r="D1032">
        <v>5032</v>
      </c>
      <c r="E1032">
        <v>5580</v>
      </c>
      <c r="F1032">
        <v>28766</v>
      </c>
    </row>
    <row r="1033" spans="1:6" x14ac:dyDescent="0.3">
      <c r="A1033" s="1">
        <v>45635</v>
      </c>
      <c r="B1033" t="s">
        <v>26</v>
      </c>
      <c r="C1033">
        <v>12163</v>
      </c>
      <c r="D1033">
        <v>7092</v>
      </c>
      <c r="E1033">
        <v>4334</v>
      </c>
      <c r="F1033">
        <v>23589</v>
      </c>
    </row>
    <row r="1034" spans="1:6" x14ac:dyDescent="0.3">
      <c r="A1034" s="1">
        <v>45495</v>
      </c>
      <c r="B1034" t="s">
        <v>13</v>
      </c>
      <c r="C1034">
        <v>19561</v>
      </c>
      <c r="D1034">
        <v>1262</v>
      </c>
      <c r="E1034">
        <v>4532</v>
      </c>
      <c r="F1034">
        <v>25355</v>
      </c>
    </row>
    <row r="1035" spans="1:6" x14ac:dyDescent="0.3">
      <c r="A1035" s="1">
        <v>45435</v>
      </c>
      <c r="B1035" t="s">
        <v>26</v>
      </c>
      <c r="C1035">
        <v>9041</v>
      </c>
      <c r="D1035">
        <v>6859</v>
      </c>
      <c r="E1035">
        <v>4870</v>
      </c>
      <c r="F1035">
        <v>20770</v>
      </c>
    </row>
    <row r="1036" spans="1:6" x14ac:dyDescent="0.3">
      <c r="A1036" s="1">
        <v>45386</v>
      </c>
      <c r="B1036" t="s">
        <v>35</v>
      </c>
      <c r="C1036">
        <v>5470</v>
      </c>
      <c r="D1036">
        <v>1128</v>
      </c>
      <c r="E1036">
        <v>3862</v>
      </c>
      <c r="F1036">
        <v>10460</v>
      </c>
    </row>
    <row r="1037" spans="1:6" x14ac:dyDescent="0.3">
      <c r="A1037" s="1">
        <v>45454</v>
      </c>
      <c r="B1037" t="s">
        <v>22</v>
      </c>
      <c r="C1037">
        <v>8195</v>
      </c>
      <c r="D1037">
        <v>6113</v>
      </c>
      <c r="E1037">
        <v>7090</v>
      </c>
      <c r="F1037">
        <v>21398</v>
      </c>
    </row>
    <row r="1038" spans="1:6" x14ac:dyDescent="0.3">
      <c r="A1038" s="1">
        <v>45616</v>
      </c>
      <c r="B1038" t="s">
        <v>22</v>
      </c>
      <c r="C1038">
        <v>18907</v>
      </c>
      <c r="D1038">
        <v>5948</v>
      </c>
      <c r="E1038">
        <v>1929</v>
      </c>
      <c r="F1038">
        <v>26784</v>
      </c>
    </row>
    <row r="1039" spans="1:6" x14ac:dyDescent="0.3">
      <c r="A1039" s="1">
        <v>45359</v>
      </c>
      <c r="B1039" t="s">
        <v>22</v>
      </c>
      <c r="C1039">
        <v>9621</v>
      </c>
      <c r="D1039">
        <v>9455</v>
      </c>
      <c r="E1039">
        <v>7342</v>
      </c>
      <c r="F1039">
        <v>26418</v>
      </c>
    </row>
    <row r="1040" spans="1:6" x14ac:dyDescent="0.3">
      <c r="A1040" s="1">
        <v>45616</v>
      </c>
      <c r="B1040" t="s">
        <v>9</v>
      </c>
      <c r="C1040">
        <v>18384</v>
      </c>
      <c r="D1040">
        <v>4162</v>
      </c>
      <c r="E1040">
        <v>1536</v>
      </c>
      <c r="F1040">
        <v>24082</v>
      </c>
    </row>
    <row r="1041" spans="1:6" x14ac:dyDescent="0.3">
      <c r="A1041" s="1">
        <v>45335</v>
      </c>
      <c r="B1041" t="s">
        <v>13</v>
      </c>
      <c r="C1041">
        <v>18334</v>
      </c>
      <c r="D1041">
        <v>1663</v>
      </c>
      <c r="E1041">
        <v>1565</v>
      </c>
      <c r="F1041">
        <v>21562</v>
      </c>
    </row>
    <row r="1042" spans="1:6" x14ac:dyDescent="0.3">
      <c r="A1042" s="1">
        <v>45529</v>
      </c>
      <c r="B1042" t="s">
        <v>26</v>
      </c>
      <c r="C1042">
        <v>17735</v>
      </c>
      <c r="D1042">
        <v>3850</v>
      </c>
      <c r="E1042">
        <v>6348</v>
      </c>
      <c r="F1042">
        <v>27933</v>
      </c>
    </row>
    <row r="1043" spans="1:6" x14ac:dyDescent="0.3">
      <c r="A1043" s="1">
        <v>45370</v>
      </c>
      <c r="B1043" t="s">
        <v>22</v>
      </c>
      <c r="C1043">
        <v>18184</v>
      </c>
      <c r="D1043">
        <v>8174</v>
      </c>
      <c r="E1043">
        <v>1672</v>
      </c>
      <c r="F1043">
        <v>28030</v>
      </c>
    </row>
    <row r="1044" spans="1:6" x14ac:dyDescent="0.3">
      <c r="A1044" s="1">
        <v>45390</v>
      </c>
      <c r="B1044" t="s">
        <v>13</v>
      </c>
      <c r="C1044">
        <v>4834</v>
      </c>
      <c r="D1044">
        <v>9664</v>
      </c>
      <c r="E1044">
        <v>782</v>
      </c>
      <c r="F1044">
        <v>15280</v>
      </c>
    </row>
    <row r="1045" spans="1:6" x14ac:dyDescent="0.3">
      <c r="A1045" s="1">
        <v>45493</v>
      </c>
      <c r="B1045" t="s">
        <v>22</v>
      </c>
      <c r="C1045">
        <v>14578</v>
      </c>
      <c r="D1045">
        <v>3232</v>
      </c>
      <c r="E1045">
        <v>4364</v>
      </c>
      <c r="F1045">
        <v>22174</v>
      </c>
    </row>
    <row r="1046" spans="1:6" x14ac:dyDescent="0.3">
      <c r="A1046" s="1">
        <v>45423</v>
      </c>
      <c r="B1046" t="s">
        <v>13</v>
      </c>
      <c r="C1046">
        <v>7050</v>
      </c>
      <c r="D1046">
        <v>5625</v>
      </c>
      <c r="E1046">
        <v>3179</v>
      </c>
      <c r="F1046">
        <v>15854</v>
      </c>
    </row>
    <row r="1047" spans="1:6" x14ac:dyDescent="0.3">
      <c r="A1047" s="1">
        <v>45366</v>
      </c>
      <c r="B1047" t="s">
        <v>9</v>
      </c>
      <c r="C1047">
        <v>14814</v>
      </c>
      <c r="D1047">
        <v>5739</v>
      </c>
      <c r="E1047">
        <v>4165</v>
      </c>
      <c r="F1047">
        <v>24718</v>
      </c>
    </row>
    <row r="1048" spans="1:6" x14ac:dyDescent="0.3">
      <c r="A1048" s="1">
        <v>45597</v>
      </c>
      <c r="B1048" t="s">
        <v>9</v>
      </c>
      <c r="C1048">
        <v>10801</v>
      </c>
      <c r="D1048">
        <v>4686</v>
      </c>
      <c r="E1048">
        <v>7810</v>
      </c>
      <c r="F1048">
        <v>23297</v>
      </c>
    </row>
    <row r="1049" spans="1:6" x14ac:dyDescent="0.3">
      <c r="A1049" s="1">
        <v>45488</v>
      </c>
      <c r="B1049" t="s">
        <v>22</v>
      </c>
      <c r="C1049">
        <v>15360</v>
      </c>
      <c r="D1049">
        <v>9515</v>
      </c>
      <c r="E1049">
        <v>7083</v>
      </c>
      <c r="F1049">
        <v>31958</v>
      </c>
    </row>
    <row r="1050" spans="1:6" x14ac:dyDescent="0.3">
      <c r="A1050" s="1">
        <v>45398</v>
      </c>
      <c r="B1050" t="s">
        <v>22</v>
      </c>
      <c r="C1050">
        <v>10143</v>
      </c>
      <c r="D1050">
        <v>5225</v>
      </c>
      <c r="E1050">
        <v>5859</v>
      </c>
      <c r="F1050">
        <v>21227</v>
      </c>
    </row>
    <row r="1051" spans="1:6" x14ac:dyDescent="0.3">
      <c r="A1051" s="1">
        <v>45303</v>
      </c>
      <c r="B1051" t="s">
        <v>35</v>
      </c>
      <c r="C1051">
        <v>9030</v>
      </c>
      <c r="D1051">
        <v>6655</v>
      </c>
      <c r="E1051">
        <v>5711</v>
      </c>
      <c r="F1051">
        <v>21396</v>
      </c>
    </row>
    <row r="1052" spans="1:6" x14ac:dyDescent="0.3">
      <c r="A1052" s="1">
        <v>45316</v>
      </c>
      <c r="B1052" t="s">
        <v>35</v>
      </c>
      <c r="C1052">
        <v>11903</v>
      </c>
      <c r="D1052">
        <v>9866</v>
      </c>
      <c r="E1052">
        <v>6970</v>
      </c>
      <c r="F1052">
        <v>28739</v>
      </c>
    </row>
    <row r="1053" spans="1:6" x14ac:dyDescent="0.3">
      <c r="A1053" s="1">
        <v>45609</v>
      </c>
      <c r="B1053" t="s">
        <v>22</v>
      </c>
      <c r="C1053">
        <v>6663</v>
      </c>
      <c r="D1053">
        <v>9936</v>
      </c>
      <c r="E1053">
        <v>5057</v>
      </c>
      <c r="F1053">
        <v>21656</v>
      </c>
    </row>
    <row r="1054" spans="1:6" x14ac:dyDescent="0.3">
      <c r="A1054" s="1">
        <v>45391</v>
      </c>
      <c r="B1054" t="s">
        <v>13</v>
      </c>
      <c r="C1054">
        <v>18967</v>
      </c>
      <c r="D1054">
        <v>6561</v>
      </c>
      <c r="E1054">
        <v>4084</v>
      </c>
      <c r="F1054">
        <v>29612</v>
      </c>
    </row>
    <row r="1055" spans="1:6" x14ac:dyDescent="0.3">
      <c r="A1055" s="1">
        <v>45366</v>
      </c>
      <c r="B1055" t="s">
        <v>9</v>
      </c>
      <c r="C1055">
        <v>5114</v>
      </c>
      <c r="D1055">
        <v>9855</v>
      </c>
      <c r="E1055">
        <v>1395</v>
      </c>
      <c r="F1055">
        <v>16364</v>
      </c>
    </row>
    <row r="1056" spans="1:6" x14ac:dyDescent="0.3">
      <c r="A1056" s="1">
        <v>45635</v>
      </c>
      <c r="B1056" t="s">
        <v>13</v>
      </c>
      <c r="C1056">
        <v>12172</v>
      </c>
      <c r="D1056">
        <v>3211</v>
      </c>
      <c r="E1056">
        <v>3765</v>
      </c>
      <c r="F1056">
        <v>19148</v>
      </c>
    </row>
    <row r="1057" spans="1:6" x14ac:dyDescent="0.3">
      <c r="A1057" s="1">
        <v>45602</v>
      </c>
      <c r="B1057" t="s">
        <v>13</v>
      </c>
      <c r="C1057">
        <v>6909</v>
      </c>
      <c r="D1057">
        <v>3627</v>
      </c>
      <c r="E1057">
        <v>1935</v>
      </c>
      <c r="F1057">
        <v>12471</v>
      </c>
    </row>
    <row r="1058" spans="1:6" x14ac:dyDescent="0.3">
      <c r="A1058" s="1">
        <v>45622</v>
      </c>
      <c r="B1058" t="s">
        <v>9</v>
      </c>
      <c r="C1058">
        <v>18868</v>
      </c>
      <c r="D1058">
        <v>2593</v>
      </c>
      <c r="E1058">
        <v>6654</v>
      </c>
      <c r="F1058">
        <v>28115</v>
      </c>
    </row>
    <row r="1059" spans="1:6" x14ac:dyDescent="0.3">
      <c r="A1059" s="1">
        <v>45505</v>
      </c>
      <c r="B1059" t="s">
        <v>9</v>
      </c>
      <c r="C1059">
        <v>13470</v>
      </c>
      <c r="D1059">
        <v>2437</v>
      </c>
      <c r="E1059">
        <v>5346</v>
      </c>
      <c r="F1059">
        <v>21253</v>
      </c>
    </row>
    <row r="1060" spans="1:6" x14ac:dyDescent="0.3">
      <c r="A1060" s="1">
        <v>45641</v>
      </c>
      <c r="B1060" t="s">
        <v>35</v>
      </c>
      <c r="C1060">
        <v>18259</v>
      </c>
      <c r="D1060">
        <v>9398</v>
      </c>
      <c r="E1060">
        <v>5139</v>
      </c>
      <c r="F1060">
        <v>32796</v>
      </c>
    </row>
    <row r="1061" spans="1:6" x14ac:dyDescent="0.3">
      <c r="A1061" s="1">
        <v>45302</v>
      </c>
      <c r="B1061" t="s">
        <v>9</v>
      </c>
      <c r="C1061">
        <v>2840</v>
      </c>
      <c r="D1061">
        <v>4324</v>
      </c>
      <c r="E1061">
        <v>1974</v>
      </c>
      <c r="F1061">
        <v>9138</v>
      </c>
    </row>
    <row r="1062" spans="1:6" x14ac:dyDescent="0.3">
      <c r="A1062" s="1">
        <v>45334</v>
      </c>
      <c r="B1062" t="s">
        <v>22</v>
      </c>
      <c r="C1062">
        <v>5820</v>
      </c>
      <c r="D1062">
        <v>6842</v>
      </c>
      <c r="E1062">
        <v>1262</v>
      </c>
      <c r="F1062">
        <v>13924</v>
      </c>
    </row>
    <row r="1063" spans="1:6" x14ac:dyDescent="0.3">
      <c r="A1063" s="1">
        <v>45443</v>
      </c>
      <c r="B1063" t="s">
        <v>13</v>
      </c>
      <c r="C1063">
        <v>18564</v>
      </c>
      <c r="D1063">
        <v>6346</v>
      </c>
      <c r="E1063">
        <v>1692</v>
      </c>
      <c r="F1063">
        <v>26602</v>
      </c>
    </row>
    <row r="1064" spans="1:6" x14ac:dyDescent="0.3">
      <c r="A1064" s="1">
        <v>45413</v>
      </c>
      <c r="B1064" t="s">
        <v>35</v>
      </c>
      <c r="C1064">
        <v>14052</v>
      </c>
      <c r="D1064">
        <v>1357</v>
      </c>
      <c r="E1064">
        <v>7061</v>
      </c>
      <c r="F1064">
        <v>22470</v>
      </c>
    </row>
    <row r="1065" spans="1:6" x14ac:dyDescent="0.3">
      <c r="A1065" s="1">
        <v>45492</v>
      </c>
      <c r="B1065" t="s">
        <v>26</v>
      </c>
      <c r="C1065">
        <v>8743</v>
      </c>
      <c r="D1065">
        <v>1394</v>
      </c>
      <c r="E1065">
        <v>2383</v>
      </c>
      <c r="F1065">
        <v>12520</v>
      </c>
    </row>
    <row r="1066" spans="1:6" x14ac:dyDescent="0.3">
      <c r="A1066" s="1">
        <v>45317</v>
      </c>
      <c r="B1066" t="s">
        <v>9</v>
      </c>
      <c r="C1066">
        <v>18591</v>
      </c>
      <c r="D1066">
        <v>8845</v>
      </c>
      <c r="E1066">
        <v>2042</v>
      </c>
      <c r="F1066">
        <v>29478</v>
      </c>
    </row>
    <row r="1067" spans="1:6" x14ac:dyDescent="0.3">
      <c r="A1067" s="1">
        <v>45443</v>
      </c>
      <c r="B1067" t="s">
        <v>35</v>
      </c>
      <c r="C1067">
        <v>8909</v>
      </c>
      <c r="D1067">
        <v>9670</v>
      </c>
      <c r="E1067">
        <v>5351</v>
      </c>
      <c r="F1067">
        <v>23930</v>
      </c>
    </row>
    <row r="1068" spans="1:6" x14ac:dyDescent="0.3">
      <c r="A1068" s="1">
        <v>45471</v>
      </c>
      <c r="B1068" t="s">
        <v>13</v>
      </c>
      <c r="C1068">
        <v>4617</v>
      </c>
      <c r="D1068">
        <v>1207</v>
      </c>
      <c r="E1068">
        <v>7908</v>
      </c>
      <c r="F1068">
        <v>13732</v>
      </c>
    </row>
    <row r="1069" spans="1:6" x14ac:dyDescent="0.3">
      <c r="A1069" s="1">
        <v>45612</v>
      </c>
      <c r="B1069" t="s">
        <v>35</v>
      </c>
      <c r="C1069">
        <v>9213</v>
      </c>
      <c r="D1069">
        <v>2067</v>
      </c>
      <c r="E1069">
        <v>5496</v>
      </c>
      <c r="F1069">
        <v>16776</v>
      </c>
    </row>
    <row r="1070" spans="1:6" x14ac:dyDescent="0.3">
      <c r="A1070" s="1">
        <v>45619</v>
      </c>
      <c r="B1070" t="s">
        <v>22</v>
      </c>
      <c r="C1070">
        <v>14061</v>
      </c>
      <c r="D1070">
        <v>8091</v>
      </c>
      <c r="E1070">
        <v>2804</v>
      </c>
      <c r="F1070">
        <v>24956</v>
      </c>
    </row>
    <row r="1071" spans="1:6" x14ac:dyDescent="0.3">
      <c r="A1071" s="1">
        <v>45452</v>
      </c>
      <c r="B1071" t="s">
        <v>13</v>
      </c>
      <c r="C1071">
        <v>6635</v>
      </c>
      <c r="D1071">
        <v>2124</v>
      </c>
      <c r="E1071">
        <v>3030</v>
      </c>
      <c r="F1071">
        <v>11789</v>
      </c>
    </row>
    <row r="1072" spans="1:6" x14ac:dyDescent="0.3">
      <c r="A1072" s="1">
        <v>45555</v>
      </c>
      <c r="B1072" t="s">
        <v>26</v>
      </c>
      <c r="C1072">
        <v>15595</v>
      </c>
      <c r="D1072">
        <v>6400</v>
      </c>
      <c r="E1072">
        <v>4795</v>
      </c>
      <c r="F1072">
        <v>26790</v>
      </c>
    </row>
    <row r="1073" spans="1:6" x14ac:dyDescent="0.3">
      <c r="A1073" s="1">
        <v>45476</v>
      </c>
      <c r="B1073" t="s">
        <v>13</v>
      </c>
      <c r="C1073">
        <v>8868</v>
      </c>
      <c r="D1073">
        <v>2769</v>
      </c>
      <c r="E1073">
        <v>4969</v>
      </c>
      <c r="F1073">
        <v>16606</v>
      </c>
    </row>
    <row r="1074" spans="1:6" x14ac:dyDescent="0.3">
      <c r="A1074" s="1">
        <v>45392</v>
      </c>
      <c r="B1074" t="s">
        <v>13</v>
      </c>
      <c r="C1074">
        <v>11615</v>
      </c>
      <c r="D1074">
        <v>4459</v>
      </c>
      <c r="E1074">
        <v>4927</v>
      </c>
      <c r="F1074">
        <v>21001</v>
      </c>
    </row>
    <row r="1075" spans="1:6" x14ac:dyDescent="0.3">
      <c r="A1075" s="1">
        <v>45643</v>
      </c>
      <c r="B1075" t="s">
        <v>13</v>
      </c>
      <c r="C1075">
        <v>17298</v>
      </c>
      <c r="D1075">
        <v>8116</v>
      </c>
      <c r="E1075">
        <v>1510</v>
      </c>
      <c r="F1075">
        <v>26924</v>
      </c>
    </row>
    <row r="1076" spans="1:6" x14ac:dyDescent="0.3">
      <c r="A1076" s="1">
        <v>45579</v>
      </c>
      <c r="B1076" t="s">
        <v>13</v>
      </c>
      <c r="C1076">
        <v>10985</v>
      </c>
      <c r="D1076">
        <v>1635</v>
      </c>
      <c r="E1076">
        <v>6350</v>
      </c>
      <c r="F1076">
        <v>18970</v>
      </c>
    </row>
    <row r="1077" spans="1:6" x14ac:dyDescent="0.3">
      <c r="A1077" s="1">
        <v>45457</v>
      </c>
      <c r="B1077" t="s">
        <v>22</v>
      </c>
      <c r="C1077">
        <v>3266</v>
      </c>
      <c r="D1077">
        <v>5625</v>
      </c>
      <c r="E1077">
        <v>3778</v>
      </c>
      <c r="F1077">
        <v>12669</v>
      </c>
    </row>
    <row r="1078" spans="1:6" x14ac:dyDescent="0.3">
      <c r="A1078" s="1">
        <v>45320</v>
      </c>
      <c r="B1078" t="s">
        <v>13</v>
      </c>
      <c r="C1078">
        <v>10277</v>
      </c>
      <c r="D1078">
        <v>1357</v>
      </c>
      <c r="E1078">
        <v>3564</v>
      </c>
      <c r="F1078">
        <v>15198</v>
      </c>
    </row>
    <row r="1079" spans="1:6" x14ac:dyDescent="0.3">
      <c r="A1079" s="1">
        <v>45430</v>
      </c>
      <c r="B1079" t="s">
        <v>9</v>
      </c>
      <c r="C1079">
        <v>6199</v>
      </c>
      <c r="D1079">
        <v>7085</v>
      </c>
      <c r="E1079">
        <v>6353</v>
      </c>
      <c r="F1079">
        <v>19637</v>
      </c>
    </row>
    <row r="1080" spans="1:6" x14ac:dyDescent="0.3">
      <c r="A1080" s="1">
        <v>45408</v>
      </c>
      <c r="B1080" t="s">
        <v>13</v>
      </c>
      <c r="C1080">
        <v>7350</v>
      </c>
      <c r="D1080">
        <v>5282</v>
      </c>
      <c r="E1080">
        <v>6204</v>
      </c>
      <c r="F1080">
        <v>18836</v>
      </c>
    </row>
    <row r="1081" spans="1:6" x14ac:dyDescent="0.3">
      <c r="A1081" s="1">
        <v>45491</v>
      </c>
      <c r="B1081" t="s">
        <v>26</v>
      </c>
      <c r="C1081">
        <v>13535</v>
      </c>
      <c r="D1081">
        <v>3807</v>
      </c>
      <c r="E1081">
        <v>2610</v>
      </c>
      <c r="F1081">
        <v>19952</v>
      </c>
    </row>
    <row r="1082" spans="1:6" x14ac:dyDescent="0.3">
      <c r="A1082" s="1">
        <v>45514</v>
      </c>
      <c r="B1082" t="s">
        <v>26</v>
      </c>
      <c r="C1082">
        <v>11159</v>
      </c>
      <c r="D1082">
        <v>3088</v>
      </c>
      <c r="E1082">
        <v>4714</v>
      </c>
      <c r="F1082">
        <v>18961</v>
      </c>
    </row>
    <row r="1083" spans="1:6" x14ac:dyDescent="0.3">
      <c r="A1083" s="1">
        <v>45444</v>
      </c>
      <c r="B1083" t="s">
        <v>13</v>
      </c>
      <c r="C1083">
        <v>12408</v>
      </c>
      <c r="D1083">
        <v>8426</v>
      </c>
      <c r="E1083">
        <v>2299</v>
      </c>
      <c r="F1083">
        <v>23133</v>
      </c>
    </row>
    <row r="1084" spans="1:6" x14ac:dyDescent="0.3">
      <c r="A1084" s="1">
        <v>45512</v>
      </c>
      <c r="B1084" t="s">
        <v>13</v>
      </c>
      <c r="C1084">
        <v>18115</v>
      </c>
      <c r="D1084">
        <v>8866</v>
      </c>
      <c r="E1084">
        <v>7544</v>
      </c>
      <c r="F1084">
        <v>34525</v>
      </c>
    </row>
    <row r="1085" spans="1:6" x14ac:dyDescent="0.3">
      <c r="A1085" s="1">
        <v>45602</v>
      </c>
      <c r="B1085" t="s">
        <v>35</v>
      </c>
      <c r="C1085">
        <v>17183</v>
      </c>
      <c r="D1085">
        <v>3322</v>
      </c>
      <c r="E1085">
        <v>2001</v>
      </c>
      <c r="F1085">
        <v>22506</v>
      </c>
    </row>
    <row r="1086" spans="1:6" x14ac:dyDescent="0.3">
      <c r="A1086" s="1">
        <v>45434</v>
      </c>
      <c r="B1086" t="s">
        <v>35</v>
      </c>
      <c r="C1086">
        <v>16207</v>
      </c>
      <c r="D1086">
        <v>2553</v>
      </c>
      <c r="E1086">
        <v>7866</v>
      </c>
      <c r="F1086">
        <v>26626</v>
      </c>
    </row>
    <row r="1087" spans="1:6" x14ac:dyDescent="0.3">
      <c r="A1087" s="1">
        <v>45431</v>
      </c>
      <c r="B1087" t="s">
        <v>26</v>
      </c>
      <c r="C1087">
        <v>9550</v>
      </c>
      <c r="D1087">
        <v>5046</v>
      </c>
      <c r="E1087">
        <v>5390</v>
      </c>
      <c r="F1087">
        <v>19986</v>
      </c>
    </row>
    <row r="1088" spans="1:6" x14ac:dyDescent="0.3">
      <c r="A1088" s="1">
        <v>45556</v>
      </c>
      <c r="B1088" t="s">
        <v>22</v>
      </c>
      <c r="C1088">
        <v>18205</v>
      </c>
      <c r="D1088">
        <v>2691</v>
      </c>
      <c r="E1088">
        <v>7732</v>
      </c>
      <c r="F1088">
        <v>28628</v>
      </c>
    </row>
    <row r="1089" spans="1:6" x14ac:dyDescent="0.3">
      <c r="A1089" s="1">
        <v>45347</v>
      </c>
      <c r="B1089" t="s">
        <v>9</v>
      </c>
      <c r="C1089">
        <v>5031</v>
      </c>
      <c r="D1089">
        <v>3631</v>
      </c>
      <c r="E1089">
        <v>7595</v>
      </c>
      <c r="F1089">
        <v>16257</v>
      </c>
    </row>
    <row r="1090" spans="1:6" x14ac:dyDescent="0.3">
      <c r="A1090" s="1">
        <v>45614</v>
      </c>
      <c r="B1090" t="s">
        <v>26</v>
      </c>
      <c r="C1090">
        <v>4835</v>
      </c>
      <c r="D1090">
        <v>8443</v>
      </c>
      <c r="E1090">
        <v>1321</v>
      </c>
      <c r="F1090">
        <v>14599</v>
      </c>
    </row>
    <row r="1091" spans="1:6" x14ac:dyDescent="0.3">
      <c r="A1091" s="1">
        <v>45629</v>
      </c>
      <c r="B1091" t="s">
        <v>13</v>
      </c>
      <c r="C1091">
        <v>13949</v>
      </c>
      <c r="D1091">
        <v>2985</v>
      </c>
      <c r="E1091">
        <v>3166</v>
      </c>
      <c r="F1091">
        <v>20100</v>
      </c>
    </row>
    <row r="1092" spans="1:6" x14ac:dyDescent="0.3">
      <c r="A1092" s="1">
        <v>45612</v>
      </c>
      <c r="B1092" t="s">
        <v>13</v>
      </c>
      <c r="C1092">
        <v>7946</v>
      </c>
      <c r="D1092">
        <v>6659</v>
      </c>
      <c r="E1092">
        <v>6602</v>
      </c>
      <c r="F1092">
        <v>21207</v>
      </c>
    </row>
    <row r="1093" spans="1:6" x14ac:dyDescent="0.3">
      <c r="A1093" s="1">
        <v>45524</v>
      </c>
      <c r="B1093" t="s">
        <v>26</v>
      </c>
      <c r="C1093">
        <v>10212</v>
      </c>
      <c r="D1093">
        <v>2600</v>
      </c>
      <c r="E1093">
        <v>3653</v>
      </c>
      <c r="F1093">
        <v>16465</v>
      </c>
    </row>
    <row r="1094" spans="1:6" x14ac:dyDescent="0.3">
      <c r="A1094" s="1">
        <v>45543</v>
      </c>
      <c r="B1094" t="s">
        <v>9</v>
      </c>
      <c r="C1094">
        <v>13689</v>
      </c>
      <c r="D1094">
        <v>2316</v>
      </c>
      <c r="E1094">
        <v>4609</v>
      </c>
      <c r="F1094">
        <v>20614</v>
      </c>
    </row>
    <row r="1095" spans="1:6" x14ac:dyDescent="0.3">
      <c r="A1095" s="1">
        <v>45547</v>
      </c>
      <c r="B1095" t="s">
        <v>22</v>
      </c>
      <c r="C1095">
        <v>15690</v>
      </c>
      <c r="D1095">
        <v>9524</v>
      </c>
      <c r="E1095">
        <v>5315</v>
      </c>
      <c r="F1095">
        <v>30529</v>
      </c>
    </row>
    <row r="1096" spans="1:6" x14ac:dyDescent="0.3">
      <c r="A1096" s="1">
        <v>45640</v>
      </c>
      <c r="B1096" t="s">
        <v>26</v>
      </c>
      <c r="C1096">
        <v>16819</v>
      </c>
      <c r="D1096">
        <v>2079</v>
      </c>
      <c r="E1096">
        <v>6815</v>
      </c>
      <c r="F1096">
        <v>25713</v>
      </c>
    </row>
    <row r="1097" spans="1:6" x14ac:dyDescent="0.3">
      <c r="A1097" s="1">
        <v>45460</v>
      </c>
      <c r="B1097" t="s">
        <v>35</v>
      </c>
      <c r="C1097">
        <v>2893</v>
      </c>
      <c r="D1097">
        <v>4835</v>
      </c>
      <c r="E1097">
        <v>4989</v>
      </c>
      <c r="F1097">
        <v>12717</v>
      </c>
    </row>
    <row r="1098" spans="1:6" x14ac:dyDescent="0.3">
      <c r="A1098" s="1">
        <v>45570</v>
      </c>
      <c r="B1098" t="s">
        <v>9</v>
      </c>
      <c r="C1098">
        <v>14718</v>
      </c>
      <c r="D1098">
        <v>4420</v>
      </c>
      <c r="E1098">
        <v>1909</v>
      </c>
      <c r="F1098">
        <v>21047</v>
      </c>
    </row>
    <row r="1099" spans="1:6" x14ac:dyDescent="0.3">
      <c r="A1099" s="1">
        <v>45478</v>
      </c>
      <c r="B1099" t="s">
        <v>13</v>
      </c>
      <c r="C1099">
        <v>19684</v>
      </c>
      <c r="D1099">
        <v>2197</v>
      </c>
      <c r="E1099">
        <v>3297</v>
      </c>
      <c r="F1099">
        <v>25178</v>
      </c>
    </row>
    <row r="1100" spans="1:6" x14ac:dyDescent="0.3">
      <c r="A1100" s="1">
        <v>45357</v>
      </c>
      <c r="B1100" t="s">
        <v>35</v>
      </c>
      <c r="C1100">
        <v>9596</v>
      </c>
      <c r="D1100">
        <v>2115</v>
      </c>
      <c r="E1100">
        <v>7527</v>
      </c>
      <c r="F1100">
        <v>19238</v>
      </c>
    </row>
    <row r="1101" spans="1:6" x14ac:dyDescent="0.3">
      <c r="A1101" s="1">
        <v>45569</v>
      </c>
      <c r="B1101" t="s">
        <v>26</v>
      </c>
      <c r="C1101">
        <v>13861</v>
      </c>
      <c r="D1101">
        <v>5479</v>
      </c>
      <c r="E1101">
        <v>943</v>
      </c>
      <c r="F1101">
        <v>20283</v>
      </c>
    </row>
    <row r="1102" spans="1:6" x14ac:dyDescent="0.3">
      <c r="A1102" s="1">
        <v>45348</v>
      </c>
      <c r="B1102" t="s">
        <v>22</v>
      </c>
      <c r="C1102">
        <v>6192</v>
      </c>
      <c r="D1102">
        <v>5696</v>
      </c>
      <c r="E1102">
        <v>2020</v>
      </c>
      <c r="F1102">
        <v>13908</v>
      </c>
    </row>
    <row r="1103" spans="1:6" x14ac:dyDescent="0.3">
      <c r="A1103" s="1">
        <v>45471</v>
      </c>
      <c r="B1103" t="s">
        <v>35</v>
      </c>
      <c r="C1103">
        <v>15771</v>
      </c>
      <c r="D1103">
        <v>6457</v>
      </c>
      <c r="E1103">
        <v>6572</v>
      </c>
      <c r="F1103">
        <v>28800</v>
      </c>
    </row>
    <row r="1104" spans="1:6" x14ac:dyDescent="0.3">
      <c r="A1104" s="1">
        <v>45552</v>
      </c>
      <c r="B1104" t="s">
        <v>22</v>
      </c>
      <c r="C1104">
        <v>4745</v>
      </c>
      <c r="D1104">
        <v>5755</v>
      </c>
      <c r="E1104">
        <v>3684</v>
      </c>
      <c r="F1104">
        <v>14184</v>
      </c>
    </row>
    <row r="1105" spans="1:6" x14ac:dyDescent="0.3">
      <c r="A1105" s="1">
        <v>45606</v>
      </c>
      <c r="B1105" t="s">
        <v>26</v>
      </c>
      <c r="C1105">
        <v>14954</v>
      </c>
      <c r="D1105">
        <v>1581</v>
      </c>
      <c r="E1105">
        <v>3859</v>
      </c>
      <c r="F1105">
        <v>20394</v>
      </c>
    </row>
    <row r="1106" spans="1:6" x14ac:dyDescent="0.3">
      <c r="A1106" s="1">
        <v>45329</v>
      </c>
      <c r="B1106" t="s">
        <v>9</v>
      </c>
      <c r="C1106">
        <v>10093</v>
      </c>
      <c r="D1106">
        <v>3372</v>
      </c>
      <c r="E1106">
        <v>4737</v>
      </c>
      <c r="F1106">
        <v>18202</v>
      </c>
    </row>
    <row r="1107" spans="1:6" x14ac:dyDescent="0.3">
      <c r="A1107" s="1">
        <v>45308</v>
      </c>
      <c r="B1107" t="s">
        <v>22</v>
      </c>
      <c r="C1107">
        <v>16494</v>
      </c>
      <c r="D1107">
        <v>8830</v>
      </c>
      <c r="E1107">
        <v>1241</v>
      </c>
      <c r="F1107">
        <v>26565</v>
      </c>
    </row>
    <row r="1108" spans="1:6" x14ac:dyDescent="0.3">
      <c r="A1108" s="1">
        <v>45533</v>
      </c>
      <c r="B1108" t="s">
        <v>22</v>
      </c>
      <c r="C1108">
        <v>12850</v>
      </c>
      <c r="D1108">
        <v>7269</v>
      </c>
      <c r="E1108">
        <v>5776</v>
      </c>
      <c r="F1108">
        <v>25895</v>
      </c>
    </row>
    <row r="1109" spans="1:6" x14ac:dyDescent="0.3">
      <c r="A1109" s="1">
        <v>45509</v>
      </c>
      <c r="B1109" t="s">
        <v>35</v>
      </c>
      <c r="C1109">
        <v>2710</v>
      </c>
      <c r="D1109">
        <v>3612</v>
      </c>
      <c r="E1109">
        <v>6820</v>
      </c>
      <c r="F1109">
        <v>13142</v>
      </c>
    </row>
    <row r="1110" spans="1:6" x14ac:dyDescent="0.3">
      <c r="A1110" s="1">
        <v>45296</v>
      </c>
      <c r="B1110" t="s">
        <v>22</v>
      </c>
      <c r="C1110">
        <v>12699</v>
      </c>
      <c r="D1110">
        <v>1095</v>
      </c>
      <c r="E1110">
        <v>1624</v>
      </c>
      <c r="F1110">
        <v>15418</v>
      </c>
    </row>
    <row r="1111" spans="1:6" x14ac:dyDescent="0.3">
      <c r="A1111" s="1">
        <v>45389</v>
      </c>
      <c r="B1111" t="s">
        <v>13</v>
      </c>
      <c r="C1111">
        <v>5724</v>
      </c>
      <c r="D1111">
        <v>6698</v>
      </c>
      <c r="E1111">
        <v>5274</v>
      </c>
      <c r="F1111">
        <v>17696</v>
      </c>
    </row>
    <row r="1112" spans="1:6" x14ac:dyDescent="0.3">
      <c r="A1112" s="1">
        <v>45532</v>
      </c>
      <c r="B1112" t="s">
        <v>9</v>
      </c>
      <c r="C1112">
        <v>17434</v>
      </c>
      <c r="D1112">
        <v>3207</v>
      </c>
      <c r="E1112">
        <v>6979</v>
      </c>
      <c r="F1112">
        <v>27620</v>
      </c>
    </row>
    <row r="1113" spans="1:6" x14ac:dyDescent="0.3">
      <c r="A1113" s="1">
        <v>45542</v>
      </c>
      <c r="B1113" t="s">
        <v>26</v>
      </c>
      <c r="C1113">
        <v>3360</v>
      </c>
      <c r="D1113">
        <v>1176</v>
      </c>
      <c r="E1113">
        <v>2332</v>
      </c>
      <c r="F1113">
        <v>6868</v>
      </c>
    </row>
    <row r="1114" spans="1:6" x14ac:dyDescent="0.3">
      <c r="A1114" s="1">
        <v>45374</v>
      </c>
      <c r="B1114" t="s">
        <v>13</v>
      </c>
      <c r="C1114">
        <v>7376</v>
      </c>
      <c r="D1114">
        <v>8711</v>
      </c>
      <c r="E1114">
        <v>884</v>
      </c>
      <c r="F1114">
        <v>16971</v>
      </c>
    </row>
    <row r="1115" spans="1:6" x14ac:dyDescent="0.3">
      <c r="A1115" s="1">
        <v>45648</v>
      </c>
      <c r="B1115" t="s">
        <v>26</v>
      </c>
      <c r="C1115">
        <v>8541</v>
      </c>
      <c r="D1115">
        <v>4128</v>
      </c>
      <c r="E1115">
        <v>6278</v>
      </c>
      <c r="F1115">
        <v>18947</v>
      </c>
    </row>
    <row r="1116" spans="1:6" x14ac:dyDescent="0.3">
      <c r="A1116" s="1">
        <v>45369</v>
      </c>
      <c r="B1116" t="s">
        <v>9</v>
      </c>
      <c r="C1116">
        <v>13736</v>
      </c>
      <c r="D1116">
        <v>3614</v>
      </c>
      <c r="E1116">
        <v>3706</v>
      </c>
      <c r="F1116">
        <v>21056</v>
      </c>
    </row>
    <row r="1117" spans="1:6" x14ac:dyDescent="0.3">
      <c r="A1117" s="1">
        <v>45554</v>
      </c>
      <c r="B1117" t="s">
        <v>13</v>
      </c>
      <c r="C1117">
        <v>6861</v>
      </c>
      <c r="D1117">
        <v>6348</v>
      </c>
      <c r="E1117">
        <v>4683</v>
      </c>
      <c r="F1117">
        <v>17892</v>
      </c>
    </row>
    <row r="1118" spans="1:6" x14ac:dyDescent="0.3">
      <c r="A1118" s="1">
        <v>45441</v>
      </c>
      <c r="B1118" t="s">
        <v>22</v>
      </c>
      <c r="C1118">
        <v>2869</v>
      </c>
      <c r="D1118">
        <v>1170</v>
      </c>
      <c r="E1118">
        <v>3387</v>
      </c>
      <c r="F1118">
        <v>7426</v>
      </c>
    </row>
    <row r="1119" spans="1:6" x14ac:dyDescent="0.3">
      <c r="A1119" s="1">
        <v>45469</v>
      </c>
      <c r="B1119" t="s">
        <v>26</v>
      </c>
      <c r="C1119">
        <v>12785</v>
      </c>
      <c r="D1119">
        <v>5344</v>
      </c>
      <c r="E1119">
        <v>7330</v>
      </c>
      <c r="F1119">
        <v>25459</v>
      </c>
    </row>
    <row r="1120" spans="1:6" x14ac:dyDescent="0.3">
      <c r="A1120" s="1">
        <v>45619</v>
      </c>
      <c r="B1120" t="s">
        <v>35</v>
      </c>
      <c r="C1120">
        <v>5899</v>
      </c>
      <c r="D1120">
        <v>9933</v>
      </c>
      <c r="E1120">
        <v>1822</v>
      </c>
      <c r="F1120">
        <v>17654</v>
      </c>
    </row>
    <row r="1121" spans="1:6" x14ac:dyDescent="0.3">
      <c r="A1121" s="1">
        <v>45430</v>
      </c>
      <c r="B1121" t="s">
        <v>9</v>
      </c>
      <c r="C1121">
        <v>6260</v>
      </c>
      <c r="D1121">
        <v>5536</v>
      </c>
      <c r="E1121">
        <v>7956</v>
      </c>
      <c r="F1121">
        <v>19752</v>
      </c>
    </row>
    <row r="1122" spans="1:6" x14ac:dyDescent="0.3">
      <c r="A1122" s="1">
        <v>45462</v>
      </c>
      <c r="B1122" t="s">
        <v>9</v>
      </c>
      <c r="C1122">
        <v>13573</v>
      </c>
      <c r="D1122">
        <v>4958</v>
      </c>
      <c r="E1122">
        <v>6738</v>
      </c>
      <c r="F1122">
        <v>25269</v>
      </c>
    </row>
    <row r="1123" spans="1:6" x14ac:dyDescent="0.3">
      <c r="A1123" s="1">
        <v>45576</v>
      </c>
      <c r="B1123" t="s">
        <v>9</v>
      </c>
      <c r="C1123">
        <v>9929</v>
      </c>
      <c r="D1123">
        <v>5374</v>
      </c>
      <c r="E1123">
        <v>4416</v>
      </c>
      <c r="F1123">
        <v>19719</v>
      </c>
    </row>
    <row r="1124" spans="1:6" x14ac:dyDescent="0.3">
      <c r="A1124" s="1">
        <v>45369</v>
      </c>
      <c r="B1124" t="s">
        <v>13</v>
      </c>
      <c r="C1124">
        <v>9324</v>
      </c>
      <c r="D1124">
        <v>7622</v>
      </c>
      <c r="E1124">
        <v>5223</v>
      </c>
      <c r="F1124">
        <v>22169</v>
      </c>
    </row>
    <row r="1125" spans="1:6" x14ac:dyDescent="0.3">
      <c r="A1125" s="1">
        <v>45537</v>
      </c>
      <c r="B1125" t="s">
        <v>13</v>
      </c>
      <c r="C1125">
        <v>5956</v>
      </c>
      <c r="D1125">
        <v>7612</v>
      </c>
      <c r="E1125">
        <v>3676</v>
      </c>
      <c r="F1125">
        <v>17244</v>
      </c>
    </row>
    <row r="1126" spans="1:6" x14ac:dyDescent="0.3">
      <c r="A1126" s="1">
        <v>45473</v>
      </c>
      <c r="B1126" t="s">
        <v>9</v>
      </c>
      <c r="C1126">
        <v>15687</v>
      </c>
      <c r="D1126">
        <v>3403</v>
      </c>
      <c r="E1126">
        <v>1686</v>
      </c>
      <c r="F1126">
        <v>20776</v>
      </c>
    </row>
    <row r="1127" spans="1:6" x14ac:dyDescent="0.3">
      <c r="A1127" s="1">
        <v>45399</v>
      </c>
      <c r="B1127" t="s">
        <v>35</v>
      </c>
      <c r="C1127">
        <v>16947</v>
      </c>
      <c r="D1127">
        <v>1650</v>
      </c>
      <c r="E1127">
        <v>6094</v>
      </c>
      <c r="F1127">
        <v>24691</v>
      </c>
    </row>
    <row r="1128" spans="1:6" x14ac:dyDescent="0.3">
      <c r="A1128" s="1">
        <v>45379</v>
      </c>
      <c r="B1128" t="s">
        <v>13</v>
      </c>
      <c r="C1128">
        <v>13011</v>
      </c>
      <c r="D1128">
        <v>2131</v>
      </c>
      <c r="E1128">
        <v>5832</v>
      </c>
      <c r="F1128">
        <v>20974</v>
      </c>
    </row>
    <row r="1129" spans="1:6" x14ac:dyDescent="0.3">
      <c r="A1129" s="1">
        <v>45386</v>
      </c>
      <c r="B1129" t="s">
        <v>22</v>
      </c>
      <c r="C1129">
        <v>8268</v>
      </c>
      <c r="D1129">
        <v>9638</v>
      </c>
      <c r="E1129">
        <v>4216</v>
      </c>
      <c r="F1129">
        <v>22122</v>
      </c>
    </row>
    <row r="1130" spans="1:6" x14ac:dyDescent="0.3">
      <c r="A1130" s="1">
        <v>45513</v>
      </c>
      <c r="B1130" t="s">
        <v>22</v>
      </c>
      <c r="C1130">
        <v>9910</v>
      </c>
      <c r="D1130">
        <v>4582</v>
      </c>
      <c r="E1130">
        <v>5455</v>
      </c>
      <c r="F1130">
        <v>19947</v>
      </c>
    </row>
    <row r="1131" spans="1:6" x14ac:dyDescent="0.3">
      <c r="A1131" s="1">
        <v>45515</v>
      </c>
      <c r="B1131" t="s">
        <v>26</v>
      </c>
      <c r="C1131">
        <v>13414</v>
      </c>
      <c r="D1131">
        <v>5731</v>
      </c>
      <c r="E1131">
        <v>6566</v>
      </c>
      <c r="F1131">
        <v>25711</v>
      </c>
    </row>
    <row r="1132" spans="1:6" x14ac:dyDescent="0.3">
      <c r="A1132" s="1">
        <v>45345</v>
      </c>
      <c r="B1132" t="s">
        <v>35</v>
      </c>
      <c r="C1132">
        <v>2155</v>
      </c>
      <c r="D1132">
        <v>7404</v>
      </c>
      <c r="E1132">
        <v>7657</v>
      </c>
      <c r="F1132">
        <v>17216</v>
      </c>
    </row>
    <row r="1133" spans="1:6" x14ac:dyDescent="0.3">
      <c r="A1133" s="1">
        <v>45587</v>
      </c>
      <c r="B1133" t="s">
        <v>26</v>
      </c>
      <c r="C1133">
        <v>14360</v>
      </c>
      <c r="D1133">
        <v>6657</v>
      </c>
      <c r="E1133">
        <v>4824</v>
      </c>
      <c r="F1133">
        <v>25841</v>
      </c>
    </row>
    <row r="1134" spans="1:6" x14ac:dyDescent="0.3">
      <c r="A1134" s="1">
        <v>45318</v>
      </c>
      <c r="B1134" t="s">
        <v>13</v>
      </c>
      <c r="C1134">
        <v>15035</v>
      </c>
      <c r="D1134">
        <v>1271</v>
      </c>
      <c r="E1134">
        <v>2678</v>
      </c>
      <c r="F1134">
        <v>18984</v>
      </c>
    </row>
    <row r="1135" spans="1:6" x14ac:dyDescent="0.3">
      <c r="A1135" s="1">
        <v>45300</v>
      </c>
      <c r="B1135" t="s">
        <v>22</v>
      </c>
      <c r="C1135">
        <v>17640</v>
      </c>
      <c r="D1135">
        <v>6252</v>
      </c>
      <c r="E1135">
        <v>3612</v>
      </c>
      <c r="F1135">
        <v>27504</v>
      </c>
    </row>
    <row r="1136" spans="1:6" x14ac:dyDescent="0.3">
      <c r="A1136" s="1">
        <v>45522</v>
      </c>
      <c r="B1136" t="s">
        <v>35</v>
      </c>
      <c r="C1136">
        <v>12405</v>
      </c>
      <c r="D1136">
        <v>1965</v>
      </c>
      <c r="E1136">
        <v>2667</v>
      </c>
      <c r="F1136">
        <v>17037</v>
      </c>
    </row>
    <row r="1137" spans="1:6" x14ac:dyDescent="0.3">
      <c r="A1137" s="1">
        <v>45573</v>
      </c>
      <c r="B1137" t="s">
        <v>26</v>
      </c>
      <c r="C1137">
        <v>17883</v>
      </c>
      <c r="D1137">
        <v>3092</v>
      </c>
      <c r="E1137">
        <v>1090</v>
      </c>
      <c r="F1137">
        <v>22065</v>
      </c>
    </row>
    <row r="1138" spans="1:6" x14ac:dyDescent="0.3">
      <c r="A1138" s="1">
        <v>45425</v>
      </c>
      <c r="B1138" t="s">
        <v>26</v>
      </c>
      <c r="C1138">
        <v>7444</v>
      </c>
      <c r="D1138">
        <v>3026</v>
      </c>
      <c r="E1138">
        <v>2089</v>
      </c>
      <c r="F1138">
        <v>12559</v>
      </c>
    </row>
    <row r="1139" spans="1:6" x14ac:dyDescent="0.3">
      <c r="A1139" s="1">
        <v>45379</v>
      </c>
      <c r="B1139" t="s">
        <v>26</v>
      </c>
      <c r="C1139">
        <v>8883</v>
      </c>
      <c r="D1139">
        <v>7122</v>
      </c>
      <c r="E1139">
        <v>5318</v>
      </c>
      <c r="F1139">
        <v>21323</v>
      </c>
    </row>
    <row r="1140" spans="1:6" x14ac:dyDescent="0.3">
      <c r="A1140" s="1">
        <v>45490</v>
      </c>
      <c r="B1140" t="s">
        <v>35</v>
      </c>
      <c r="C1140">
        <v>17989</v>
      </c>
      <c r="D1140">
        <v>3970</v>
      </c>
      <c r="E1140">
        <v>1001</v>
      </c>
      <c r="F1140">
        <v>22960</v>
      </c>
    </row>
    <row r="1141" spans="1:6" x14ac:dyDescent="0.3">
      <c r="A1141" s="1">
        <v>45494</v>
      </c>
      <c r="B1141" t="s">
        <v>22</v>
      </c>
      <c r="C1141">
        <v>19175</v>
      </c>
      <c r="D1141">
        <v>5219</v>
      </c>
      <c r="E1141">
        <v>1363</v>
      </c>
      <c r="F1141">
        <v>25757</v>
      </c>
    </row>
    <row r="1142" spans="1:6" x14ac:dyDescent="0.3">
      <c r="A1142" s="1">
        <v>45616</v>
      </c>
      <c r="B1142" t="s">
        <v>9</v>
      </c>
      <c r="C1142">
        <v>13878</v>
      </c>
      <c r="D1142">
        <v>8629</v>
      </c>
      <c r="E1142">
        <v>2983</v>
      </c>
      <c r="F1142">
        <v>25490</v>
      </c>
    </row>
    <row r="1143" spans="1:6" x14ac:dyDescent="0.3">
      <c r="A1143" s="1">
        <v>45317</v>
      </c>
      <c r="B1143" t="s">
        <v>35</v>
      </c>
      <c r="C1143">
        <v>13212</v>
      </c>
      <c r="D1143">
        <v>6678</v>
      </c>
      <c r="E1143">
        <v>6251</v>
      </c>
      <c r="F1143">
        <v>26141</v>
      </c>
    </row>
    <row r="1144" spans="1:6" x14ac:dyDescent="0.3">
      <c r="A1144" s="1">
        <v>45480</v>
      </c>
      <c r="B1144" t="s">
        <v>9</v>
      </c>
      <c r="C1144">
        <v>8046</v>
      </c>
      <c r="D1144">
        <v>9205</v>
      </c>
      <c r="E1144">
        <v>6312</v>
      </c>
      <c r="F1144">
        <v>23563</v>
      </c>
    </row>
    <row r="1145" spans="1:6" x14ac:dyDescent="0.3">
      <c r="A1145" s="1">
        <v>45438</v>
      </c>
      <c r="B1145" t="s">
        <v>35</v>
      </c>
      <c r="C1145">
        <v>19388</v>
      </c>
      <c r="D1145">
        <v>8717</v>
      </c>
      <c r="E1145">
        <v>2705</v>
      </c>
      <c r="F1145">
        <v>30810</v>
      </c>
    </row>
    <row r="1146" spans="1:6" x14ac:dyDescent="0.3">
      <c r="A1146" s="1">
        <v>45355</v>
      </c>
      <c r="B1146" t="s">
        <v>35</v>
      </c>
      <c r="C1146">
        <v>2258</v>
      </c>
      <c r="D1146">
        <v>5129</v>
      </c>
      <c r="E1146">
        <v>4620</v>
      </c>
      <c r="F1146">
        <v>12007</v>
      </c>
    </row>
    <row r="1147" spans="1:6" x14ac:dyDescent="0.3">
      <c r="A1147" s="1">
        <v>45543</v>
      </c>
      <c r="B1147" t="s">
        <v>22</v>
      </c>
      <c r="C1147">
        <v>10896</v>
      </c>
      <c r="D1147">
        <v>1948</v>
      </c>
      <c r="E1147">
        <v>3208</v>
      </c>
      <c r="F1147">
        <v>16052</v>
      </c>
    </row>
    <row r="1148" spans="1:6" x14ac:dyDescent="0.3">
      <c r="A1148" s="1">
        <v>45568</v>
      </c>
      <c r="B1148" t="s">
        <v>9</v>
      </c>
      <c r="C1148">
        <v>5214</v>
      </c>
      <c r="D1148">
        <v>5550</v>
      </c>
      <c r="E1148">
        <v>1699</v>
      </c>
      <c r="F1148">
        <v>12463</v>
      </c>
    </row>
    <row r="1149" spans="1:6" x14ac:dyDescent="0.3">
      <c r="A1149" s="1">
        <v>45652</v>
      </c>
      <c r="B1149" t="s">
        <v>9</v>
      </c>
      <c r="C1149">
        <v>6691</v>
      </c>
      <c r="D1149">
        <v>7034</v>
      </c>
      <c r="E1149">
        <v>2800</v>
      </c>
      <c r="F1149">
        <v>16525</v>
      </c>
    </row>
    <row r="1150" spans="1:6" x14ac:dyDescent="0.3">
      <c r="A1150" s="1">
        <v>45590</v>
      </c>
      <c r="B1150" t="s">
        <v>35</v>
      </c>
      <c r="C1150">
        <v>17902</v>
      </c>
      <c r="D1150">
        <v>9997</v>
      </c>
      <c r="E1150">
        <v>7790</v>
      </c>
      <c r="F1150">
        <v>35689</v>
      </c>
    </row>
    <row r="1151" spans="1:6" x14ac:dyDescent="0.3">
      <c r="A1151" s="1">
        <v>45545</v>
      </c>
      <c r="B1151" t="s">
        <v>22</v>
      </c>
      <c r="C1151">
        <v>13783</v>
      </c>
      <c r="D1151">
        <v>4816</v>
      </c>
      <c r="E1151">
        <v>4982</v>
      </c>
      <c r="F1151">
        <v>23581</v>
      </c>
    </row>
    <row r="1152" spans="1:6" x14ac:dyDescent="0.3">
      <c r="A1152" s="1">
        <v>45481</v>
      </c>
      <c r="B1152" t="s">
        <v>26</v>
      </c>
      <c r="C1152">
        <v>10232</v>
      </c>
      <c r="D1152">
        <v>5335</v>
      </c>
      <c r="E1152">
        <v>6767</v>
      </c>
      <c r="F1152">
        <v>22334</v>
      </c>
    </row>
    <row r="1153" spans="1:6" x14ac:dyDescent="0.3">
      <c r="A1153" s="1">
        <v>45381</v>
      </c>
      <c r="B1153" t="s">
        <v>9</v>
      </c>
      <c r="C1153">
        <v>3819</v>
      </c>
      <c r="D1153">
        <v>9086</v>
      </c>
      <c r="E1153">
        <v>1779</v>
      </c>
      <c r="F1153">
        <v>14684</v>
      </c>
    </row>
    <row r="1154" spans="1:6" x14ac:dyDescent="0.3">
      <c r="A1154" s="1">
        <v>45619</v>
      </c>
      <c r="B1154" t="s">
        <v>22</v>
      </c>
      <c r="C1154">
        <v>6987</v>
      </c>
      <c r="D1154">
        <v>4234</v>
      </c>
      <c r="E1154">
        <v>1061</v>
      </c>
      <c r="F1154">
        <v>12282</v>
      </c>
    </row>
    <row r="1155" spans="1:6" x14ac:dyDescent="0.3">
      <c r="A1155" s="1">
        <v>45303</v>
      </c>
      <c r="B1155" t="s">
        <v>35</v>
      </c>
      <c r="C1155">
        <v>17529</v>
      </c>
      <c r="D1155">
        <v>3224</v>
      </c>
      <c r="E1155">
        <v>6368</v>
      </c>
      <c r="F1155">
        <v>27121</v>
      </c>
    </row>
    <row r="1156" spans="1:6" x14ac:dyDescent="0.3">
      <c r="A1156" s="1">
        <v>45481</v>
      </c>
      <c r="B1156" t="s">
        <v>26</v>
      </c>
      <c r="C1156">
        <v>12245</v>
      </c>
      <c r="D1156">
        <v>3620</v>
      </c>
      <c r="E1156">
        <v>7413</v>
      </c>
      <c r="F1156">
        <v>23278</v>
      </c>
    </row>
    <row r="1157" spans="1:6" x14ac:dyDescent="0.3">
      <c r="A1157" s="1">
        <v>45454</v>
      </c>
      <c r="B1157" t="s">
        <v>9</v>
      </c>
      <c r="C1157">
        <v>13964</v>
      </c>
      <c r="D1157">
        <v>4759</v>
      </c>
      <c r="E1157">
        <v>537</v>
      </c>
      <c r="F1157">
        <v>19260</v>
      </c>
    </row>
    <row r="1158" spans="1:6" x14ac:dyDescent="0.3">
      <c r="A1158" s="1">
        <v>45307</v>
      </c>
      <c r="B1158" t="s">
        <v>9</v>
      </c>
      <c r="C1158">
        <v>13020</v>
      </c>
      <c r="D1158">
        <v>5551</v>
      </c>
      <c r="E1158">
        <v>5330</v>
      </c>
      <c r="F1158">
        <v>23901</v>
      </c>
    </row>
    <row r="1159" spans="1:6" x14ac:dyDescent="0.3">
      <c r="A1159" s="1">
        <v>45479</v>
      </c>
      <c r="B1159" t="s">
        <v>9</v>
      </c>
      <c r="C1159">
        <v>5527</v>
      </c>
      <c r="D1159">
        <v>2764</v>
      </c>
      <c r="E1159">
        <v>3087</v>
      </c>
      <c r="F1159">
        <v>11378</v>
      </c>
    </row>
    <row r="1160" spans="1:6" x14ac:dyDescent="0.3">
      <c r="A1160" s="1">
        <v>45544</v>
      </c>
      <c r="B1160" t="s">
        <v>13</v>
      </c>
      <c r="C1160">
        <v>19591</v>
      </c>
      <c r="D1160">
        <v>6184</v>
      </c>
      <c r="E1160">
        <v>5692</v>
      </c>
      <c r="F1160">
        <v>31467</v>
      </c>
    </row>
    <row r="1161" spans="1:6" x14ac:dyDescent="0.3">
      <c r="A1161" s="1">
        <v>45299</v>
      </c>
      <c r="B1161" t="s">
        <v>9</v>
      </c>
      <c r="C1161">
        <v>13277</v>
      </c>
      <c r="D1161">
        <v>9380</v>
      </c>
      <c r="E1161">
        <v>3605</v>
      </c>
      <c r="F1161">
        <v>26262</v>
      </c>
    </row>
    <row r="1162" spans="1:6" x14ac:dyDescent="0.3">
      <c r="A1162" s="1">
        <v>45348</v>
      </c>
      <c r="B1162" t="s">
        <v>35</v>
      </c>
      <c r="C1162">
        <v>10578</v>
      </c>
      <c r="D1162">
        <v>9782</v>
      </c>
      <c r="E1162">
        <v>5797</v>
      </c>
      <c r="F1162">
        <v>26157</v>
      </c>
    </row>
    <row r="1163" spans="1:6" x14ac:dyDescent="0.3">
      <c r="A1163" s="1">
        <v>45535</v>
      </c>
      <c r="B1163" t="s">
        <v>26</v>
      </c>
      <c r="C1163">
        <v>16208</v>
      </c>
      <c r="D1163">
        <v>2077</v>
      </c>
      <c r="E1163">
        <v>4973</v>
      </c>
      <c r="F1163">
        <v>23258</v>
      </c>
    </row>
    <row r="1164" spans="1:6" x14ac:dyDescent="0.3">
      <c r="A1164" s="1">
        <v>45376</v>
      </c>
      <c r="B1164" t="s">
        <v>9</v>
      </c>
      <c r="C1164">
        <v>6670</v>
      </c>
      <c r="D1164">
        <v>8122</v>
      </c>
      <c r="E1164">
        <v>1516</v>
      </c>
      <c r="F1164">
        <v>16308</v>
      </c>
    </row>
    <row r="1165" spans="1:6" x14ac:dyDescent="0.3">
      <c r="A1165" s="1">
        <v>45587</v>
      </c>
      <c r="B1165" t="s">
        <v>22</v>
      </c>
      <c r="C1165">
        <v>12875</v>
      </c>
      <c r="D1165">
        <v>4084</v>
      </c>
      <c r="E1165">
        <v>5447</v>
      </c>
      <c r="F1165">
        <v>22406</v>
      </c>
    </row>
    <row r="1166" spans="1:6" x14ac:dyDescent="0.3">
      <c r="A1166" s="1">
        <v>45323</v>
      </c>
      <c r="B1166" t="s">
        <v>35</v>
      </c>
      <c r="C1166">
        <v>12872</v>
      </c>
      <c r="D1166">
        <v>9263</v>
      </c>
      <c r="E1166">
        <v>3141</v>
      </c>
      <c r="F1166">
        <v>25276</v>
      </c>
    </row>
    <row r="1167" spans="1:6" x14ac:dyDescent="0.3">
      <c r="A1167" s="1">
        <v>45314</v>
      </c>
      <c r="B1167" t="s">
        <v>26</v>
      </c>
      <c r="C1167">
        <v>16322</v>
      </c>
      <c r="D1167">
        <v>1676</v>
      </c>
      <c r="E1167">
        <v>3740</v>
      </c>
      <c r="F1167">
        <v>21738</v>
      </c>
    </row>
    <row r="1168" spans="1:6" x14ac:dyDescent="0.3">
      <c r="A1168" s="1">
        <v>45373</v>
      </c>
      <c r="B1168" t="s">
        <v>22</v>
      </c>
      <c r="C1168">
        <v>7808</v>
      </c>
      <c r="D1168">
        <v>7486</v>
      </c>
      <c r="E1168">
        <v>7305</v>
      </c>
      <c r="F1168">
        <v>22599</v>
      </c>
    </row>
    <row r="1169" spans="1:6" x14ac:dyDescent="0.3">
      <c r="A1169" s="1">
        <v>45425</v>
      </c>
      <c r="B1169" t="s">
        <v>13</v>
      </c>
      <c r="C1169">
        <v>7220</v>
      </c>
      <c r="D1169">
        <v>5284</v>
      </c>
      <c r="E1169">
        <v>4077</v>
      </c>
      <c r="F1169">
        <v>16581</v>
      </c>
    </row>
    <row r="1170" spans="1:6" x14ac:dyDescent="0.3">
      <c r="A1170" s="1">
        <v>45556</v>
      </c>
      <c r="B1170" t="s">
        <v>9</v>
      </c>
      <c r="C1170">
        <v>5874</v>
      </c>
      <c r="D1170">
        <v>2801</v>
      </c>
      <c r="E1170">
        <v>3252</v>
      </c>
      <c r="F1170">
        <v>11927</v>
      </c>
    </row>
    <row r="1171" spans="1:6" x14ac:dyDescent="0.3">
      <c r="A1171" s="1">
        <v>45636</v>
      </c>
      <c r="B1171" t="s">
        <v>13</v>
      </c>
      <c r="C1171">
        <v>9577</v>
      </c>
      <c r="D1171">
        <v>5420</v>
      </c>
      <c r="E1171">
        <v>2383</v>
      </c>
      <c r="F1171">
        <v>17380</v>
      </c>
    </row>
    <row r="1172" spans="1:6" x14ac:dyDescent="0.3">
      <c r="A1172" s="1">
        <v>45474</v>
      </c>
      <c r="B1172" t="s">
        <v>22</v>
      </c>
      <c r="C1172">
        <v>14192</v>
      </c>
      <c r="D1172">
        <v>3712</v>
      </c>
      <c r="E1172">
        <v>4160</v>
      </c>
      <c r="F1172">
        <v>22064</v>
      </c>
    </row>
    <row r="1173" spans="1:6" x14ac:dyDescent="0.3">
      <c r="A1173" s="1">
        <v>45321</v>
      </c>
      <c r="B1173" t="s">
        <v>13</v>
      </c>
      <c r="C1173">
        <v>12065</v>
      </c>
      <c r="D1173">
        <v>6364</v>
      </c>
      <c r="E1173">
        <v>2011</v>
      </c>
      <c r="F1173">
        <v>20440</v>
      </c>
    </row>
    <row r="1174" spans="1:6" x14ac:dyDescent="0.3">
      <c r="A1174" s="1">
        <v>45561</v>
      </c>
      <c r="B1174" t="s">
        <v>22</v>
      </c>
      <c r="C1174">
        <v>12129</v>
      </c>
      <c r="D1174">
        <v>5510</v>
      </c>
      <c r="E1174">
        <v>6035</v>
      </c>
      <c r="F1174">
        <v>23674</v>
      </c>
    </row>
    <row r="1175" spans="1:6" x14ac:dyDescent="0.3">
      <c r="A1175" s="1">
        <v>45619</v>
      </c>
      <c r="B1175" t="s">
        <v>13</v>
      </c>
      <c r="C1175">
        <v>17277</v>
      </c>
      <c r="D1175">
        <v>3154</v>
      </c>
      <c r="E1175">
        <v>2113</v>
      </c>
      <c r="F1175">
        <v>22544</v>
      </c>
    </row>
    <row r="1176" spans="1:6" x14ac:dyDescent="0.3">
      <c r="A1176" s="1">
        <v>45592</v>
      </c>
      <c r="B1176" t="s">
        <v>13</v>
      </c>
      <c r="C1176">
        <v>16433</v>
      </c>
      <c r="D1176">
        <v>6807</v>
      </c>
      <c r="E1176">
        <v>1472</v>
      </c>
      <c r="F1176">
        <v>24712</v>
      </c>
    </row>
    <row r="1177" spans="1:6" x14ac:dyDescent="0.3">
      <c r="A1177" s="1">
        <v>45653</v>
      </c>
      <c r="B1177" t="s">
        <v>13</v>
      </c>
      <c r="C1177">
        <v>6151</v>
      </c>
      <c r="D1177">
        <v>5983</v>
      </c>
      <c r="E1177">
        <v>3981</v>
      </c>
      <c r="F1177">
        <v>16115</v>
      </c>
    </row>
    <row r="1178" spans="1:6" x14ac:dyDescent="0.3">
      <c r="A1178" s="1">
        <v>45645</v>
      </c>
      <c r="B1178" t="s">
        <v>22</v>
      </c>
      <c r="C1178">
        <v>16027</v>
      </c>
      <c r="D1178">
        <v>6438</v>
      </c>
      <c r="E1178">
        <v>5511</v>
      </c>
      <c r="F1178">
        <v>27976</v>
      </c>
    </row>
    <row r="1179" spans="1:6" x14ac:dyDescent="0.3">
      <c r="A1179" s="1">
        <v>45577</v>
      </c>
      <c r="B1179" t="s">
        <v>35</v>
      </c>
      <c r="C1179">
        <v>2985</v>
      </c>
      <c r="D1179">
        <v>8099</v>
      </c>
      <c r="E1179">
        <v>982</v>
      </c>
      <c r="F1179">
        <v>12066</v>
      </c>
    </row>
    <row r="1180" spans="1:6" x14ac:dyDescent="0.3">
      <c r="A1180" s="1">
        <v>45569</v>
      </c>
      <c r="B1180" t="s">
        <v>13</v>
      </c>
      <c r="C1180">
        <v>8519</v>
      </c>
      <c r="D1180">
        <v>8408</v>
      </c>
      <c r="E1180">
        <v>4967</v>
      </c>
      <c r="F1180">
        <v>21894</v>
      </c>
    </row>
    <row r="1181" spans="1:6" x14ac:dyDescent="0.3">
      <c r="A1181" s="1">
        <v>45530</v>
      </c>
      <c r="B1181" t="s">
        <v>13</v>
      </c>
      <c r="C1181">
        <v>10405</v>
      </c>
      <c r="D1181">
        <v>8613</v>
      </c>
      <c r="E1181">
        <v>1916</v>
      </c>
      <c r="F1181">
        <v>20934</v>
      </c>
    </row>
    <row r="1182" spans="1:6" x14ac:dyDescent="0.3">
      <c r="A1182" s="1">
        <v>45475</v>
      </c>
      <c r="B1182" t="s">
        <v>9</v>
      </c>
      <c r="C1182">
        <v>11004</v>
      </c>
      <c r="D1182">
        <v>4375</v>
      </c>
      <c r="E1182">
        <v>1828</v>
      </c>
      <c r="F1182">
        <v>17207</v>
      </c>
    </row>
    <row r="1183" spans="1:6" x14ac:dyDescent="0.3">
      <c r="A1183" s="1">
        <v>45561</v>
      </c>
      <c r="B1183" t="s">
        <v>35</v>
      </c>
      <c r="C1183">
        <v>10117</v>
      </c>
      <c r="D1183">
        <v>2964</v>
      </c>
      <c r="E1183">
        <v>6300</v>
      </c>
      <c r="F1183">
        <v>19381</v>
      </c>
    </row>
    <row r="1184" spans="1:6" x14ac:dyDescent="0.3">
      <c r="A1184" s="1">
        <v>45427</v>
      </c>
      <c r="B1184" t="s">
        <v>9</v>
      </c>
      <c r="C1184">
        <v>16829</v>
      </c>
      <c r="D1184">
        <v>6135</v>
      </c>
      <c r="E1184">
        <v>6137</v>
      </c>
      <c r="F1184">
        <v>29101</v>
      </c>
    </row>
    <row r="1185" spans="1:6" x14ac:dyDescent="0.3">
      <c r="A1185" s="1">
        <v>45619</v>
      </c>
      <c r="B1185" t="s">
        <v>22</v>
      </c>
      <c r="C1185">
        <v>16681</v>
      </c>
      <c r="D1185">
        <v>8577</v>
      </c>
      <c r="E1185">
        <v>3515</v>
      </c>
      <c r="F1185">
        <v>28773</v>
      </c>
    </row>
    <row r="1186" spans="1:6" x14ac:dyDescent="0.3">
      <c r="A1186" s="1">
        <v>45572</v>
      </c>
      <c r="B1186" t="s">
        <v>26</v>
      </c>
      <c r="C1186">
        <v>9360</v>
      </c>
      <c r="D1186">
        <v>9562</v>
      </c>
      <c r="E1186">
        <v>6966</v>
      </c>
      <c r="F1186">
        <v>25888</v>
      </c>
    </row>
    <row r="1187" spans="1:6" x14ac:dyDescent="0.3">
      <c r="A1187" s="1">
        <v>45573</v>
      </c>
      <c r="B1187" t="s">
        <v>22</v>
      </c>
      <c r="C1187">
        <v>12789</v>
      </c>
      <c r="D1187">
        <v>5148</v>
      </c>
      <c r="E1187">
        <v>7784</v>
      </c>
      <c r="F1187">
        <v>25721</v>
      </c>
    </row>
    <row r="1188" spans="1:6" x14ac:dyDescent="0.3">
      <c r="A1188" s="1">
        <v>45401</v>
      </c>
      <c r="B1188" t="s">
        <v>35</v>
      </c>
      <c r="C1188">
        <v>3104</v>
      </c>
      <c r="D1188">
        <v>2190</v>
      </c>
      <c r="E1188">
        <v>1236</v>
      </c>
      <c r="F1188">
        <v>6530</v>
      </c>
    </row>
    <row r="1189" spans="1:6" x14ac:dyDescent="0.3">
      <c r="A1189" s="1">
        <v>45527</v>
      </c>
      <c r="B1189" t="s">
        <v>35</v>
      </c>
      <c r="C1189">
        <v>14332</v>
      </c>
      <c r="D1189">
        <v>1040</v>
      </c>
      <c r="E1189">
        <v>7086</v>
      </c>
      <c r="F1189">
        <v>22458</v>
      </c>
    </row>
    <row r="1190" spans="1:6" x14ac:dyDescent="0.3">
      <c r="A1190" s="1">
        <v>45392</v>
      </c>
      <c r="B1190" t="s">
        <v>35</v>
      </c>
      <c r="C1190">
        <v>5007</v>
      </c>
      <c r="D1190">
        <v>8805</v>
      </c>
      <c r="E1190">
        <v>3322</v>
      </c>
      <c r="F1190">
        <v>17134</v>
      </c>
    </row>
    <row r="1191" spans="1:6" x14ac:dyDescent="0.3">
      <c r="A1191" s="1">
        <v>45561</v>
      </c>
      <c r="B1191" t="s">
        <v>35</v>
      </c>
      <c r="C1191">
        <v>11501</v>
      </c>
      <c r="D1191">
        <v>5421</v>
      </c>
      <c r="E1191">
        <v>929</v>
      </c>
      <c r="F1191">
        <v>17851</v>
      </c>
    </row>
    <row r="1192" spans="1:6" x14ac:dyDescent="0.3">
      <c r="A1192" s="1">
        <v>45351</v>
      </c>
      <c r="B1192" t="s">
        <v>22</v>
      </c>
      <c r="C1192">
        <v>13255</v>
      </c>
      <c r="D1192">
        <v>2506</v>
      </c>
      <c r="E1192">
        <v>5692</v>
      </c>
      <c r="F1192">
        <v>21453</v>
      </c>
    </row>
    <row r="1193" spans="1:6" x14ac:dyDescent="0.3">
      <c r="A1193" s="1">
        <v>45379</v>
      </c>
      <c r="B1193" t="s">
        <v>26</v>
      </c>
      <c r="C1193">
        <v>19850</v>
      </c>
      <c r="D1193">
        <v>1821</v>
      </c>
      <c r="E1193">
        <v>3339</v>
      </c>
      <c r="F1193">
        <v>25010</v>
      </c>
    </row>
    <row r="1194" spans="1:6" x14ac:dyDescent="0.3">
      <c r="A1194" s="1">
        <v>45450</v>
      </c>
      <c r="B1194" t="s">
        <v>35</v>
      </c>
      <c r="C1194">
        <v>3304</v>
      </c>
      <c r="D1194">
        <v>9637</v>
      </c>
      <c r="E1194">
        <v>6069</v>
      </c>
      <c r="F1194">
        <v>19010</v>
      </c>
    </row>
    <row r="1195" spans="1:6" x14ac:dyDescent="0.3">
      <c r="A1195" s="1">
        <v>45408</v>
      </c>
      <c r="B1195" t="s">
        <v>9</v>
      </c>
      <c r="C1195">
        <v>13446</v>
      </c>
      <c r="D1195">
        <v>7203</v>
      </c>
      <c r="E1195">
        <v>7355</v>
      </c>
      <c r="F1195">
        <v>28004</v>
      </c>
    </row>
    <row r="1196" spans="1:6" x14ac:dyDescent="0.3">
      <c r="A1196" s="1">
        <v>45450</v>
      </c>
      <c r="B1196" t="s">
        <v>22</v>
      </c>
      <c r="C1196">
        <v>15713</v>
      </c>
      <c r="D1196">
        <v>8472</v>
      </c>
      <c r="E1196">
        <v>3506</v>
      </c>
      <c r="F1196">
        <v>27691</v>
      </c>
    </row>
    <row r="1197" spans="1:6" x14ac:dyDescent="0.3">
      <c r="A1197" s="1">
        <v>45387</v>
      </c>
      <c r="B1197" t="s">
        <v>13</v>
      </c>
      <c r="C1197">
        <v>6714</v>
      </c>
      <c r="D1197">
        <v>3840</v>
      </c>
      <c r="E1197">
        <v>1508</v>
      </c>
      <c r="F1197">
        <v>12062</v>
      </c>
    </row>
    <row r="1198" spans="1:6" x14ac:dyDescent="0.3">
      <c r="A1198" s="1">
        <v>45327</v>
      </c>
      <c r="B1198" t="s">
        <v>22</v>
      </c>
      <c r="C1198">
        <v>13498</v>
      </c>
      <c r="D1198">
        <v>1956</v>
      </c>
      <c r="E1198">
        <v>3979</v>
      </c>
      <c r="F1198">
        <v>19433</v>
      </c>
    </row>
    <row r="1199" spans="1:6" x14ac:dyDescent="0.3">
      <c r="A1199" s="1">
        <v>45495</v>
      </c>
      <c r="B1199" t="s">
        <v>26</v>
      </c>
      <c r="C1199">
        <v>6072</v>
      </c>
      <c r="D1199">
        <v>5548</v>
      </c>
      <c r="E1199">
        <v>761</v>
      </c>
      <c r="F1199">
        <v>12381</v>
      </c>
    </row>
    <row r="1200" spans="1:6" x14ac:dyDescent="0.3">
      <c r="A1200" s="1">
        <v>45546</v>
      </c>
      <c r="B1200" t="s">
        <v>26</v>
      </c>
      <c r="C1200">
        <v>14886</v>
      </c>
      <c r="D1200">
        <v>7447</v>
      </c>
      <c r="E1200">
        <v>3527</v>
      </c>
      <c r="F1200">
        <v>25860</v>
      </c>
    </row>
    <row r="1201" spans="1:6" x14ac:dyDescent="0.3">
      <c r="A1201" s="1">
        <v>45517</v>
      </c>
      <c r="B1201" t="s">
        <v>35</v>
      </c>
      <c r="C1201">
        <v>16624</v>
      </c>
      <c r="D1201">
        <v>3140</v>
      </c>
      <c r="E1201">
        <v>7664</v>
      </c>
      <c r="F1201">
        <v>27428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E468-71F9-4966-A0A3-9E23A851B4EE}">
  <dimension ref="A3:J16"/>
  <sheetViews>
    <sheetView workbookViewId="0">
      <selection activeCell="Q21" sqref="Q21"/>
    </sheetView>
  </sheetViews>
  <sheetFormatPr defaultRowHeight="14.4" x14ac:dyDescent="0.3"/>
  <cols>
    <col min="1" max="1" width="10.77734375" bestFit="1" customWidth="1"/>
    <col min="2" max="2" width="9" bestFit="1" customWidth="1"/>
    <col min="5" max="5" width="10.77734375" bestFit="1" customWidth="1"/>
    <col min="6" max="6" width="9" bestFit="1" customWidth="1"/>
  </cols>
  <sheetData>
    <row r="3" spans="1:10" x14ac:dyDescent="0.3">
      <c r="A3" s="37" t="s">
        <v>1539</v>
      </c>
      <c r="B3" t="s">
        <v>1815</v>
      </c>
      <c r="E3" s="37" t="s">
        <v>1539</v>
      </c>
      <c r="F3" t="s">
        <v>1816</v>
      </c>
      <c r="H3" t="str">
        <f>E3</f>
        <v>Month</v>
      </c>
      <c r="I3" t="str">
        <f>B3</f>
        <v>Actual</v>
      </c>
      <c r="J3" t="str">
        <f>F3</f>
        <v xml:space="preserve">Budget </v>
      </c>
    </row>
    <row r="4" spans="1:10" x14ac:dyDescent="0.3">
      <c r="A4" s="38" t="s">
        <v>1779</v>
      </c>
      <c r="B4" s="39">
        <v>4507726</v>
      </c>
      <c r="E4" s="38" t="s">
        <v>1779</v>
      </c>
      <c r="F4" s="39">
        <v>3907772</v>
      </c>
      <c r="H4" t="str">
        <f t="shared" ref="H4:H15" si="0">E4</f>
        <v>Jan</v>
      </c>
      <c r="I4">
        <f t="shared" ref="I4:I15" si="1">B4</f>
        <v>4507726</v>
      </c>
      <c r="J4">
        <f t="shared" ref="J4:J15" si="2">F4</f>
        <v>3907772</v>
      </c>
    </row>
    <row r="5" spans="1:10" x14ac:dyDescent="0.3">
      <c r="A5" s="38" t="s">
        <v>1780</v>
      </c>
      <c r="B5" s="39">
        <v>4319447</v>
      </c>
      <c r="E5" s="38" t="s">
        <v>1780</v>
      </c>
      <c r="F5" s="39">
        <v>4818021</v>
      </c>
      <c r="H5" t="str">
        <f t="shared" si="0"/>
        <v>Feb</v>
      </c>
      <c r="I5">
        <f t="shared" si="1"/>
        <v>4319447</v>
      </c>
      <c r="J5">
        <f t="shared" si="2"/>
        <v>4818021</v>
      </c>
    </row>
    <row r="6" spans="1:10" x14ac:dyDescent="0.3">
      <c r="A6" s="38" t="s">
        <v>1781</v>
      </c>
      <c r="B6" s="39">
        <v>4727879</v>
      </c>
      <c r="E6" s="38" t="s">
        <v>1781</v>
      </c>
      <c r="F6" s="39">
        <v>5506033</v>
      </c>
      <c r="H6" t="str">
        <f t="shared" si="0"/>
        <v>Mar</v>
      </c>
      <c r="I6">
        <f t="shared" si="1"/>
        <v>4727879</v>
      </c>
      <c r="J6">
        <f t="shared" si="2"/>
        <v>5506033</v>
      </c>
    </row>
    <row r="7" spans="1:10" x14ac:dyDescent="0.3">
      <c r="A7" s="38" t="s">
        <v>1782</v>
      </c>
      <c r="B7" s="39">
        <v>4500499</v>
      </c>
      <c r="E7" s="38" t="s">
        <v>1782</v>
      </c>
      <c r="F7" s="39">
        <v>4895832</v>
      </c>
      <c r="H7" t="str">
        <f t="shared" si="0"/>
        <v>Apr</v>
      </c>
      <c r="I7">
        <f t="shared" si="1"/>
        <v>4500499</v>
      </c>
      <c r="J7">
        <f t="shared" si="2"/>
        <v>4895832</v>
      </c>
    </row>
    <row r="8" spans="1:10" x14ac:dyDescent="0.3">
      <c r="A8" s="38" t="s">
        <v>1778</v>
      </c>
      <c r="B8" s="39">
        <v>6300236</v>
      </c>
      <c r="E8" s="38" t="s">
        <v>1778</v>
      </c>
      <c r="F8" s="39">
        <v>3972259</v>
      </c>
      <c r="H8" t="str">
        <f t="shared" si="0"/>
        <v>May</v>
      </c>
      <c r="I8">
        <f t="shared" si="1"/>
        <v>6300236</v>
      </c>
      <c r="J8">
        <f t="shared" si="2"/>
        <v>3972259</v>
      </c>
    </row>
    <row r="9" spans="1:10" x14ac:dyDescent="0.3">
      <c r="A9" s="38" t="s">
        <v>1783</v>
      </c>
      <c r="B9" s="39">
        <v>6051932</v>
      </c>
      <c r="E9" s="38" t="s">
        <v>1783</v>
      </c>
      <c r="F9" s="39">
        <v>5165177</v>
      </c>
      <c r="H9" t="str">
        <f t="shared" si="0"/>
        <v>Jun</v>
      </c>
      <c r="I9">
        <f t="shared" si="1"/>
        <v>6051932</v>
      </c>
      <c r="J9">
        <f t="shared" si="2"/>
        <v>5165177</v>
      </c>
    </row>
    <row r="10" spans="1:10" x14ac:dyDescent="0.3">
      <c r="A10" s="38" t="s">
        <v>1784</v>
      </c>
      <c r="B10" s="39">
        <v>5195852</v>
      </c>
      <c r="E10" s="38" t="s">
        <v>1784</v>
      </c>
      <c r="F10" s="39">
        <v>5521056</v>
      </c>
      <c r="H10" t="str">
        <f t="shared" si="0"/>
        <v>Jul</v>
      </c>
      <c r="I10">
        <f t="shared" si="1"/>
        <v>5195852</v>
      </c>
      <c r="J10">
        <f t="shared" si="2"/>
        <v>5521056</v>
      </c>
    </row>
    <row r="11" spans="1:10" x14ac:dyDescent="0.3">
      <c r="A11" s="38" t="s">
        <v>1785</v>
      </c>
      <c r="B11" s="39">
        <v>5753695</v>
      </c>
      <c r="E11" s="38" t="s">
        <v>1785</v>
      </c>
      <c r="F11" s="39">
        <v>5347705</v>
      </c>
      <c r="H11" t="str">
        <f t="shared" si="0"/>
        <v>Aug</v>
      </c>
      <c r="I11">
        <f t="shared" si="1"/>
        <v>5753695</v>
      </c>
      <c r="J11">
        <f t="shared" si="2"/>
        <v>5347705</v>
      </c>
    </row>
    <row r="12" spans="1:10" x14ac:dyDescent="0.3">
      <c r="A12" s="38" t="s">
        <v>1786</v>
      </c>
      <c r="B12" s="39">
        <v>4865596</v>
      </c>
      <c r="E12" s="38" t="s">
        <v>1786</v>
      </c>
      <c r="F12" s="39">
        <v>5032892</v>
      </c>
      <c r="H12" t="str">
        <f t="shared" si="0"/>
        <v>Sep</v>
      </c>
      <c r="I12">
        <f t="shared" si="1"/>
        <v>4865596</v>
      </c>
      <c r="J12">
        <f t="shared" si="2"/>
        <v>5032892</v>
      </c>
    </row>
    <row r="13" spans="1:10" x14ac:dyDescent="0.3">
      <c r="A13" s="38" t="s">
        <v>1787</v>
      </c>
      <c r="B13" s="39">
        <v>5302187</v>
      </c>
      <c r="E13" s="38" t="s">
        <v>1787</v>
      </c>
      <c r="F13" s="39">
        <v>5325704</v>
      </c>
      <c r="H13" t="str">
        <f t="shared" si="0"/>
        <v>Oct</v>
      </c>
      <c r="I13">
        <f t="shared" si="1"/>
        <v>5302187</v>
      </c>
      <c r="J13">
        <f t="shared" si="2"/>
        <v>5325704</v>
      </c>
    </row>
    <row r="14" spans="1:10" x14ac:dyDescent="0.3">
      <c r="A14" s="38" t="s">
        <v>1788</v>
      </c>
      <c r="B14" s="39">
        <v>5922727</v>
      </c>
      <c r="E14" s="38" t="s">
        <v>1788</v>
      </c>
      <c r="F14" s="39">
        <v>4588709</v>
      </c>
      <c r="H14" t="str">
        <f t="shared" si="0"/>
        <v>Nov</v>
      </c>
      <c r="I14">
        <f t="shared" si="1"/>
        <v>5922727</v>
      </c>
      <c r="J14">
        <f t="shared" si="2"/>
        <v>4588709</v>
      </c>
    </row>
    <row r="15" spans="1:10" x14ac:dyDescent="0.3">
      <c r="A15" s="38" t="s">
        <v>1789</v>
      </c>
      <c r="B15" s="39">
        <v>4791738</v>
      </c>
      <c r="E15" s="38" t="s">
        <v>1789</v>
      </c>
      <c r="F15" s="39">
        <v>4746776</v>
      </c>
      <c r="H15" t="str">
        <f t="shared" si="0"/>
        <v>Dec</v>
      </c>
      <c r="I15">
        <f t="shared" si="1"/>
        <v>4791738</v>
      </c>
      <c r="J15">
        <f t="shared" si="2"/>
        <v>4746776</v>
      </c>
    </row>
    <row r="16" spans="1:10" x14ac:dyDescent="0.3">
      <c r="A16" s="38" t="s">
        <v>1773</v>
      </c>
      <c r="B16" s="39">
        <v>62239514</v>
      </c>
      <c r="E16" s="38" t="s">
        <v>1773</v>
      </c>
      <c r="F16" s="39">
        <v>58827936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01"/>
  <sheetViews>
    <sheetView topLeftCell="A1175" workbookViewId="0">
      <selection sqref="A1:F1201"/>
    </sheetView>
  </sheetViews>
  <sheetFormatPr defaultRowHeight="14.4" x14ac:dyDescent="0.3"/>
  <cols>
    <col min="1" max="1" width="18.88671875" style="1" customWidth="1"/>
    <col min="2" max="2" width="13" customWidth="1"/>
    <col min="3" max="3" width="14.88671875" customWidth="1"/>
    <col min="4" max="4" width="9.77734375" customWidth="1"/>
    <col min="6" max="6" width="13.88671875" customWidth="1"/>
    <col min="9" max="9" width="14.6640625" bestFit="1" customWidth="1"/>
    <col min="10" max="10" width="9" bestFit="1" customWidth="1"/>
    <col min="13" max="13" width="14.44140625" bestFit="1" customWidth="1"/>
  </cols>
  <sheetData>
    <row r="1" spans="1:16" x14ac:dyDescent="0.3">
      <c r="A1" s="1" t="s">
        <v>0</v>
      </c>
      <c r="B1" t="s">
        <v>1526</v>
      </c>
      <c r="C1" t="s">
        <v>1527</v>
      </c>
      <c r="D1" t="s">
        <v>1528</v>
      </c>
      <c r="E1" t="s">
        <v>1775</v>
      </c>
      <c r="F1" t="s">
        <v>1814</v>
      </c>
    </row>
    <row r="2" spans="1:16" x14ac:dyDescent="0.3">
      <c r="A2" s="1">
        <v>45293</v>
      </c>
      <c r="B2" t="s">
        <v>1529</v>
      </c>
      <c r="C2" t="s">
        <v>1537</v>
      </c>
      <c r="D2">
        <v>11677</v>
      </c>
      <c r="E2">
        <f>MONTH(tblExpense[[#This Row],[Date]])</f>
        <v>1</v>
      </c>
      <c r="F2" t="str">
        <f>TEXT(tblExpense[[#This Row],[Date]],"mmm")</f>
        <v>Jan</v>
      </c>
    </row>
    <row r="3" spans="1:16" x14ac:dyDescent="0.3">
      <c r="A3" s="1">
        <v>45304</v>
      </c>
      <c r="B3" t="s">
        <v>1531</v>
      </c>
      <c r="C3" t="s">
        <v>1537</v>
      </c>
      <c r="D3">
        <v>27881</v>
      </c>
      <c r="E3">
        <f>MONTH(tblExpense[[#This Row],[Date]])</f>
        <v>1</v>
      </c>
      <c r="F3" t="str">
        <f>TEXT(tblExpense[[#This Row],[Date]],"mmm")</f>
        <v>Jan</v>
      </c>
    </row>
    <row r="4" spans="1:16" x14ac:dyDescent="0.3">
      <c r="A4" s="1">
        <v>45300</v>
      </c>
      <c r="B4" t="s">
        <v>1531</v>
      </c>
      <c r="C4" t="s">
        <v>1537</v>
      </c>
      <c r="D4">
        <v>77833</v>
      </c>
      <c r="E4">
        <f>MONTH(tblExpense[[#This Row],[Date]])</f>
        <v>1</v>
      </c>
      <c r="F4" t="str">
        <f>TEXT(tblExpense[[#This Row],[Date]],"mmm")</f>
        <v>Jan</v>
      </c>
    </row>
    <row r="5" spans="1:16" x14ac:dyDescent="0.3">
      <c r="A5" s="1">
        <v>45292</v>
      </c>
      <c r="B5" t="s">
        <v>1533</v>
      </c>
      <c r="C5" t="s">
        <v>1532</v>
      </c>
      <c r="D5">
        <v>72965</v>
      </c>
      <c r="E5">
        <f>MONTH(tblExpense[[#This Row],[Date]])</f>
        <v>1</v>
      </c>
      <c r="F5" t="str">
        <f>TEXT(tblExpense[[#This Row],[Date]],"mmm")</f>
        <v>Jan</v>
      </c>
      <c r="I5" s="37" t="s">
        <v>1811</v>
      </c>
      <c r="J5" t="s">
        <v>1812</v>
      </c>
    </row>
    <row r="6" spans="1:16" x14ac:dyDescent="0.3">
      <c r="A6" s="1">
        <v>45315</v>
      </c>
      <c r="B6" t="s">
        <v>1536</v>
      </c>
      <c r="C6" t="s">
        <v>1534</v>
      </c>
      <c r="D6">
        <v>28119</v>
      </c>
      <c r="E6">
        <f>MONTH(tblExpense[[#This Row],[Date]])</f>
        <v>1</v>
      </c>
      <c r="F6" t="str">
        <f>TEXT(tblExpense[[#This Row],[Date]],"mmm")</f>
        <v>Jan</v>
      </c>
      <c r="I6" s="38" t="s">
        <v>1535</v>
      </c>
      <c r="J6" s="39">
        <v>12255922</v>
      </c>
    </row>
    <row r="7" spans="1:16" x14ac:dyDescent="0.3">
      <c r="A7" s="1">
        <v>45319</v>
      </c>
      <c r="B7" t="s">
        <v>1529</v>
      </c>
      <c r="C7" t="s">
        <v>1535</v>
      </c>
      <c r="D7">
        <v>21856</v>
      </c>
      <c r="E7">
        <f>MONTH(tblExpense[[#This Row],[Date]])</f>
        <v>1</v>
      </c>
      <c r="F7" t="str">
        <f>TEXT(tblExpense[[#This Row],[Date]],"mmm")</f>
        <v>Jan</v>
      </c>
      <c r="I7" s="38" t="s">
        <v>1537</v>
      </c>
      <c r="J7" s="39">
        <v>11923780</v>
      </c>
      <c r="N7" s="28"/>
      <c r="O7" s="29"/>
      <c r="P7" s="30"/>
    </row>
    <row r="8" spans="1:16" x14ac:dyDescent="0.3">
      <c r="A8" s="1">
        <v>45315</v>
      </c>
      <c r="B8" t="s">
        <v>1533</v>
      </c>
      <c r="C8" t="s">
        <v>1530</v>
      </c>
      <c r="D8">
        <v>30713</v>
      </c>
      <c r="E8">
        <f>MONTH(tblExpense[[#This Row],[Date]])</f>
        <v>1</v>
      </c>
      <c r="F8" t="str">
        <f>TEXT(tblExpense[[#This Row],[Date]],"mmm")</f>
        <v>Jan</v>
      </c>
      <c r="I8" s="38" t="s">
        <v>1532</v>
      </c>
      <c r="J8" s="39">
        <v>12597865</v>
      </c>
      <c r="N8" s="31"/>
      <c r="O8" s="32"/>
      <c r="P8" s="33"/>
    </row>
    <row r="9" spans="1:16" x14ac:dyDescent="0.3">
      <c r="A9" s="1">
        <v>45300</v>
      </c>
      <c r="B9" t="s">
        <v>1533</v>
      </c>
      <c r="C9" t="s">
        <v>1535</v>
      </c>
      <c r="D9">
        <v>52057</v>
      </c>
      <c r="E9">
        <f>MONTH(tblExpense[[#This Row],[Date]])</f>
        <v>1</v>
      </c>
      <c r="F9" t="str">
        <f>TEXT(tblExpense[[#This Row],[Date]],"mmm")</f>
        <v>Jan</v>
      </c>
      <c r="I9" s="38" t="s">
        <v>1534</v>
      </c>
      <c r="J9" s="39">
        <v>12363172</v>
      </c>
      <c r="N9" s="31"/>
      <c r="O9" s="32"/>
      <c r="P9" s="33"/>
    </row>
    <row r="10" spans="1:16" x14ac:dyDescent="0.3">
      <c r="A10" s="1">
        <v>45319</v>
      </c>
      <c r="B10" t="s">
        <v>1529</v>
      </c>
      <c r="C10" t="s">
        <v>1537</v>
      </c>
      <c r="D10">
        <v>75237</v>
      </c>
      <c r="E10">
        <f>MONTH(tblExpense[[#This Row],[Date]])</f>
        <v>1</v>
      </c>
      <c r="F10" t="str">
        <f>TEXT(tblExpense[[#This Row],[Date]],"mmm")</f>
        <v>Jan</v>
      </c>
      <c r="I10" s="38" t="s">
        <v>1530</v>
      </c>
      <c r="J10" s="39">
        <v>13098775</v>
      </c>
      <c r="N10" s="31"/>
      <c r="O10" s="32"/>
      <c r="P10" s="33"/>
    </row>
    <row r="11" spans="1:16" x14ac:dyDescent="0.3">
      <c r="A11" s="1">
        <v>45303</v>
      </c>
      <c r="B11" t="s">
        <v>1529</v>
      </c>
      <c r="C11" t="s">
        <v>1532</v>
      </c>
      <c r="D11">
        <v>5199</v>
      </c>
      <c r="E11">
        <f>MONTH(tblExpense[[#This Row],[Date]])</f>
        <v>1</v>
      </c>
      <c r="F11" t="str">
        <f>TEXT(tblExpense[[#This Row],[Date]],"mmm")</f>
        <v>Jan</v>
      </c>
      <c r="N11" s="31"/>
      <c r="O11" s="32"/>
      <c r="P11" s="33"/>
    </row>
    <row r="12" spans="1:16" x14ac:dyDescent="0.3">
      <c r="A12" s="1">
        <v>45319</v>
      </c>
      <c r="B12" t="s">
        <v>1536</v>
      </c>
      <c r="C12" t="s">
        <v>1534</v>
      </c>
      <c r="D12">
        <v>39584</v>
      </c>
      <c r="E12">
        <f>MONTH(tblExpense[[#This Row],[Date]])</f>
        <v>1</v>
      </c>
      <c r="F12" t="str">
        <f>TEXT(tblExpense[[#This Row],[Date]],"mmm")</f>
        <v>Jan</v>
      </c>
      <c r="N12" s="31"/>
      <c r="O12" s="32"/>
      <c r="P12" s="33"/>
    </row>
    <row r="13" spans="1:16" x14ac:dyDescent="0.3">
      <c r="A13" s="1">
        <v>45294</v>
      </c>
      <c r="B13" t="s">
        <v>1531</v>
      </c>
      <c r="C13" t="s">
        <v>1530</v>
      </c>
      <c r="D13">
        <v>11373</v>
      </c>
      <c r="E13">
        <f>MONTH(tblExpense[[#This Row],[Date]])</f>
        <v>1</v>
      </c>
      <c r="F13" t="str">
        <f>TEXT(tblExpense[[#This Row],[Date]],"mmm")</f>
        <v>Jan</v>
      </c>
      <c r="N13" s="31"/>
      <c r="O13" s="32"/>
      <c r="P13" s="33"/>
    </row>
    <row r="14" spans="1:16" x14ac:dyDescent="0.3">
      <c r="A14" s="1">
        <v>45308</v>
      </c>
      <c r="B14" t="s">
        <v>1531</v>
      </c>
      <c r="C14" t="s">
        <v>1532</v>
      </c>
      <c r="D14">
        <v>83126</v>
      </c>
      <c r="E14">
        <f>MONTH(tblExpense[[#This Row],[Date]])</f>
        <v>1</v>
      </c>
      <c r="F14" t="str">
        <f>TEXT(tblExpense[[#This Row],[Date]],"mmm")</f>
        <v>Jan</v>
      </c>
      <c r="N14" s="31"/>
      <c r="O14" s="32"/>
      <c r="P14" s="33"/>
    </row>
    <row r="15" spans="1:16" x14ac:dyDescent="0.3">
      <c r="A15" s="1">
        <v>45306</v>
      </c>
      <c r="B15" t="s">
        <v>1529</v>
      </c>
      <c r="C15" t="s">
        <v>1532</v>
      </c>
      <c r="D15">
        <v>82664</v>
      </c>
      <c r="E15">
        <f>MONTH(tblExpense[[#This Row],[Date]])</f>
        <v>1</v>
      </c>
      <c r="F15" t="str">
        <f>TEXT(tblExpense[[#This Row],[Date]],"mmm")</f>
        <v>Jan</v>
      </c>
      <c r="N15" s="31"/>
      <c r="O15" s="32"/>
      <c r="P15" s="33"/>
    </row>
    <row r="16" spans="1:16" x14ac:dyDescent="0.3">
      <c r="A16" s="1">
        <v>45311</v>
      </c>
      <c r="B16" t="s">
        <v>1538</v>
      </c>
      <c r="C16" t="s">
        <v>1530</v>
      </c>
      <c r="D16">
        <v>59322</v>
      </c>
      <c r="E16">
        <f>MONTH(tblExpense[[#This Row],[Date]])</f>
        <v>1</v>
      </c>
      <c r="F16" t="str">
        <f>TEXT(tblExpense[[#This Row],[Date]],"mmm")</f>
        <v>Jan</v>
      </c>
      <c r="N16" s="31"/>
      <c r="O16" s="32"/>
      <c r="P16" s="33"/>
    </row>
    <row r="17" spans="1:16" x14ac:dyDescent="0.3">
      <c r="A17" s="1">
        <v>45322</v>
      </c>
      <c r="B17" t="s">
        <v>1536</v>
      </c>
      <c r="C17" t="s">
        <v>1537</v>
      </c>
      <c r="D17">
        <v>44242</v>
      </c>
      <c r="E17">
        <f>MONTH(tblExpense[[#This Row],[Date]])</f>
        <v>1</v>
      </c>
      <c r="F17" t="str">
        <f>TEXT(tblExpense[[#This Row],[Date]],"mmm")</f>
        <v>Jan</v>
      </c>
      <c r="N17" s="31"/>
      <c r="O17" s="32"/>
      <c r="P17" s="33"/>
    </row>
    <row r="18" spans="1:16" x14ac:dyDescent="0.3">
      <c r="A18" s="1">
        <v>45302</v>
      </c>
      <c r="B18" t="s">
        <v>1529</v>
      </c>
      <c r="C18" t="s">
        <v>1535</v>
      </c>
      <c r="D18">
        <v>48104</v>
      </c>
      <c r="E18">
        <f>MONTH(tblExpense[[#This Row],[Date]])</f>
        <v>1</v>
      </c>
      <c r="F18" t="str">
        <f>TEXT(tblExpense[[#This Row],[Date]],"mmm")</f>
        <v>Jan</v>
      </c>
      <c r="N18" s="31"/>
      <c r="O18" s="32"/>
      <c r="P18" s="33"/>
    </row>
    <row r="19" spans="1:16" x14ac:dyDescent="0.3">
      <c r="A19" s="1">
        <v>45315</v>
      </c>
      <c r="B19" t="s">
        <v>1531</v>
      </c>
      <c r="C19" t="s">
        <v>1535</v>
      </c>
      <c r="D19">
        <v>41241</v>
      </c>
      <c r="E19">
        <f>MONTH(tblExpense[[#This Row],[Date]])</f>
        <v>1</v>
      </c>
      <c r="F19" t="str">
        <f>TEXT(tblExpense[[#This Row],[Date]],"mmm")</f>
        <v>Jan</v>
      </c>
      <c r="N19" s="31"/>
      <c r="O19" s="32"/>
      <c r="P19" s="33"/>
    </row>
    <row r="20" spans="1:16" x14ac:dyDescent="0.3">
      <c r="A20" s="1">
        <v>45318</v>
      </c>
      <c r="B20" t="s">
        <v>1529</v>
      </c>
      <c r="C20" t="s">
        <v>1534</v>
      </c>
      <c r="D20">
        <v>58145</v>
      </c>
      <c r="E20">
        <f>MONTH(tblExpense[[#This Row],[Date]])</f>
        <v>1</v>
      </c>
      <c r="F20" t="str">
        <f>TEXT(tblExpense[[#This Row],[Date]],"mmm")</f>
        <v>Jan</v>
      </c>
      <c r="N20" s="31"/>
      <c r="O20" s="32"/>
      <c r="P20" s="33"/>
    </row>
    <row r="21" spans="1:16" x14ac:dyDescent="0.3">
      <c r="A21" s="1">
        <v>45320</v>
      </c>
      <c r="B21" t="s">
        <v>1538</v>
      </c>
      <c r="C21" t="s">
        <v>1530</v>
      </c>
      <c r="D21">
        <v>13373</v>
      </c>
      <c r="E21">
        <f>MONTH(tblExpense[[#This Row],[Date]])</f>
        <v>1</v>
      </c>
      <c r="F21" t="str">
        <f>TEXT(tblExpense[[#This Row],[Date]],"mmm")</f>
        <v>Jan</v>
      </c>
      <c r="N21" s="31"/>
      <c r="O21" s="32"/>
      <c r="P21" s="33"/>
    </row>
    <row r="22" spans="1:16" x14ac:dyDescent="0.3">
      <c r="A22" s="1">
        <v>45304</v>
      </c>
      <c r="B22" t="s">
        <v>1531</v>
      </c>
      <c r="C22" t="s">
        <v>1532</v>
      </c>
      <c r="D22">
        <v>12766</v>
      </c>
      <c r="E22">
        <f>MONTH(tblExpense[[#This Row],[Date]])</f>
        <v>1</v>
      </c>
      <c r="F22" t="str">
        <f>TEXT(tblExpense[[#This Row],[Date]],"mmm")</f>
        <v>Jan</v>
      </c>
      <c r="N22" s="31"/>
      <c r="O22" s="32"/>
      <c r="P22" s="33"/>
    </row>
    <row r="23" spans="1:16" x14ac:dyDescent="0.3">
      <c r="A23" s="1">
        <v>45314</v>
      </c>
      <c r="B23" t="s">
        <v>1536</v>
      </c>
      <c r="C23" t="s">
        <v>1535</v>
      </c>
      <c r="D23">
        <v>6435</v>
      </c>
      <c r="E23">
        <f>MONTH(tblExpense[[#This Row],[Date]])</f>
        <v>1</v>
      </c>
      <c r="F23" t="str">
        <f>TEXT(tblExpense[[#This Row],[Date]],"mmm")</f>
        <v>Jan</v>
      </c>
      <c r="N23" s="31"/>
      <c r="O23" s="32"/>
      <c r="P23" s="33"/>
    </row>
    <row r="24" spans="1:16" x14ac:dyDescent="0.3">
      <c r="A24" s="1">
        <v>45297</v>
      </c>
      <c r="B24" t="s">
        <v>1529</v>
      </c>
      <c r="C24" t="s">
        <v>1532</v>
      </c>
      <c r="D24">
        <v>40369</v>
      </c>
      <c r="E24">
        <f>MONTH(tblExpense[[#This Row],[Date]])</f>
        <v>1</v>
      </c>
      <c r="F24" t="str">
        <f>TEXT(tblExpense[[#This Row],[Date]],"mmm")</f>
        <v>Jan</v>
      </c>
      <c r="N24" s="34"/>
      <c r="O24" s="35"/>
      <c r="P24" s="36"/>
    </row>
    <row r="25" spans="1:16" x14ac:dyDescent="0.3">
      <c r="A25" s="1">
        <v>45302</v>
      </c>
      <c r="B25" t="s">
        <v>1538</v>
      </c>
      <c r="C25" t="s">
        <v>1530</v>
      </c>
      <c r="D25">
        <v>22208</v>
      </c>
      <c r="E25">
        <f>MONTH(tblExpense[[#This Row],[Date]])</f>
        <v>1</v>
      </c>
      <c r="F25" t="str">
        <f>TEXT(tblExpense[[#This Row],[Date]],"mmm")</f>
        <v>Jan</v>
      </c>
    </row>
    <row r="26" spans="1:16" x14ac:dyDescent="0.3">
      <c r="A26" s="1">
        <v>45315</v>
      </c>
      <c r="B26" t="s">
        <v>1538</v>
      </c>
      <c r="C26" t="s">
        <v>1537</v>
      </c>
      <c r="D26">
        <v>64750</v>
      </c>
      <c r="E26">
        <f>MONTH(tblExpense[[#This Row],[Date]])</f>
        <v>1</v>
      </c>
      <c r="F26" t="str">
        <f>TEXT(tblExpense[[#This Row],[Date]],"mmm")</f>
        <v>Jan</v>
      </c>
    </row>
    <row r="27" spans="1:16" x14ac:dyDescent="0.3">
      <c r="A27" s="1">
        <v>45312</v>
      </c>
      <c r="B27" t="s">
        <v>1529</v>
      </c>
      <c r="C27" t="s">
        <v>1532</v>
      </c>
      <c r="D27">
        <v>94094</v>
      </c>
      <c r="E27">
        <f>MONTH(tblExpense[[#This Row],[Date]])</f>
        <v>1</v>
      </c>
      <c r="F27" t="str">
        <f>TEXT(tblExpense[[#This Row],[Date]],"mmm")</f>
        <v>Jan</v>
      </c>
    </row>
    <row r="28" spans="1:16" x14ac:dyDescent="0.3">
      <c r="A28" s="1">
        <v>45307</v>
      </c>
      <c r="B28" t="s">
        <v>1533</v>
      </c>
      <c r="C28" t="s">
        <v>1537</v>
      </c>
      <c r="D28">
        <v>5552</v>
      </c>
      <c r="E28">
        <f>MONTH(tblExpense[[#This Row],[Date]])</f>
        <v>1</v>
      </c>
      <c r="F28" t="str">
        <f>TEXT(tblExpense[[#This Row],[Date]],"mmm")</f>
        <v>Jan</v>
      </c>
    </row>
    <row r="29" spans="1:16" x14ac:dyDescent="0.3">
      <c r="A29" s="1">
        <v>45302</v>
      </c>
      <c r="B29" t="s">
        <v>1536</v>
      </c>
      <c r="C29" t="s">
        <v>1534</v>
      </c>
      <c r="D29">
        <v>74081</v>
      </c>
      <c r="E29">
        <f>MONTH(tblExpense[[#This Row],[Date]])</f>
        <v>1</v>
      </c>
      <c r="F29" t="str">
        <f>TEXT(tblExpense[[#This Row],[Date]],"mmm")</f>
        <v>Jan</v>
      </c>
    </row>
    <row r="30" spans="1:16" x14ac:dyDescent="0.3">
      <c r="A30" s="1">
        <v>45297</v>
      </c>
      <c r="B30" t="s">
        <v>1533</v>
      </c>
      <c r="C30" t="s">
        <v>1535</v>
      </c>
      <c r="D30">
        <v>39897</v>
      </c>
      <c r="E30">
        <f>MONTH(tblExpense[[#This Row],[Date]])</f>
        <v>1</v>
      </c>
      <c r="F30" t="str">
        <f>TEXT(tblExpense[[#This Row],[Date]],"mmm")</f>
        <v>Jan</v>
      </c>
    </row>
    <row r="31" spans="1:16" x14ac:dyDescent="0.3">
      <c r="A31" s="1">
        <v>45312</v>
      </c>
      <c r="B31" t="s">
        <v>1536</v>
      </c>
      <c r="C31" t="s">
        <v>1537</v>
      </c>
      <c r="D31">
        <v>23393</v>
      </c>
      <c r="E31">
        <f>MONTH(tblExpense[[#This Row],[Date]])</f>
        <v>1</v>
      </c>
      <c r="F31" t="str">
        <f>TEXT(tblExpense[[#This Row],[Date]],"mmm")</f>
        <v>Jan</v>
      </c>
    </row>
    <row r="32" spans="1:16" x14ac:dyDescent="0.3">
      <c r="A32" s="1">
        <v>45313</v>
      </c>
      <c r="B32" t="s">
        <v>1531</v>
      </c>
      <c r="C32" t="s">
        <v>1532</v>
      </c>
      <c r="D32">
        <v>69098</v>
      </c>
      <c r="E32">
        <f>MONTH(tblExpense[[#This Row],[Date]])</f>
        <v>1</v>
      </c>
      <c r="F32" t="str">
        <f>TEXT(tblExpense[[#This Row],[Date]],"mmm")</f>
        <v>Jan</v>
      </c>
    </row>
    <row r="33" spans="1:6" x14ac:dyDescent="0.3">
      <c r="A33" s="1">
        <v>45311</v>
      </c>
      <c r="B33" t="s">
        <v>1538</v>
      </c>
      <c r="C33" t="s">
        <v>1530</v>
      </c>
      <c r="D33">
        <v>89156</v>
      </c>
      <c r="E33">
        <f>MONTH(tblExpense[[#This Row],[Date]])</f>
        <v>1</v>
      </c>
      <c r="F33" t="str">
        <f>TEXT(tblExpense[[#This Row],[Date]],"mmm")</f>
        <v>Jan</v>
      </c>
    </row>
    <row r="34" spans="1:6" x14ac:dyDescent="0.3">
      <c r="A34" s="1">
        <v>45315</v>
      </c>
      <c r="B34" t="s">
        <v>1533</v>
      </c>
      <c r="C34" t="s">
        <v>1532</v>
      </c>
      <c r="D34">
        <v>56846</v>
      </c>
      <c r="E34">
        <f>MONTH(tblExpense[[#This Row],[Date]])</f>
        <v>1</v>
      </c>
      <c r="F34" t="str">
        <f>TEXT(tblExpense[[#This Row],[Date]],"mmm")</f>
        <v>Jan</v>
      </c>
    </row>
    <row r="35" spans="1:6" x14ac:dyDescent="0.3">
      <c r="A35" s="1">
        <v>45308</v>
      </c>
      <c r="B35" t="s">
        <v>1536</v>
      </c>
      <c r="C35" t="s">
        <v>1530</v>
      </c>
      <c r="D35">
        <v>71670</v>
      </c>
      <c r="E35">
        <f>MONTH(tblExpense[[#This Row],[Date]])</f>
        <v>1</v>
      </c>
      <c r="F35" t="str">
        <f>TEXT(tblExpense[[#This Row],[Date]],"mmm")</f>
        <v>Jan</v>
      </c>
    </row>
    <row r="36" spans="1:6" x14ac:dyDescent="0.3">
      <c r="A36" s="1">
        <v>45296</v>
      </c>
      <c r="B36" t="s">
        <v>1533</v>
      </c>
      <c r="C36" t="s">
        <v>1530</v>
      </c>
      <c r="D36">
        <v>64645</v>
      </c>
      <c r="E36">
        <f>MONTH(tblExpense[[#This Row],[Date]])</f>
        <v>1</v>
      </c>
      <c r="F36" t="str">
        <f>TEXT(tblExpense[[#This Row],[Date]],"mmm")</f>
        <v>Jan</v>
      </c>
    </row>
    <row r="37" spans="1:6" x14ac:dyDescent="0.3">
      <c r="A37" s="1">
        <v>45320</v>
      </c>
      <c r="B37" t="s">
        <v>1531</v>
      </c>
      <c r="C37" t="s">
        <v>1530</v>
      </c>
      <c r="D37">
        <v>20472</v>
      </c>
      <c r="E37">
        <f>MONTH(tblExpense[[#This Row],[Date]])</f>
        <v>1</v>
      </c>
      <c r="F37" t="str">
        <f>TEXT(tblExpense[[#This Row],[Date]],"mmm")</f>
        <v>Jan</v>
      </c>
    </row>
    <row r="38" spans="1:6" x14ac:dyDescent="0.3">
      <c r="A38" s="1">
        <v>45319</v>
      </c>
      <c r="B38" t="s">
        <v>1536</v>
      </c>
      <c r="C38" t="s">
        <v>1534</v>
      </c>
      <c r="D38">
        <v>24389</v>
      </c>
      <c r="E38">
        <f>MONTH(tblExpense[[#This Row],[Date]])</f>
        <v>1</v>
      </c>
      <c r="F38" t="str">
        <f>TEXT(tblExpense[[#This Row],[Date]],"mmm")</f>
        <v>Jan</v>
      </c>
    </row>
    <row r="39" spans="1:6" x14ac:dyDescent="0.3">
      <c r="A39" s="1">
        <v>45310</v>
      </c>
      <c r="B39" t="s">
        <v>1531</v>
      </c>
      <c r="C39" t="s">
        <v>1535</v>
      </c>
      <c r="D39">
        <v>11677</v>
      </c>
      <c r="E39">
        <f>MONTH(tblExpense[[#This Row],[Date]])</f>
        <v>1</v>
      </c>
      <c r="F39" t="str">
        <f>TEXT(tblExpense[[#This Row],[Date]],"mmm")</f>
        <v>Jan</v>
      </c>
    </row>
    <row r="40" spans="1:6" x14ac:dyDescent="0.3">
      <c r="A40" s="1">
        <v>45308</v>
      </c>
      <c r="B40" t="s">
        <v>1529</v>
      </c>
      <c r="C40" t="s">
        <v>1535</v>
      </c>
      <c r="D40">
        <v>78392</v>
      </c>
      <c r="E40">
        <f>MONTH(tblExpense[[#This Row],[Date]])</f>
        <v>1</v>
      </c>
      <c r="F40" t="str">
        <f>TEXT(tblExpense[[#This Row],[Date]],"mmm")</f>
        <v>Jan</v>
      </c>
    </row>
    <row r="41" spans="1:6" x14ac:dyDescent="0.3">
      <c r="A41" s="1">
        <v>45303</v>
      </c>
      <c r="B41" t="s">
        <v>1536</v>
      </c>
      <c r="C41" t="s">
        <v>1537</v>
      </c>
      <c r="D41">
        <v>85211</v>
      </c>
      <c r="E41">
        <f>MONTH(tblExpense[[#This Row],[Date]])</f>
        <v>1</v>
      </c>
      <c r="F41" t="str">
        <f>TEXT(tblExpense[[#This Row],[Date]],"mmm")</f>
        <v>Jan</v>
      </c>
    </row>
    <row r="42" spans="1:6" x14ac:dyDescent="0.3">
      <c r="A42" s="1">
        <v>45302</v>
      </c>
      <c r="B42" t="s">
        <v>1538</v>
      </c>
      <c r="C42" t="s">
        <v>1535</v>
      </c>
      <c r="D42">
        <v>15160</v>
      </c>
      <c r="E42">
        <f>MONTH(tblExpense[[#This Row],[Date]])</f>
        <v>1</v>
      </c>
      <c r="F42" t="str">
        <f>TEXT(tblExpense[[#This Row],[Date]],"mmm")</f>
        <v>Jan</v>
      </c>
    </row>
    <row r="43" spans="1:6" x14ac:dyDescent="0.3">
      <c r="A43" s="1">
        <v>45294</v>
      </c>
      <c r="B43" t="s">
        <v>1529</v>
      </c>
      <c r="C43" t="s">
        <v>1537</v>
      </c>
      <c r="D43">
        <v>61950</v>
      </c>
      <c r="E43">
        <f>MONTH(tblExpense[[#This Row],[Date]])</f>
        <v>1</v>
      </c>
      <c r="F43" t="str">
        <f>TEXT(tblExpense[[#This Row],[Date]],"mmm")</f>
        <v>Jan</v>
      </c>
    </row>
    <row r="44" spans="1:6" x14ac:dyDescent="0.3">
      <c r="A44" s="1">
        <v>45302</v>
      </c>
      <c r="B44" t="s">
        <v>1529</v>
      </c>
      <c r="C44" t="s">
        <v>1535</v>
      </c>
      <c r="D44">
        <v>25773</v>
      </c>
      <c r="E44">
        <f>MONTH(tblExpense[[#This Row],[Date]])</f>
        <v>1</v>
      </c>
      <c r="F44" t="str">
        <f>TEXT(tblExpense[[#This Row],[Date]],"mmm")</f>
        <v>Jan</v>
      </c>
    </row>
    <row r="45" spans="1:6" x14ac:dyDescent="0.3">
      <c r="A45" s="1">
        <v>45318</v>
      </c>
      <c r="B45" t="s">
        <v>1533</v>
      </c>
      <c r="C45" t="s">
        <v>1535</v>
      </c>
      <c r="D45">
        <v>32341</v>
      </c>
      <c r="E45">
        <f>MONTH(tblExpense[[#This Row],[Date]])</f>
        <v>1</v>
      </c>
      <c r="F45" t="str">
        <f>TEXT(tblExpense[[#This Row],[Date]],"mmm")</f>
        <v>Jan</v>
      </c>
    </row>
    <row r="46" spans="1:6" x14ac:dyDescent="0.3">
      <c r="A46" s="1">
        <v>45297</v>
      </c>
      <c r="B46" t="s">
        <v>1529</v>
      </c>
      <c r="C46" t="s">
        <v>1535</v>
      </c>
      <c r="D46">
        <v>82547</v>
      </c>
      <c r="E46">
        <f>MONTH(tblExpense[[#This Row],[Date]])</f>
        <v>1</v>
      </c>
      <c r="F46" t="str">
        <f>TEXT(tblExpense[[#This Row],[Date]],"mmm")</f>
        <v>Jan</v>
      </c>
    </row>
    <row r="47" spans="1:6" x14ac:dyDescent="0.3">
      <c r="A47" s="1">
        <v>45313</v>
      </c>
      <c r="B47" t="s">
        <v>1529</v>
      </c>
      <c r="C47" t="s">
        <v>1535</v>
      </c>
      <c r="D47">
        <v>89916</v>
      </c>
      <c r="E47">
        <f>MONTH(tblExpense[[#This Row],[Date]])</f>
        <v>1</v>
      </c>
      <c r="F47" t="str">
        <f>TEXT(tblExpense[[#This Row],[Date]],"mmm")</f>
        <v>Jan</v>
      </c>
    </row>
    <row r="48" spans="1:6" x14ac:dyDescent="0.3">
      <c r="A48" s="1">
        <v>45314</v>
      </c>
      <c r="B48" t="s">
        <v>1538</v>
      </c>
      <c r="C48" t="s">
        <v>1534</v>
      </c>
      <c r="D48">
        <v>24122</v>
      </c>
      <c r="E48">
        <f>MONTH(tblExpense[[#This Row],[Date]])</f>
        <v>1</v>
      </c>
      <c r="F48" t="str">
        <f>TEXT(tblExpense[[#This Row],[Date]],"mmm")</f>
        <v>Jan</v>
      </c>
    </row>
    <row r="49" spans="1:6" x14ac:dyDescent="0.3">
      <c r="A49" s="1">
        <v>45300</v>
      </c>
      <c r="B49" t="s">
        <v>1536</v>
      </c>
      <c r="C49" t="s">
        <v>1532</v>
      </c>
      <c r="D49">
        <v>52883</v>
      </c>
      <c r="E49">
        <f>MONTH(tblExpense[[#This Row],[Date]])</f>
        <v>1</v>
      </c>
      <c r="F49" t="str">
        <f>TEXT(tblExpense[[#This Row],[Date]],"mmm")</f>
        <v>Jan</v>
      </c>
    </row>
    <row r="50" spans="1:6" x14ac:dyDescent="0.3">
      <c r="A50" s="1">
        <v>45310</v>
      </c>
      <c r="B50" t="s">
        <v>1531</v>
      </c>
      <c r="C50" t="s">
        <v>1530</v>
      </c>
      <c r="D50">
        <v>78024</v>
      </c>
      <c r="E50">
        <f>MONTH(tblExpense[[#This Row],[Date]])</f>
        <v>1</v>
      </c>
      <c r="F50" t="str">
        <f>TEXT(tblExpense[[#This Row],[Date]],"mmm")</f>
        <v>Jan</v>
      </c>
    </row>
    <row r="51" spans="1:6" x14ac:dyDescent="0.3">
      <c r="A51" s="1">
        <v>45292</v>
      </c>
      <c r="B51" t="s">
        <v>1529</v>
      </c>
      <c r="C51" t="s">
        <v>1535</v>
      </c>
      <c r="D51">
        <v>79650</v>
      </c>
      <c r="E51">
        <f>MONTH(tblExpense[[#This Row],[Date]])</f>
        <v>1</v>
      </c>
      <c r="F51" t="str">
        <f>TEXT(tblExpense[[#This Row],[Date]],"mmm")</f>
        <v>Jan</v>
      </c>
    </row>
    <row r="52" spans="1:6" x14ac:dyDescent="0.3">
      <c r="A52" s="1">
        <v>45313</v>
      </c>
      <c r="B52" t="s">
        <v>1538</v>
      </c>
      <c r="C52" t="s">
        <v>1535</v>
      </c>
      <c r="D52">
        <v>79178</v>
      </c>
      <c r="E52">
        <f>MONTH(tblExpense[[#This Row],[Date]])</f>
        <v>1</v>
      </c>
      <c r="F52" t="str">
        <f>TEXT(tblExpense[[#This Row],[Date]],"mmm")</f>
        <v>Jan</v>
      </c>
    </row>
    <row r="53" spans="1:6" x14ac:dyDescent="0.3">
      <c r="A53" s="1">
        <v>45317</v>
      </c>
      <c r="B53" t="s">
        <v>1533</v>
      </c>
      <c r="C53" t="s">
        <v>1530</v>
      </c>
      <c r="D53">
        <v>56617</v>
      </c>
      <c r="E53">
        <f>MONTH(tblExpense[[#This Row],[Date]])</f>
        <v>1</v>
      </c>
      <c r="F53" t="str">
        <f>TEXT(tblExpense[[#This Row],[Date]],"mmm")</f>
        <v>Jan</v>
      </c>
    </row>
    <row r="54" spans="1:6" x14ac:dyDescent="0.3">
      <c r="A54" s="1">
        <v>45297</v>
      </c>
      <c r="B54" t="s">
        <v>1538</v>
      </c>
      <c r="C54" t="s">
        <v>1530</v>
      </c>
      <c r="D54">
        <v>59309</v>
      </c>
      <c r="E54">
        <f>MONTH(tblExpense[[#This Row],[Date]])</f>
        <v>1</v>
      </c>
      <c r="F54" t="str">
        <f>TEXT(tblExpense[[#This Row],[Date]],"mmm")</f>
        <v>Jan</v>
      </c>
    </row>
    <row r="55" spans="1:6" x14ac:dyDescent="0.3">
      <c r="A55" s="1">
        <v>45296</v>
      </c>
      <c r="B55" t="s">
        <v>1529</v>
      </c>
      <c r="C55" t="s">
        <v>1532</v>
      </c>
      <c r="D55">
        <v>23832</v>
      </c>
      <c r="E55">
        <f>MONTH(tblExpense[[#This Row],[Date]])</f>
        <v>1</v>
      </c>
      <c r="F55" t="str">
        <f>TEXT(tblExpense[[#This Row],[Date]],"mmm")</f>
        <v>Jan</v>
      </c>
    </row>
    <row r="56" spans="1:6" x14ac:dyDescent="0.3">
      <c r="A56" s="1">
        <v>45314</v>
      </c>
      <c r="B56" t="s">
        <v>1536</v>
      </c>
      <c r="C56" t="s">
        <v>1530</v>
      </c>
      <c r="D56">
        <v>53176</v>
      </c>
      <c r="E56">
        <f>MONTH(tblExpense[[#This Row],[Date]])</f>
        <v>1</v>
      </c>
      <c r="F56" t="str">
        <f>TEXT(tblExpense[[#This Row],[Date]],"mmm")</f>
        <v>Jan</v>
      </c>
    </row>
    <row r="57" spans="1:6" x14ac:dyDescent="0.3">
      <c r="A57" s="1">
        <v>45295</v>
      </c>
      <c r="B57" t="s">
        <v>1531</v>
      </c>
      <c r="C57" t="s">
        <v>1537</v>
      </c>
      <c r="D57">
        <v>42197</v>
      </c>
      <c r="E57">
        <f>MONTH(tblExpense[[#This Row],[Date]])</f>
        <v>1</v>
      </c>
      <c r="F57" t="str">
        <f>TEXT(tblExpense[[#This Row],[Date]],"mmm")</f>
        <v>Jan</v>
      </c>
    </row>
    <row r="58" spans="1:6" x14ac:dyDescent="0.3">
      <c r="A58" s="1">
        <v>45319</v>
      </c>
      <c r="B58" t="s">
        <v>1529</v>
      </c>
      <c r="C58" t="s">
        <v>1532</v>
      </c>
      <c r="D58">
        <v>55183</v>
      </c>
      <c r="E58">
        <f>MONTH(tblExpense[[#This Row],[Date]])</f>
        <v>1</v>
      </c>
      <c r="F58" t="str">
        <f>TEXT(tblExpense[[#This Row],[Date]],"mmm")</f>
        <v>Jan</v>
      </c>
    </row>
    <row r="59" spans="1:6" x14ac:dyDescent="0.3">
      <c r="A59" s="1">
        <v>45298</v>
      </c>
      <c r="B59" t="s">
        <v>1531</v>
      </c>
      <c r="C59" t="s">
        <v>1537</v>
      </c>
      <c r="D59">
        <v>68953</v>
      </c>
      <c r="E59">
        <f>MONTH(tblExpense[[#This Row],[Date]])</f>
        <v>1</v>
      </c>
      <c r="F59" t="str">
        <f>TEXT(tblExpense[[#This Row],[Date]],"mmm")</f>
        <v>Jan</v>
      </c>
    </row>
    <row r="60" spans="1:6" x14ac:dyDescent="0.3">
      <c r="A60" s="1">
        <v>45300</v>
      </c>
      <c r="B60" t="s">
        <v>1531</v>
      </c>
      <c r="C60" t="s">
        <v>1535</v>
      </c>
      <c r="D60">
        <v>34591</v>
      </c>
      <c r="E60">
        <f>MONTH(tblExpense[[#This Row],[Date]])</f>
        <v>1</v>
      </c>
      <c r="F60" t="str">
        <f>TEXT(tblExpense[[#This Row],[Date]],"mmm")</f>
        <v>Jan</v>
      </c>
    </row>
    <row r="61" spans="1:6" x14ac:dyDescent="0.3">
      <c r="A61" s="1">
        <v>45308</v>
      </c>
      <c r="B61" t="s">
        <v>1533</v>
      </c>
      <c r="C61" t="s">
        <v>1532</v>
      </c>
      <c r="D61">
        <v>72287</v>
      </c>
      <c r="E61">
        <f>MONTH(tblExpense[[#This Row],[Date]])</f>
        <v>1</v>
      </c>
      <c r="F61" t="str">
        <f>TEXT(tblExpense[[#This Row],[Date]],"mmm")</f>
        <v>Jan</v>
      </c>
    </row>
    <row r="62" spans="1:6" x14ac:dyDescent="0.3">
      <c r="A62" s="1">
        <v>45299</v>
      </c>
      <c r="B62" t="s">
        <v>1538</v>
      </c>
      <c r="C62" t="s">
        <v>1530</v>
      </c>
      <c r="D62">
        <v>55243</v>
      </c>
      <c r="E62">
        <f>MONTH(tblExpense[[#This Row],[Date]])</f>
        <v>1</v>
      </c>
      <c r="F62" t="str">
        <f>TEXT(tblExpense[[#This Row],[Date]],"mmm")</f>
        <v>Jan</v>
      </c>
    </row>
    <row r="63" spans="1:6" x14ac:dyDescent="0.3">
      <c r="A63" s="1">
        <v>45305</v>
      </c>
      <c r="B63" t="s">
        <v>1531</v>
      </c>
      <c r="C63" t="s">
        <v>1532</v>
      </c>
      <c r="D63">
        <v>90260</v>
      </c>
      <c r="E63">
        <f>MONTH(tblExpense[[#This Row],[Date]])</f>
        <v>1</v>
      </c>
      <c r="F63" t="str">
        <f>TEXT(tblExpense[[#This Row],[Date]],"mmm")</f>
        <v>Jan</v>
      </c>
    </row>
    <row r="64" spans="1:6" x14ac:dyDescent="0.3">
      <c r="A64" s="1">
        <v>45292</v>
      </c>
      <c r="B64" t="s">
        <v>1538</v>
      </c>
      <c r="C64" t="s">
        <v>1537</v>
      </c>
      <c r="D64">
        <v>48068</v>
      </c>
      <c r="E64">
        <f>MONTH(tblExpense[[#This Row],[Date]])</f>
        <v>1</v>
      </c>
      <c r="F64" t="str">
        <f>TEXT(tblExpense[[#This Row],[Date]],"mmm")</f>
        <v>Jan</v>
      </c>
    </row>
    <row r="65" spans="1:6" x14ac:dyDescent="0.3">
      <c r="A65" s="1">
        <v>45320</v>
      </c>
      <c r="B65" t="s">
        <v>1531</v>
      </c>
      <c r="C65" t="s">
        <v>1530</v>
      </c>
      <c r="D65">
        <v>80567</v>
      </c>
      <c r="E65">
        <f>MONTH(tblExpense[[#This Row],[Date]])</f>
        <v>1</v>
      </c>
      <c r="F65" t="str">
        <f>TEXT(tblExpense[[#This Row],[Date]],"mmm")</f>
        <v>Jan</v>
      </c>
    </row>
    <row r="66" spans="1:6" x14ac:dyDescent="0.3">
      <c r="A66" s="1">
        <v>45293</v>
      </c>
      <c r="B66" t="s">
        <v>1533</v>
      </c>
      <c r="C66" t="s">
        <v>1537</v>
      </c>
      <c r="D66">
        <v>34882</v>
      </c>
      <c r="E66">
        <f>MONTH(tblExpense[[#This Row],[Date]])</f>
        <v>1</v>
      </c>
      <c r="F66" t="str">
        <f>TEXT(tblExpense[[#This Row],[Date]],"mmm")</f>
        <v>Jan</v>
      </c>
    </row>
    <row r="67" spans="1:6" x14ac:dyDescent="0.3">
      <c r="A67" s="1">
        <v>45309</v>
      </c>
      <c r="B67" t="s">
        <v>1531</v>
      </c>
      <c r="C67" t="s">
        <v>1530</v>
      </c>
      <c r="D67">
        <v>65495</v>
      </c>
      <c r="E67">
        <f>MONTH(tblExpense[[#This Row],[Date]])</f>
        <v>1</v>
      </c>
      <c r="F67" t="str">
        <f>TEXT(tblExpense[[#This Row],[Date]],"mmm")</f>
        <v>Jan</v>
      </c>
    </row>
    <row r="68" spans="1:6" x14ac:dyDescent="0.3">
      <c r="A68" s="1">
        <v>45319</v>
      </c>
      <c r="B68" t="s">
        <v>1529</v>
      </c>
      <c r="C68" t="s">
        <v>1535</v>
      </c>
      <c r="D68">
        <v>85230</v>
      </c>
      <c r="E68">
        <f>MONTH(tblExpense[[#This Row],[Date]])</f>
        <v>1</v>
      </c>
      <c r="F68" t="str">
        <f>TEXT(tblExpense[[#This Row],[Date]],"mmm")</f>
        <v>Jan</v>
      </c>
    </row>
    <row r="69" spans="1:6" x14ac:dyDescent="0.3">
      <c r="A69" s="1">
        <v>45301</v>
      </c>
      <c r="B69" t="s">
        <v>1536</v>
      </c>
      <c r="C69" t="s">
        <v>1530</v>
      </c>
      <c r="D69">
        <v>69476</v>
      </c>
      <c r="E69">
        <f>MONTH(tblExpense[[#This Row],[Date]])</f>
        <v>1</v>
      </c>
      <c r="F69" t="str">
        <f>TEXT(tblExpense[[#This Row],[Date]],"mmm")</f>
        <v>Jan</v>
      </c>
    </row>
    <row r="70" spans="1:6" x14ac:dyDescent="0.3">
      <c r="A70" s="1">
        <v>45296</v>
      </c>
      <c r="B70" t="s">
        <v>1536</v>
      </c>
      <c r="C70" t="s">
        <v>1535</v>
      </c>
      <c r="D70">
        <v>84452</v>
      </c>
      <c r="E70">
        <f>MONTH(tblExpense[[#This Row],[Date]])</f>
        <v>1</v>
      </c>
      <c r="F70" t="str">
        <f>TEXT(tblExpense[[#This Row],[Date]],"mmm")</f>
        <v>Jan</v>
      </c>
    </row>
    <row r="71" spans="1:6" x14ac:dyDescent="0.3">
      <c r="A71" s="1">
        <v>45303</v>
      </c>
      <c r="B71" t="s">
        <v>1531</v>
      </c>
      <c r="C71" t="s">
        <v>1535</v>
      </c>
      <c r="D71">
        <v>80316</v>
      </c>
      <c r="E71">
        <f>MONTH(tblExpense[[#This Row],[Date]])</f>
        <v>1</v>
      </c>
      <c r="F71" t="str">
        <f>TEXT(tblExpense[[#This Row],[Date]],"mmm")</f>
        <v>Jan</v>
      </c>
    </row>
    <row r="72" spans="1:6" x14ac:dyDescent="0.3">
      <c r="A72" s="1">
        <v>45316</v>
      </c>
      <c r="B72" t="s">
        <v>1533</v>
      </c>
      <c r="C72" t="s">
        <v>1537</v>
      </c>
      <c r="D72">
        <v>18720</v>
      </c>
      <c r="E72">
        <f>MONTH(tblExpense[[#This Row],[Date]])</f>
        <v>1</v>
      </c>
      <c r="F72" t="str">
        <f>TEXT(tblExpense[[#This Row],[Date]],"mmm")</f>
        <v>Jan</v>
      </c>
    </row>
    <row r="73" spans="1:6" x14ac:dyDescent="0.3">
      <c r="A73" s="1">
        <v>45321</v>
      </c>
      <c r="B73" t="s">
        <v>1536</v>
      </c>
      <c r="C73" t="s">
        <v>1530</v>
      </c>
      <c r="D73">
        <v>41063</v>
      </c>
      <c r="E73">
        <f>MONTH(tblExpense[[#This Row],[Date]])</f>
        <v>1</v>
      </c>
      <c r="F73" t="str">
        <f>TEXT(tblExpense[[#This Row],[Date]],"mmm")</f>
        <v>Jan</v>
      </c>
    </row>
    <row r="74" spans="1:6" x14ac:dyDescent="0.3">
      <c r="A74" s="1">
        <v>45302</v>
      </c>
      <c r="B74" t="s">
        <v>1538</v>
      </c>
      <c r="C74" t="s">
        <v>1532</v>
      </c>
      <c r="D74">
        <v>21486</v>
      </c>
      <c r="E74">
        <f>MONTH(tblExpense[[#This Row],[Date]])</f>
        <v>1</v>
      </c>
      <c r="F74" t="str">
        <f>TEXT(tblExpense[[#This Row],[Date]],"mmm")</f>
        <v>Jan</v>
      </c>
    </row>
    <row r="75" spans="1:6" x14ac:dyDescent="0.3">
      <c r="A75" s="1">
        <v>45307</v>
      </c>
      <c r="B75" t="s">
        <v>1533</v>
      </c>
      <c r="C75" t="s">
        <v>1530</v>
      </c>
      <c r="D75">
        <v>66812</v>
      </c>
      <c r="E75">
        <f>MONTH(tblExpense[[#This Row],[Date]])</f>
        <v>1</v>
      </c>
      <c r="F75" t="str">
        <f>TEXT(tblExpense[[#This Row],[Date]],"mmm")</f>
        <v>Jan</v>
      </c>
    </row>
    <row r="76" spans="1:6" x14ac:dyDescent="0.3">
      <c r="A76" s="1">
        <v>45296</v>
      </c>
      <c r="B76" t="s">
        <v>1531</v>
      </c>
      <c r="C76" t="s">
        <v>1537</v>
      </c>
      <c r="D76">
        <v>87858</v>
      </c>
      <c r="E76">
        <f>MONTH(tblExpense[[#This Row],[Date]])</f>
        <v>1</v>
      </c>
      <c r="F76" t="str">
        <f>TEXT(tblExpense[[#This Row],[Date]],"mmm")</f>
        <v>Jan</v>
      </c>
    </row>
    <row r="77" spans="1:6" x14ac:dyDescent="0.3">
      <c r="A77" s="1">
        <v>45301</v>
      </c>
      <c r="B77" t="s">
        <v>1531</v>
      </c>
      <c r="C77" t="s">
        <v>1535</v>
      </c>
      <c r="D77">
        <v>65415</v>
      </c>
      <c r="E77">
        <f>MONTH(tblExpense[[#This Row],[Date]])</f>
        <v>1</v>
      </c>
      <c r="F77" t="str">
        <f>TEXT(tblExpense[[#This Row],[Date]],"mmm")</f>
        <v>Jan</v>
      </c>
    </row>
    <row r="78" spans="1:6" x14ac:dyDescent="0.3">
      <c r="A78" s="1">
        <v>45297</v>
      </c>
      <c r="B78" t="s">
        <v>1533</v>
      </c>
      <c r="C78" t="s">
        <v>1535</v>
      </c>
      <c r="D78">
        <v>48178</v>
      </c>
      <c r="E78">
        <f>MONTH(tblExpense[[#This Row],[Date]])</f>
        <v>1</v>
      </c>
      <c r="F78" t="str">
        <f>TEXT(tblExpense[[#This Row],[Date]],"mmm")</f>
        <v>Jan</v>
      </c>
    </row>
    <row r="79" spans="1:6" x14ac:dyDescent="0.3">
      <c r="A79" s="1">
        <v>45316</v>
      </c>
      <c r="B79" t="s">
        <v>1531</v>
      </c>
      <c r="C79" t="s">
        <v>1537</v>
      </c>
      <c r="D79">
        <v>68910</v>
      </c>
      <c r="E79">
        <f>MONTH(tblExpense[[#This Row],[Date]])</f>
        <v>1</v>
      </c>
      <c r="F79" t="str">
        <f>TEXT(tblExpense[[#This Row],[Date]],"mmm")</f>
        <v>Jan</v>
      </c>
    </row>
    <row r="80" spans="1:6" x14ac:dyDescent="0.3">
      <c r="A80" s="1">
        <v>45297</v>
      </c>
      <c r="B80" t="s">
        <v>1533</v>
      </c>
      <c r="C80" t="s">
        <v>1534</v>
      </c>
      <c r="D80">
        <v>13583</v>
      </c>
      <c r="E80">
        <f>MONTH(tblExpense[[#This Row],[Date]])</f>
        <v>1</v>
      </c>
      <c r="F80" t="str">
        <f>TEXT(tblExpense[[#This Row],[Date]],"mmm")</f>
        <v>Jan</v>
      </c>
    </row>
    <row r="81" spans="1:6" x14ac:dyDescent="0.3">
      <c r="A81" s="1">
        <v>45299</v>
      </c>
      <c r="B81" t="s">
        <v>1536</v>
      </c>
      <c r="C81" t="s">
        <v>1535</v>
      </c>
      <c r="D81">
        <v>69400</v>
      </c>
      <c r="E81">
        <f>MONTH(tblExpense[[#This Row],[Date]])</f>
        <v>1</v>
      </c>
      <c r="F81" t="str">
        <f>TEXT(tblExpense[[#This Row],[Date]],"mmm")</f>
        <v>Jan</v>
      </c>
    </row>
    <row r="82" spans="1:6" x14ac:dyDescent="0.3">
      <c r="A82" s="1">
        <v>45314</v>
      </c>
      <c r="B82" t="s">
        <v>1529</v>
      </c>
      <c r="C82" t="s">
        <v>1532</v>
      </c>
      <c r="D82">
        <v>11569</v>
      </c>
      <c r="E82">
        <f>MONTH(tblExpense[[#This Row],[Date]])</f>
        <v>1</v>
      </c>
      <c r="F82" t="str">
        <f>TEXT(tblExpense[[#This Row],[Date]],"mmm")</f>
        <v>Jan</v>
      </c>
    </row>
    <row r="83" spans="1:6" x14ac:dyDescent="0.3">
      <c r="A83" s="1">
        <v>45298</v>
      </c>
      <c r="B83" t="s">
        <v>1531</v>
      </c>
      <c r="C83" t="s">
        <v>1535</v>
      </c>
      <c r="D83">
        <v>44166</v>
      </c>
      <c r="E83">
        <f>MONTH(tblExpense[[#This Row],[Date]])</f>
        <v>1</v>
      </c>
      <c r="F83" t="str">
        <f>TEXT(tblExpense[[#This Row],[Date]],"mmm")</f>
        <v>Jan</v>
      </c>
    </row>
    <row r="84" spans="1:6" x14ac:dyDescent="0.3">
      <c r="A84" s="1">
        <v>45314</v>
      </c>
      <c r="B84" t="s">
        <v>1533</v>
      </c>
      <c r="C84" t="s">
        <v>1530</v>
      </c>
      <c r="D84">
        <v>77579</v>
      </c>
      <c r="E84">
        <f>MONTH(tblExpense[[#This Row],[Date]])</f>
        <v>1</v>
      </c>
      <c r="F84" t="str">
        <f>TEXT(tblExpense[[#This Row],[Date]],"mmm")</f>
        <v>Jan</v>
      </c>
    </row>
    <row r="85" spans="1:6" x14ac:dyDescent="0.3">
      <c r="A85" s="1">
        <v>45317</v>
      </c>
      <c r="B85" t="s">
        <v>1533</v>
      </c>
      <c r="C85" t="s">
        <v>1535</v>
      </c>
      <c r="D85">
        <v>15843</v>
      </c>
      <c r="E85">
        <f>MONTH(tblExpense[[#This Row],[Date]])</f>
        <v>1</v>
      </c>
      <c r="F85" t="str">
        <f>TEXT(tblExpense[[#This Row],[Date]],"mmm")</f>
        <v>Jan</v>
      </c>
    </row>
    <row r="86" spans="1:6" x14ac:dyDescent="0.3">
      <c r="A86" s="1">
        <v>45299</v>
      </c>
      <c r="B86" t="s">
        <v>1531</v>
      </c>
      <c r="C86" t="s">
        <v>1530</v>
      </c>
      <c r="D86">
        <v>60382</v>
      </c>
      <c r="E86">
        <f>MONTH(tblExpense[[#This Row],[Date]])</f>
        <v>1</v>
      </c>
      <c r="F86" t="str">
        <f>TEXT(tblExpense[[#This Row],[Date]],"mmm")</f>
        <v>Jan</v>
      </c>
    </row>
    <row r="87" spans="1:6" x14ac:dyDescent="0.3">
      <c r="A87" s="1">
        <v>45306</v>
      </c>
      <c r="B87" t="s">
        <v>1533</v>
      </c>
      <c r="C87" t="s">
        <v>1537</v>
      </c>
      <c r="D87">
        <v>41820</v>
      </c>
      <c r="E87">
        <f>MONTH(tblExpense[[#This Row],[Date]])</f>
        <v>1</v>
      </c>
      <c r="F87" t="str">
        <f>TEXT(tblExpense[[#This Row],[Date]],"mmm")</f>
        <v>Jan</v>
      </c>
    </row>
    <row r="88" spans="1:6" x14ac:dyDescent="0.3">
      <c r="A88" s="1">
        <v>45299</v>
      </c>
      <c r="B88" t="s">
        <v>1533</v>
      </c>
      <c r="C88" t="s">
        <v>1532</v>
      </c>
      <c r="D88">
        <v>48162</v>
      </c>
      <c r="E88">
        <f>MONTH(tblExpense[[#This Row],[Date]])</f>
        <v>1</v>
      </c>
      <c r="F88" t="str">
        <f>TEXT(tblExpense[[#This Row],[Date]],"mmm")</f>
        <v>Jan</v>
      </c>
    </row>
    <row r="89" spans="1:6" x14ac:dyDescent="0.3">
      <c r="A89" s="1">
        <v>45295</v>
      </c>
      <c r="B89" t="s">
        <v>1533</v>
      </c>
      <c r="C89" t="s">
        <v>1530</v>
      </c>
      <c r="D89">
        <v>60672</v>
      </c>
      <c r="E89">
        <f>MONTH(tblExpense[[#This Row],[Date]])</f>
        <v>1</v>
      </c>
      <c r="F89" t="str">
        <f>TEXT(tblExpense[[#This Row],[Date]],"mmm")</f>
        <v>Jan</v>
      </c>
    </row>
    <row r="90" spans="1:6" x14ac:dyDescent="0.3">
      <c r="A90" s="1">
        <v>45298</v>
      </c>
      <c r="B90" t="s">
        <v>1531</v>
      </c>
      <c r="C90" t="s">
        <v>1535</v>
      </c>
      <c r="D90">
        <v>24618</v>
      </c>
      <c r="E90">
        <f>MONTH(tblExpense[[#This Row],[Date]])</f>
        <v>1</v>
      </c>
      <c r="F90" t="str">
        <f>TEXT(tblExpense[[#This Row],[Date]],"mmm")</f>
        <v>Jan</v>
      </c>
    </row>
    <row r="91" spans="1:6" x14ac:dyDescent="0.3">
      <c r="A91" s="1">
        <v>45341</v>
      </c>
      <c r="B91" t="s">
        <v>1531</v>
      </c>
      <c r="C91" t="s">
        <v>1532</v>
      </c>
      <c r="D91">
        <v>71893</v>
      </c>
      <c r="E91">
        <f>MONTH(tblExpense[[#This Row],[Date]])</f>
        <v>2</v>
      </c>
      <c r="F91" t="str">
        <f>TEXT(tblExpense[[#This Row],[Date]],"mmm")</f>
        <v>Feb</v>
      </c>
    </row>
    <row r="92" spans="1:6" x14ac:dyDescent="0.3">
      <c r="A92" s="1">
        <v>45332</v>
      </c>
      <c r="B92" t="s">
        <v>1536</v>
      </c>
      <c r="C92" t="s">
        <v>1535</v>
      </c>
      <c r="D92">
        <v>15636</v>
      </c>
      <c r="E92">
        <f>MONTH(tblExpense[[#This Row],[Date]])</f>
        <v>2</v>
      </c>
      <c r="F92" t="str">
        <f>TEXT(tblExpense[[#This Row],[Date]],"mmm")</f>
        <v>Feb</v>
      </c>
    </row>
    <row r="93" spans="1:6" x14ac:dyDescent="0.3">
      <c r="A93" s="1">
        <v>45337</v>
      </c>
      <c r="B93" t="s">
        <v>1536</v>
      </c>
      <c r="C93" t="s">
        <v>1530</v>
      </c>
      <c r="D93">
        <v>93048</v>
      </c>
      <c r="E93">
        <f>MONTH(tblExpense[[#This Row],[Date]])</f>
        <v>2</v>
      </c>
      <c r="F93" t="str">
        <f>TEXT(tblExpense[[#This Row],[Date]],"mmm")</f>
        <v>Feb</v>
      </c>
    </row>
    <row r="94" spans="1:6" x14ac:dyDescent="0.3">
      <c r="A94" s="1">
        <v>45324</v>
      </c>
      <c r="B94" t="s">
        <v>1529</v>
      </c>
      <c r="C94" t="s">
        <v>1534</v>
      </c>
      <c r="D94">
        <v>29297</v>
      </c>
      <c r="E94">
        <f>MONTH(tblExpense[[#This Row],[Date]])</f>
        <v>2</v>
      </c>
      <c r="F94" t="str">
        <f>TEXT(tblExpense[[#This Row],[Date]],"mmm")</f>
        <v>Feb</v>
      </c>
    </row>
    <row r="95" spans="1:6" x14ac:dyDescent="0.3">
      <c r="A95" s="1">
        <v>45342</v>
      </c>
      <c r="B95" t="s">
        <v>1531</v>
      </c>
      <c r="C95" t="s">
        <v>1535</v>
      </c>
      <c r="D95">
        <v>10745</v>
      </c>
      <c r="E95">
        <f>MONTH(tblExpense[[#This Row],[Date]])</f>
        <v>2</v>
      </c>
      <c r="F95" t="str">
        <f>TEXT(tblExpense[[#This Row],[Date]],"mmm")</f>
        <v>Feb</v>
      </c>
    </row>
    <row r="96" spans="1:6" x14ac:dyDescent="0.3">
      <c r="A96" s="1">
        <v>45337</v>
      </c>
      <c r="B96" t="s">
        <v>1529</v>
      </c>
      <c r="C96" t="s">
        <v>1537</v>
      </c>
      <c r="D96">
        <v>21572</v>
      </c>
      <c r="E96">
        <f>MONTH(tblExpense[[#This Row],[Date]])</f>
        <v>2</v>
      </c>
      <c r="F96" t="str">
        <f>TEXT(tblExpense[[#This Row],[Date]],"mmm")</f>
        <v>Feb</v>
      </c>
    </row>
    <row r="97" spans="1:6" x14ac:dyDescent="0.3">
      <c r="A97" s="1">
        <v>45349</v>
      </c>
      <c r="B97" t="s">
        <v>1531</v>
      </c>
      <c r="C97" t="s">
        <v>1530</v>
      </c>
      <c r="D97">
        <v>41619</v>
      </c>
      <c r="E97">
        <f>MONTH(tblExpense[[#This Row],[Date]])</f>
        <v>2</v>
      </c>
      <c r="F97" t="str">
        <f>TEXT(tblExpense[[#This Row],[Date]],"mmm")</f>
        <v>Feb</v>
      </c>
    </row>
    <row r="98" spans="1:6" x14ac:dyDescent="0.3">
      <c r="A98" s="1">
        <v>45351</v>
      </c>
      <c r="B98" t="s">
        <v>1533</v>
      </c>
      <c r="C98" t="s">
        <v>1534</v>
      </c>
      <c r="D98">
        <v>94416</v>
      </c>
      <c r="E98">
        <f>MONTH(tblExpense[[#This Row],[Date]])</f>
        <v>2</v>
      </c>
      <c r="F98" t="str">
        <f>TEXT(tblExpense[[#This Row],[Date]],"mmm")</f>
        <v>Feb</v>
      </c>
    </row>
    <row r="99" spans="1:6" x14ac:dyDescent="0.3">
      <c r="A99" s="1">
        <v>45323</v>
      </c>
      <c r="B99" t="s">
        <v>1533</v>
      </c>
      <c r="C99" t="s">
        <v>1534</v>
      </c>
      <c r="D99">
        <v>7524</v>
      </c>
      <c r="E99">
        <f>MONTH(tblExpense[[#This Row],[Date]])</f>
        <v>2</v>
      </c>
      <c r="F99" t="str">
        <f>TEXT(tblExpense[[#This Row],[Date]],"mmm")</f>
        <v>Feb</v>
      </c>
    </row>
    <row r="100" spans="1:6" x14ac:dyDescent="0.3">
      <c r="A100" s="1">
        <v>45326</v>
      </c>
      <c r="B100" t="s">
        <v>1533</v>
      </c>
      <c r="C100" t="s">
        <v>1537</v>
      </c>
      <c r="D100">
        <v>74026</v>
      </c>
      <c r="E100">
        <f>MONTH(tblExpense[[#This Row],[Date]])</f>
        <v>2</v>
      </c>
      <c r="F100" t="str">
        <f>TEXT(tblExpense[[#This Row],[Date]],"mmm")</f>
        <v>Feb</v>
      </c>
    </row>
    <row r="101" spans="1:6" x14ac:dyDescent="0.3">
      <c r="A101" s="1">
        <v>45339</v>
      </c>
      <c r="B101" t="s">
        <v>1536</v>
      </c>
      <c r="C101" t="s">
        <v>1534</v>
      </c>
      <c r="D101">
        <v>39370</v>
      </c>
      <c r="E101">
        <f>MONTH(tblExpense[[#This Row],[Date]])</f>
        <v>2</v>
      </c>
      <c r="F101" t="str">
        <f>TEXT(tblExpense[[#This Row],[Date]],"mmm")</f>
        <v>Feb</v>
      </c>
    </row>
    <row r="102" spans="1:6" x14ac:dyDescent="0.3">
      <c r="A102" s="1">
        <v>45323</v>
      </c>
      <c r="B102" t="s">
        <v>1529</v>
      </c>
      <c r="C102" t="s">
        <v>1534</v>
      </c>
      <c r="D102">
        <v>72663</v>
      </c>
      <c r="E102">
        <f>MONTH(tblExpense[[#This Row],[Date]])</f>
        <v>2</v>
      </c>
      <c r="F102" t="str">
        <f>TEXT(tblExpense[[#This Row],[Date]],"mmm")</f>
        <v>Feb</v>
      </c>
    </row>
    <row r="103" spans="1:6" x14ac:dyDescent="0.3">
      <c r="A103" s="1">
        <v>45323</v>
      </c>
      <c r="B103" t="s">
        <v>1538</v>
      </c>
      <c r="C103" t="s">
        <v>1537</v>
      </c>
      <c r="D103">
        <v>29877</v>
      </c>
      <c r="E103">
        <f>MONTH(tblExpense[[#This Row],[Date]])</f>
        <v>2</v>
      </c>
      <c r="F103" t="str">
        <f>TEXT(tblExpense[[#This Row],[Date]],"mmm")</f>
        <v>Feb</v>
      </c>
    </row>
    <row r="104" spans="1:6" x14ac:dyDescent="0.3">
      <c r="A104" s="1">
        <v>45348</v>
      </c>
      <c r="B104" t="s">
        <v>1536</v>
      </c>
      <c r="C104" t="s">
        <v>1537</v>
      </c>
      <c r="D104">
        <v>47623</v>
      </c>
      <c r="E104">
        <f>MONTH(tblExpense[[#This Row],[Date]])</f>
        <v>2</v>
      </c>
      <c r="F104" t="str">
        <f>TEXT(tblExpense[[#This Row],[Date]],"mmm")</f>
        <v>Feb</v>
      </c>
    </row>
    <row r="105" spans="1:6" x14ac:dyDescent="0.3">
      <c r="A105" s="1">
        <v>45329</v>
      </c>
      <c r="B105" t="s">
        <v>1529</v>
      </c>
      <c r="C105" t="s">
        <v>1532</v>
      </c>
      <c r="D105">
        <v>14816</v>
      </c>
      <c r="E105">
        <f>MONTH(tblExpense[[#This Row],[Date]])</f>
        <v>2</v>
      </c>
      <c r="F105" t="str">
        <f>TEXT(tblExpense[[#This Row],[Date]],"mmm")</f>
        <v>Feb</v>
      </c>
    </row>
    <row r="106" spans="1:6" x14ac:dyDescent="0.3">
      <c r="A106" s="1">
        <v>45344</v>
      </c>
      <c r="B106" t="s">
        <v>1533</v>
      </c>
      <c r="C106" t="s">
        <v>1530</v>
      </c>
      <c r="D106">
        <v>28196</v>
      </c>
      <c r="E106">
        <f>MONTH(tblExpense[[#This Row],[Date]])</f>
        <v>2</v>
      </c>
      <c r="F106" t="str">
        <f>TEXT(tblExpense[[#This Row],[Date]],"mmm")</f>
        <v>Feb</v>
      </c>
    </row>
    <row r="107" spans="1:6" x14ac:dyDescent="0.3">
      <c r="A107" s="1">
        <v>45324</v>
      </c>
      <c r="B107" t="s">
        <v>1536</v>
      </c>
      <c r="C107" t="s">
        <v>1535</v>
      </c>
      <c r="D107">
        <v>48582</v>
      </c>
      <c r="E107">
        <f>MONTH(tblExpense[[#This Row],[Date]])</f>
        <v>2</v>
      </c>
      <c r="F107" t="str">
        <f>TEXT(tblExpense[[#This Row],[Date]],"mmm")</f>
        <v>Feb</v>
      </c>
    </row>
    <row r="108" spans="1:6" x14ac:dyDescent="0.3">
      <c r="A108" s="1">
        <v>45347</v>
      </c>
      <c r="B108" t="s">
        <v>1538</v>
      </c>
      <c r="C108" t="s">
        <v>1537</v>
      </c>
      <c r="D108">
        <v>73320</v>
      </c>
      <c r="E108">
        <f>MONTH(tblExpense[[#This Row],[Date]])</f>
        <v>2</v>
      </c>
      <c r="F108" t="str">
        <f>TEXT(tblExpense[[#This Row],[Date]],"mmm")</f>
        <v>Feb</v>
      </c>
    </row>
    <row r="109" spans="1:6" x14ac:dyDescent="0.3">
      <c r="A109" s="1">
        <v>45326</v>
      </c>
      <c r="B109" t="s">
        <v>1531</v>
      </c>
      <c r="C109" t="s">
        <v>1537</v>
      </c>
      <c r="D109">
        <v>48698</v>
      </c>
      <c r="E109">
        <f>MONTH(tblExpense[[#This Row],[Date]])</f>
        <v>2</v>
      </c>
      <c r="F109" t="str">
        <f>TEXT(tblExpense[[#This Row],[Date]],"mmm")</f>
        <v>Feb</v>
      </c>
    </row>
    <row r="110" spans="1:6" x14ac:dyDescent="0.3">
      <c r="A110" s="1">
        <v>45344</v>
      </c>
      <c r="B110" t="s">
        <v>1531</v>
      </c>
      <c r="C110" t="s">
        <v>1534</v>
      </c>
      <c r="D110">
        <v>94666</v>
      </c>
      <c r="E110">
        <f>MONTH(tblExpense[[#This Row],[Date]])</f>
        <v>2</v>
      </c>
      <c r="F110" t="str">
        <f>TEXT(tblExpense[[#This Row],[Date]],"mmm")</f>
        <v>Feb</v>
      </c>
    </row>
    <row r="111" spans="1:6" x14ac:dyDescent="0.3">
      <c r="A111" s="1">
        <v>45324</v>
      </c>
      <c r="B111" t="s">
        <v>1531</v>
      </c>
      <c r="C111" t="s">
        <v>1534</v>
      </c>
      <c r="D111">
        <v>83078</v>
      </c>
      <c r="E111">
        <f>MONTH(tblExpense[[#This Row],[Date]])</f>
        <v>2</v>
      </c>
      <c r="F111" t="str">
        <f>TEXT(tblExpense[[#This Row],[Date]],"mmm")</f>
        <v>Feb</v>
      </c>
    </row>
    <row r="112" spans="1:6" x14ac:dyDescent="0.3">
      <c r="A112" s="1">
        <v>45323</v>
      </c>
      <c r="B112" t="s">
        <v>1538</v>
      </c>
      <c r="C112" t="s">
        <v>1535</v>
      </c>
      <c r="D112">
        <v>44234</v>
      </c>
      <c r="E112">
        <f>MONTH(tblExpense[[#This Row],[Date]])</f>
        <v>2</v>
      </c>
      <c r="F112" t="str">
        <f>TEXT(tblExpense[[#This Row],[Date]],"mmm")</f>
        <v>Feb</v>
      </c>
    </row>
    <row r="113" spans="1:6" x14ac:dyDescent="0.3">
      <c r="A113" s="1">
        <v>45339</v>
      </c>
      <c r="B113" t="s">
        <v>1531</v>
      </c>
      <c r="C113" t="s">
        <v>1532</v>
      </c>
      <c r="D113">
        <v>90939</v>
      </c>
      <c r="E113">
        <f>MONTH(tblExpense[[#This Row],[Date]])</f>
        <v>2</v>
      </c>
      <c r="F113" t="str">
        <f>TEXT(tblExpense[[#This Row],[Date]],"mmm")</f>
        <v>Feb</v>
      </c>
    </row>
    <row r="114" spans="1:6" x14ac:dyDescent="0.3">
      <c r="A114" s="1">
        <v>45323</v>
      </c>
      <c r="B114" t="s">
        <v>1536</v>
      </c>
      <c r="C114" t="s">
        <v>1535</v>
      </c>
      <c r="D114">
        <v>15481</v>
      </c>
      <c r="E114">
        <f>MONTH(tblExpense[[#This Row],[Date]])</f>
        <v>2</v>
      </c>
      <c r="F114" t="str">
        <f>TEXT(tblExpense[[#This Row],[Date]],"mmm")</f>
        <v>Feb</v>
      </c>
    </row>
    <row r="115" spans="1:6" x14ac:dyDescent="0.3">
      <c r="A115" s="1">
        <v>45325</v>
      </c>
      <c r="B115" t="s">
        <v>1538</v>
      </c>
      <c r="C115" t="s">
        <v>1535</v>
      </c>
      <c r="D115">
        <v>67881</v>
      </c>
      <c r="E115">
        <f>MONTH(tblExpense[[#This Row],[Date]])</f>
        <v>2</v>
      </c>
      <c r="F115" t="str">
        <f>TEXT(tblExpense[[#This Row],[Date]],"mmm")</f>
        <v>Feb</v>
      </c>
    </row>
    <row r="116" spans="1:6" x14ac:dyDescent="0.3">
      <c r="A116" s="1">
        <v>45327</v>
      </c>
      <c r="B116" t="s">
        <v>1536</v>
      </c>
      <c r="C116" t="s">
        <v>1532</v>
      </c>
      <c r="D116">
        <v>47823</v>
      </c>
      <c r="E116">
        <f>MONTH(tblExpense[[#This Row],[Date]])</f>
        <v>2</v>
      </c>
      <c r="F116" t="str">
        <f>TEXT(tblExpense[[#This Row],[Date]],"mmm")</f>
        <v>Feb</v>
      </c>
    </row>
    <row r="117" spans="1:6" x14ac:dyDescent="0.3">
      <c r="A117" s="1">
        <v>45327</v>
      </c>
      <c r="B117" t="s">
        <v>1538</v>
      </c>
      <c r="C117" t="s">
        <v>1537</v>
      </c>
      <c r="D117">
        <v>75959</v>
      </c>
      <c r="E117">
        <f>MONTH(tblExpense[[#This Row],[Date]])</f>
        <v>2</v>
      </c>
      <c r="F117" t="str">
        <f>TEXT(tblExpense[[#This Row],[Date]],"mmm")</f>
        <v>Feb</v>
      </c>
    </row>
    <row r="118" spans="1:6" x14ac:dyDescent="0.3">
      <c r="A118" s="1">
        <v>45323</v>
      </c>
      <c r="B118" t="s">
        <v>1538</v>
      </c>
      <c r="C118" t="s">
        <v>1534</v>
      </c>
      <c r="D118">
        <v>14311</v>
      </c>
      <c r="E118">
        <f>MONTH(tblExpense[[#This Row],[Date]])</f>
        <v>2</v>
      </c>
      <c r="F118" t="str">
        <f>TEXT(tblExpense[[#This Row],[Date]],"mmm")</f>
        <v>Feb</v>
      </c>
    </row>
    <row r="119" spans="1:6" x14ac:dyDescent="0.3">
      <c r="A119" s="1">
        <v>45348</v>
      </c>
      <c r="B119" t="s">
        <v>1529</v>
      </c>
      <c r="C119" t="s">
        <v>1530</v>
      </c>
      <c r="D119">
        <v>6952</v>
      </c>
      <c r="E119">
        <f>MONTH(tblExpense[[#This Row],[Date]])</f>
        <v>2</v>
      </c>
      <c r="F119" t="str">
        <f>TEXT(tblExpense[[#This Row],[Date]],"mmm")</f>
        <v>Feb</v>
      </c>
    </row>
    <row r="120" spans="1:6" x14ac:dyDescent="0.3">
      <c r="A120" s="1">
        <v>45351</v>
      </c>
      <c r="B120" t="s">
        <v>1531</v>
      </c>
      <c r="C120" t="s">
        <v>1537</v>
      </c>
      <c r="D120">
        <v>60280</v>
      </c>
      <c r="E120">
        <f>MONTH(tblExpense[[#This Row],[Date]])</f>
        <v>2</v>
      </c>
      <c r="F120" t="str">
        <f>TEXT(tblExpense[[#This Row],[Date]],"mmm")</f>
        <v>Feb</v>
      </c>
    </row>
    <row r="121" spans="1:6" x14ac:dyDescent="0.3">
      <c r="A121" s="1">
        <v>45334</v>
      </c>
      <c r="B121" t="s">
        <v>1536</v>
      </c>
      <c r="C121" t="s">
        <v>1534</v>
      </c>
      <c r="D121">
        <v>10491</v>
      </c>
      <c r="E121">
        <f>MONTH(tblExpense[[#This Row],[Date]])</f>
        <v>2</v>
      </c>
      <c r="F121" t="str">
        <f>TEXT(tblExpense[[#This Row],[Date]],"mmm")</f>
        <v>Feb</v>
      </c>
    </row>
    <row r="122" spans="1:6" x14ac:dyDescent="0.3">
      <c r="A122" s="1">
        <v>45347</v>
      </c>
      <c r="B122" t="s">
        <v>1536</v>
      </c>
      <c r="C122" t="s">
        <v>1530</v>
      </c>
      <c r="D122">
        <v>41721</v>
      </c>
      <c r="E122">
        <f>MONTH(tblExpense[[#This Row],[Date]])</f>
        <v>2</v>
      </c>
      <c r="F122" t="str">
        <f>TEXT(tblExpense[[#This Row],[Date]],"mmm")</f>
        <v>Feb</v>
      </c>
    </row>
    <row r="123" spans="1:6" x14ac:dyDescent="0.3">
      <c r="A123" s="1">
        <v>45342</v>
      </c>
      <c r="B123" t="s">
        <v>1538</v>
      </c>
      <c r="C123" t="s">
        <v>1530</v>
      </c>
      <c r="D123">
        <v>62140</v>
      </c>
      <c r="E123">
        <f>MONTH(tblExpense[[#This Row],[Date]])</f>
        <v>2</v>
      </c>
      <c r="F123" t="str">
        <f>TEXT(tblExpense[[#This Row],[Date]],"mmm")</f>
        <v>Feb</v>
      </c>
    </row>
    <row r="124" spans="1:6" x14ac:dyDescent="0.3">
      <c r="A124" s="1">
        <v>45330</v>
      </c>
      <c r="B124" t="s">
        <v>1533</v>
      </c>
      <c r="C124" t="s">
        <v>1532</v>
      </c>
      <c r="D124">
        <v>15360</v>
      </c>
      <c r="E124">
        <f>MONTH(tblExpense[[#This Row],[Date]])</f>
        <v>2</v>
      </c>
      <c r="F124" t="str">
        <f>TEXT(tblExpense[[#This Row],[Date]],"mmm")</f>
        <v>Feb</v>
      </c>
    </row>
    <row r="125" spans="1:6" x14ac:dyDescent="0.3">
      <c r="A125" s="1">
        <v>45328</v>
      </c>
      <c r="B125" t="s">
        <v>1536</v>
      </c>
      <c r="C125" t="s">
        <v>1535</v>
      </c>
      <c r="D125">
        <v>29448</v>
      </c>
      <c r="E125">
        <f>MONTH(tblExpense[[#This Row],[Date]])</f>
        <v>2</v>
      </c>
      <c r="F125" t="str">
        <f>TEXT(tblExpense[[#This Row],[Date]],"mmm")</f>
        <v>Feb</v>
      </c>
    </row>
    <row r="126" spans="1:6" x14ac:dyDescent="0.3">
      <c r="A126" s="1">
        <v>45347</v>
      </c>
      <c r="B126" t="s">
        <v>1538</v>
      </c>
      <c r="C126" t="s">
        <v>1537</v>
      </c>
      <c r="D126">
        <v>82714</v>
      </c>
      <c r="E126">
        <f>MONTH(tblExpense[[#This Row],[Date]])</f>
        <v>2</v>
      </c>
      <c r="F126" t="str">
        <f>TEXT(tblExpense[[#This Row],[Date]],"mmm")</f>
        <v>Feb</v>
      </c>
    </row>
    <row r="127" spans="1:6" x14ac:dyDescent="0.3">
      <c r="A127" s="1">
        <v>45341</v>
      </c>
      <c r="B127" t="s">
        <v>1529</v>
      </c>
      <c r="C127" t="s">
        <v>1535</v>
      </c>
      <c r="D127">
        <v>85699</v>
      </c>
      <c r="E127">
        <f>MONTH(tblExpense[[#This Row],[Date]])</f>
        <v>2</v>
      </c>
      <c r="F127" t="str">
        <f>TEXT(tblExpense[[#This Row],[Date]],"mmm")</f>
        <v>Feb</v>
      </c>
    </row>
    <row r="128" spans="1:6" x14ac:dyDescent="0.3">
      <c r="A128" s="1">
        <v>45346</v>
      </c>
      <c r="B128" t="s">
        <v>1536</v>
      </c>
      <c r="C128" t="s">
        <v>1532</v>
      </c>
      <c r="D128">
        <v>61698</v>
      </c>
      <c r="E128">
        <f>MONTH(tblExpense[[#This Row],[Date]])</f>
        <v>2</v>
      </c>
      <c r="F128" t="str">
        <f>TEXT(tblExpense[[#This Row],[Date]],"mmm")</f>
        <v>Feb</v>
      </c>
    </row>
    <row r="129" spans="1:6" x14ac:dyDescent="0.3">
      <c r="A129" s="1">
        <v>45348</v>
      </c>
      <c r="B129" t="s">
        <v>1538</v>
      </c>
      <c r="C129" t="s">
        <v>1532</v>
      </c>
      <c r="D129">
        <v>12251</v>
      </c>
      <c r="E129">
        <f>MONTH(tblExpense[[#This Row],[Date]])</f>
        <v>2</v>
      </c>
      <c r="F129" t="str">
        <f>TEXT(tblExpense[[#This Row],[Date]],"mmm")</f>
        <v>Feb</v>
      </c>
    </row>
    <row r="130" spans="1:6" x14ac:dyDescent="0.3">
      <c r="A130" s="1">
        <v>45330</v>
      </c>
      <c r="B130" t="s">
        <v>1531</v>
      </c>
      <c r="C130" t="s">
        <v>1537</v>
      </c>
      <c r="D130">
        <v>68953</v>
      </c>
      <c r="E130">
        <f>MONTH(tblExpense[[#This Row],[Date]])</f>
        <v>2</v>
      </c>
      <c r="F130" t="str">
        <f>TEXT(tblExpense[[#This Row],[Date]],"mmm")</f>
        <v>Feb</v>
      </c>
    </row>
    <row r="131" spans="1:6" x14ac:dyDescent="0.3">
      <c r="A131" s="1">
        <v>45344</v>
      </c>
      <c r="B131" t="s">
        <v>1529</v>
      </c>
      <c r="C131" t="s">
        <v>1532</v>
      </c>
      <c r="D131">
        <v>69897</v>
      </c>
      <c r="E131">
        <f>MONTH(tblExpense[[#This Row],[Date]])</f>
        <v>2</v>
      </c>
      <c r="F131" t="str">
        <f>TEXT(tblExpense[[#This Row],[Date]],"mmm")</f>
        <v>Feb</v>
      </c>
    </row>
    <row r="132" spans="1:6" x14ac:dyDescent="0.3">
      <c r="A132" s="1">
        <v>45332</v>
      </c>
      <c r="B132" t="s">
        <v>1531</v>
      </c>
      <c r="C132" t="s">
        <v>1535</v>
      </c>
      <c r="D132">
        <v>38166</v>
      </c>
      <c r="E132">
        <f>MONTH(tblExpense[[#This Row],[Date]])</f>
        <v>2</v>
      </c>
      <c r="F132" t="str">
        <f>TEXT(tblExpense[[#This Row],[Date]],"mmm")</f>
        <v>Feb</v>
      </c>
    </row>
    <row r="133" spans="1:6" x14ac:dyDescent="0.3">
      <c r="A133" s="1">
        <v>45324</v>
      </c>
      <c r="B133" t="s">
        <v>1529</v>
      </c>
      <c r="C133" t="s">
        <v>1532</v>
      </c>
      <c r="D133">
        <v>97440</v>
      </c>
      <c r="E133">
        <f>MONTH(tblExpense[[#This Row],[Date]])</f>
        <v>2</v>
      </c>
      <c r="F133" t="str">
        <f>TEXT(tblExpense[[#This Row],[Date]],"mmm")</f>
        <v>Feb</v>
      </c>
    </row>
    <row r="134" spans="1:6" x14ac:dyDescent="0.3">
      <c r="A134" s="1">
        <v>45338</v>
      </c>
      <c r="B134" t="s">
        <v>1531</v>
      </c>
      <c r="C134" t="s">
        <v>1530</v>
      </c>
      <c r="D134">
        <v>49021</v>
      </c>
      <c r="E134">
        <f>MONTH(tblExpense[[#This Row],[Date]])</f>
        <v>2</v>
      </c>
      <c r="F134" t="str">
        <f>TEXT(tblExpense[[#This Row],[Date]],"mmm")</f>
        <v>Feb</v>
      </c>
    </row>
    <row r="135" spans="1:6" x14ac:dyDescent="0.3">
      <c r="A135" s="1">
        <v>45342</v>
      </c>
      <c r="B135" t="s">
        <v>1529</v>
      </c>
      <c r="C135" t="s">
        <v>1532</v>
      </c>
      <c r="D135">
        <v>7595</v>
      </c>
      <c r="E135">
        <f>MONTH(tblExpense[[#This Row],[Date]])</f>
        <v>2</v>
      </c>
      <c r="F135" t="str">
        <f>TEXT(tblExpense[[#This Row],[Date]],"mmm")</f>
        <v>Feb</v>
      </c>
    </row>
    <row r="136" spans="1:6" x14ac:dyDescent="0.3">
      <c r="A136" s="1">
        <v>45345</v>
      </c>
      <c r="B136" t="s">
        <v>1536</v>
      </c>
      <c r="C136" t="s">
        <v>1530</v>
      </c>
      <c r="D136">
        <v>40428</v>
      </c>
      <c r="E136">
        <f>MONTH(tblExpense[[#This Row],[Date]])</f>
        <v>2</v>
      </c>
      <c r="F136" t="str">
        <f>TEXT(tblExpense[[#This Row],[Date]],"mmm")</f>
        <v>Feb</v>
      </c>
    </row>
    <row r="137" spans="1:6" x14ac:dyDescent="0.3">
      <c r="A137" s="1">
        <v>45344</v>
      </c>
      <c r="B137" t="s">
        <v>1531</v>
      </c>
      <c r="C137" t="s">
        <v>1530</v>
      </c>
      <c r="D137">
        <v>21293</v>
      </c>
      <c r="E137">
        <f>MONTH(tblExpense[[#This Row],[Date]])</f>
        <v>2</v>
      </c>
      <c r="F137" t="str">
        <f>TEXT(tblExpense[[#This Row],[Date]],"mmm")</f>
        <v>Feb</v>
      </c>
    </row>
    <row r="138" spans="1:6" x14ac:dyDescent="0.3">
      <c r="A138" s="1">
        <v>45349</v>
      </c>
      <c r="B138" t="s">
        <v>1536</v>
      </c>
      <c r="C138" t="s">
        <v>1535</v>
      </c>
      <c r="D138">
        <v>7504</v>
      </c>
      <c r="E138">
        <f>MONTH(tblExpense[[#This Row],[Date]])</f>
        <v>2</v>
      </c>
      <c r="F138" t="str">
        <f>TEXT(tblExpense[[#This Row],[Date]],"mmm")</f>
        <v>Feb</v>
      </c>
    </row>
    <row r="139" spans="1:6" x14ac:dyDescent="0.3">
      <c r="A139" s="1">
        <v>45346</v>
      </c>
      <c r="B139" t="s">
        <v>1533</v>
      </c>
      <c r="C139" t="s">
        <v>1530</v>
      </c>
      <c r="D139">
        <v>65720</v>
      </c>
      <c r="E139">
        <f>MONTH(tblExpense[[#This Row],[Date]])</f>
        <v>2</v>
      </c>
      <c r="F139" t="str">
        <f>TEXT(tblExpense[[#This Row],[Date]],"mmm")</f>
        <v>Feb</v>
      </c>
    </row>
    <row r="140" spans="1:6" x14ac:dyDescent="0.3">
      <c r="A140" s="1">
        <v>45345</v>
      </c>
      <c r="B140" t="s">
        <v>1536</v>
      </c>
      <c r="C140" t="s">
        <v>1534</v>
      </c>
      <c r="D140">
        <v>14440</v>
      </c>
      <c r="E140">
        <f>MONTH(tblExpense[[#This Row],[Date]])</f>
        <v>2</v>
      </c>
      <c r="F140" t="str">
        <f>TEXT(tblExpense[[#This Row],[Date]],"mmm")</f>
        <v>Feb</v>
      </c>
    </row>
    <row r="141" spans="1:6" x14ac:dyDescent="0.3">
      <c r="A141" s="1">
        <v>45334</v>
      </c>
      <c r="B141" t="s">
        <v>1538</v>
      </c>
      <c r="C141" t="s">
        <v>1532</v>
      </c>
      <c r="D141">
        <v>26884</v>
      </c>
      <c r="E141">
        <f>MONTH(tblExpense[[#This Row],[Date]])</f>
        <v>2</v>
      </c>
      <c r="F141" t="str">
        <f>TEXT(tblExpense[[#This Row],[Date]],"mmm")</f>
        <v>Feb</v>
      </c>
    </row>
    <row r="142" spans="1:6" x14ac:dyDescent="0.3">
      <c r="A142" s="1">
        <v>45350</v>
      </c>
      <c r="B142" t="s">
        <v>1538</v>
      </c>
      <c r="C142" t="s">
        <v>1537</v>
      </c>
      <c r="D142">
        <v>42105</v>
      </c>
      <c r="E142">
        <f>MONTH(tblExpense[[#This Row],[Date]])</f>
        <v>2</v>
      </c>
      <c r="F142" t="str">
        <f>TEXT(tblExpense[[#This Row],[Date]],"mmm")</f>
        <v>Feb</v>
      </c>
    </row>
    <row r="143" spans="1:6" x14ac:dyDescent="0.3">
      <c r="A143" s="1">
        <v>45328</v>
      </c>
      <c r="B143" t="s">
        <v>1531</v>
      </c>
      <c r="C143" t="s">
        <v>1532</v>
      </c>
      <c r="D143">
        <v>22523</v>
      </c>
      <c r="E143">
        <f>MONTH(tblExpense[[#This Row],[Date]])</f>
        <v>2</v>
      </c>
      <c r="F143" t="str">
        <f>TEXT(tblExpense[[#This Row],[Date]],"mmm")</f>
        <v>Feb</v>
      </c>
    </row>
    <row r="144" spans="1:6" x14ac:dyDescent="0.3">
      <c r="A144" s="1">
        <v>45335</v>
      </c>
      <c r="B144" t="s">
        <v>1538</v>
      </c>
      <c r="C144" t="s">
        <v>1530</v>
      </c>
      <c r="D144">
        <v>90073</v>
      </c>
      <c r="E144">
        <f>MONTH(tblExpense[[#This Row],[Date]])</f>
        <v>2</v>
      </c>
      <c r="F144" t="str">
        <f>TEXT(tblExpense[[#This Row],[Date]],"mmm")</f>
        <v>Feb</v>
      </c>
    </row>
    <row r="145" spans="1:6" x14ac:dyDescent="0.3">
      <c r="A145" s="1">
        <v>45325</v>
      </c>
      <c r="B145" t="s">
        <v>1529</v>
      </c>
      <c r="C145" t="s">
        <v>1530</v>
      </c>
      <c r="D145">
        <v>59807</v>
      </c>
      <c r="E145">
        <f>MONTH(tblExpense[[#This Row],[Date]])</f>
        <v>2</v>
      </c>
      <c r="F145" t="str">
        <f>TEXT(tblExpense[[#This Row],[Date]],"mmm")</f>
        <v>Feb</v>
      </c>
    </row>
    <row r="146" spans="1:6" x14ac:dyDescent="0.3">
      <c r="A146" s="1">
        <v>45343</v>
      </c>
      <c r="B146" t="s">
        <v>1531</v>
      </c>
      <c r="C146" t="s">
        <v>1532</v>
      </c>
      <c r="D146">
        <v>88748</v>
      </c>
      <c r="E146">
        <f>MONTH(tblExpense[[#This Row],[Date]])</f>
        <v>2</v>
      </c>
      <c r="F146" t="str">
        <f>TEXT(tblExpense[[#This Row],[Date]],"mmm")</f>
        <v>Feb</v>
      </c>
    </row>
    <row r="147" spans="1:6" x14ac:dyDescent="0.3">
      <c r="A147" s="1">
        <v>45344</v>
      </c>
      <c r="B147" t="s">
        <v>1529</v>
      </c>
      <c r="C147" t="s">
        <v>1537</v>
      </c>
      <c r="D147">
        <v>82008</v>
      </c>
      <c r="E147">
        <f>MONTH(tblExpense[[#This Row],[Date]])</f>
        <v>2</v>
      </c>
      <c r="F147" t="str">
        <f>TEXT(tblExpense[[#This Row],[Date]],"mmm")</f>
        <v>Feb</v>
      </c>
    </row>
    <row r="148" spans="1:6" x14ac:dyDescent="0.3">
      <c r="A148" s="1">
        <v>45323</v>
      </c>
      <c r="B148" t="s">
        <v>1538</v>
      </c>
      <c r="C148" t="s">
        <v>1530</v>
      </c>
      <c r="D148">
        <v>80475</v>
      </c>
      <c r="E148">
        <f>MONTH(tblExpense[[#This Row],[Date]])</f>
        <v>2</v>
      </c>
      <c r="F148" t="str">
        <f>TEXT(tblExpense[[#This Row],[Date]],"mmm")</f>
        <v>Feb</v>
      </c>
    </row>
    <row r="149" spans="1:6" x14ac:dyDescent="0.3">
      <c r="A149" s="1">
        <v>45351</v>
      </c>
      <c r="B149" t="s">
        <v>1533</v>
      </c>
      <c r="C149" t="s">
        <v>1535</v>
      </c>
      <c r="D149">
        <v>7639</v>
      </c>
      <c r="E149">
        <f>MONTH(tblExpense[[#This Row],[Date]])</f>
        <v>2</v>
      </c>
      <c r="F149" t="str">
        <f>TEXT(tblExpense[[#This Row],[Date]],"mmm")</f>
        <v>Feb</v>
      </c>
    </row>
    <row r="150" spans="1:6" x14ac:dyDescent="0.3">
      <c r="A150" s="1">
        <v>45346</v>
      </c>
      <c r="B150" t="s">
        <v>1536</v>
      </c>
      <c r="C150" t="s">
        <v>1537</v>
      </c>
      <c r="D150">
        <v>64352</v>
      </c>
      <c r="E150">
        <f>MONTH(tblExpense[[#This Row],[Date]])</f>
        <v>2</v>
      </c>
      <c r="F150" t="str">
        <f>TEXT(tblExpense[[#This Row],[Date]],"mmm")</f>
        <v>Feb</v>
      </c>
    </row>
    <row r="151" spans="1:6" x14ac:dyDescent="0.3">
      <c r="A151" s="1">
        <v>45338</v>
      </c>
      <c r="B151" t="s">
        <v>1538</v>
      </c>
      <c r="C151" t="s">
        <v>1532</v>
      </c>
      <c r="D151">
        <v>12608</v>
      </c>
      <c r="E151">
        <f>MONTH(tblExpense[[#This Row],[Date]])</f>
        <v>2</v>
      </c>
      <c r="F151" t="str">
        <f>TEXT(tblExpense[[#This Row],[Date]],"mmm")</f>
        <v>Feb</v>
      </c>
    </row>
    <row r="152" spans="1:6" x14ac:dyDescent="0.3">
      <c r="A152" s="1">
        <v>45339</v>
      </c>
      <c r="B152" t="s">
        <v>1531</v>
      </c>
      <c r="C152" t="s">
        <v>1535</v>
      </c>
      <c r="D152">
        <v>50395</v>
      </c>
      <c r="E152">
        <f>MONTH(tblExpense[[#This Row],[Date]])</f>
        <v>2</v>
      </c>
      <c r="F152" t="str">
        <f>TEXT(tblExpense[[#This Row],[Date]],"mmm")</f>
        <v>Feb</v>
      </c>
    </row>
    <row r="153" spans="1:6" x14ac:dyDescent="0.3">
      <c r="A153" s="1">
        <v>45347</v>
      </c>
      <c r="B153" t="s">
        <v>1536</v>
      </c>
      <c r="C153" t="s">
        <v>1530</v>
      </c>
      <c r="D153">
        <v>31599</v>
      </c>
      <c r="E153">
        <f>MONTH(tblExpense[[#This Row],[Date]])</f>
        <v>2</v>
      </c>
      <c r="F153" t="str">
        <f>TEXT(tblExpense[[#This Row],[Date]],"mmm")</f>
        <v>Feb</v>
      </c>
    </row>
    <row r="154" spans="1:6" x14ac:dyDescent="0.3">
      <c r="A154" s="1">
        <v>45347</v>
      </c>
      <c r="B154" t="s">
        <v>1538</v>
      </c>
      <c r="C154" t="s">
        <v>1535</v>
      </c>
      <c r="D154">
        <v>16730</v>
      </c>
      <c r="E154">
        <f>MONTH(tblExpense[[#This Row],[Date]])</f>
        <v>2</v>
      </c>
      <c r="F154" t="str">
        <f>TEXT(tblExpense[[#This Row],[Date]],"mmm")</f>
        <v>Feb</v>
      </c>
    </row>
    <row r="155" spans="1:6" x14ac:dyDescent="0.3">
      <c r="A155" s="1">
        <v>45329</v>
      </c>
      <c r="B155" t="s">
        <v>1538</v>
      </c>
      <c r="C155" t="s">
        <v>1535</v>
      </c>
      <c r="D155">
        <v>11501</v>
      </c>
      <c r="E155">
        <f>MONTH(tblExpense[[#This Row],[Date]])</f>
        <v>2</v>
      </c>
      <c r="F155" t="str">
        <f>TEXT(tblExpense[[#This Row],[Date]],"mmm")</f>
        <v>Feb</v>
      </c>
    </row>
    <row r="156" spans="1:6" x14ac:dyDescent="0.3">
      <c r="A156" s="1">
        <v>45341</v>
      </c>
      <c r="B156" t="s">
        <v>1533</v>
      </c>
      <c r="C156" t="s">
        <v>1530</v>
      </c>
      <c r="D156">
        <v>45741</v>
      </c>
      <c r="E156">
        <f>MONTH(tblExpense[[#This Row],[Date]])</f>
        <v>2</v>
      </c>
      <c r="F156" t="str">
        <f>TEXT(tblExpense[[#This Row],[Date]],"mmm")</f>
        <v>Feb</v>
      </c>
    </row>
    <row r="157" spans="1:6" x14ac:dyDescent="0.3">
      <c r="A157" s="1">
        <v>45326</v>
      </c>
      <c r="B157" t="s">
        <v>1533</v>
      </c>
      <c r="C157" t="s">
        <v>1532</v>
      </c>
      <c r="D157">
        <v>26429</v>
      </c>
      <c r="E157">
        <f>MONTH(tblExpense[[#This Row],[Date]])</f>
        <v>2</v>
      </c>
      <c r="F157" t="str">
        <f>TEXT(tblExpense[[#This Row],[Date]],"mmm")</f>
        <v>Feb</v>
      </c>
    </row>
    <row r="158" spans="1:6" x14ac:dyDescent="0.3">
      <c r="A158" s="1">
        <v>45339</v>
      </c>
      <c r="B158" t="s">
        <v>1538</v>
      </c>
      <c r="C158" t="s">
        <v>1534</v>
      </c>
      <c r="D158">
        <v>96499</v>
      </c>
      <c r="E158">
        <f>MONTH(tblExpense[[#This Row],[Date]])</f>
        <v>2</v>
      </c>
      <c r="F158" t="str">
        <f>TEXT(tblExpense[[#This Row],[Date]],"mmm")</f>
        <v>Feb</v>
      </c>
    </row>
    <row r="159" spans="1:6" x14ac:dyDescent="0.3">
      <c r="A159" s="1">
        <v>45326</v>
      </c>
      <c r="B159" t="s">
        <v>1533</v>
      </c>
      <c r="C159" t="s">
        <v>1537</v>
      </c>
      <c r="D159">
        <v>19719</v>
      </c>
      <c r="E159">
        <f>MONTH(tblExpense[[#This Row],[Date]])</f>
        <v>2</v>
      </c>
      <c r="F159" t="str">
        <f>TEXT(tblExpense[[#This Row],[Date]],"mmm")</f>
        <v>Feb</v>
      </c>
    </row>
    <row r="160" spans="1:6" x14ac:dyDescent="0.3">
      <c r="A160" s="1">
        <v>45325</v>
      </c>
      <c r="B160" t="s">
        <v>1536</v>
      </c>
      <c r="C160" t="s">
        <v>1532</v>
      </c>
      <c r="D160">
        <v>44295</v>
      </c>
      <c r="E160">
        <f>MONTH(tblExpense[[#This Row],[Date]])</f>
        <v>2</v>
      </c>
      <c r="F160" t="str">
        <f>TEXT(tblExpense[[#This Row],[Date]],"mmm")</f>
        <v>Feb</v>
      </c>
    </row>
    <row r="161" spans="1:6" x14ac:dyDescent="0.3">
      <c r="A161" s="1">
        <v>45324</v>
      </c>
      <c r="B161" t="s">
        <v>1538</v>
      </c>
      <c r="C161" t="s">
        <v>1537</v>
      </c>
      <c r="D161">
        <v>93197</v>
      </c>
      <c r="E161">
        <f>MONTH(tblExpense[[#This Row],[Date]])</f>
        <v>2</v>
      </c>
      <c r="F161" t="str">
        <f>TEXT(tblExpense[[#This Row],[Date]],"mmm")</f>
        <v>Feb</v>
      </c>
    </row>
    <row r="162" spans="1:6" x14ac:dyDescent="0.3">
      <c r="A162" s="1">
        <v>45331</v>
      </c>
      <c r="B162" t="s">
        <v>1533</v>
      </c>
      <c r="C162" t="s">
        <v>1534</v>
      </c>
      <c r="D162">
        <v>76174</v>
      </c>
      <c r="E162">
        <f>MONTH(tblExpense[[#This Row],[Date]])</f>
        <v>2</v>
      </c>
      <c r="F162" t="str">
        <f>TEXT(tblExpense[[#This Row],[Date]],"mmm")</f>
        <v>Feb</v>
      </c>
    </row>
    <row r="163" spans="1:6" x14ac:dyDescent="0.3">
      <c r="A163" s="1">
        <v>45347</v>
      </c>
      <c r="B163" t="s">
        <v>1533</v>
      </c>
      <c r="C163" t="s">
        <v>1534</v>
      </c>
      <c r="D163">
        <v>27614</v>
      </c>
      <c r="E163">
        <f>MONTH(tblExpense[[#This Row],[Date]])</f>
        <v>2</v>
      </c>
      <c r="F163" t="str">
        <f>TEXT(tblExpense[[#This Row],[Date]],"mmm")</f>
        <v>Feb</v>
      </c>
    </row>
    <row r="164" spans="1:6" x14ac:dyDescent="0.3">
      <c r="A164" s="1">
        <v>45328</v>
      </c>
      <c r="B164" t="s">
        <v>1536</v>
      </c>
      <c r="C164" t="s">
        <v>1537</v>
      </c>
      <c r="D164">
        <v>58569</v>
      </c>
      <c r="E164">
        <f>MONTH(tblExpense[[#This Row],[Date]])</f>
        <v>2</v>
      </c>
      <c r="F164" t="str">
        <f>TEXT(tblExpense[[#This Row],[Date]],"mmm")</f>
        <v>Feb</v>
      </c>
    </row>
    <row r="165" spans="1:6" x14ac:dyDescent="0.3">
      <c r="A165" s="1">
        <v>45336</v>
      </c>
      <c r="B165" t="s">
        <v>1533</v>
      </c>
      <c r="C165" t="s">
        <v>1532</v>
      </c>
      <c r="D165">
        <v>35354</v>
      </c>
      <c r="E165">
        <f>MONTH(tblExpense[[#This Row],[Date]])</f>
        <v>2</v>
      </c>
      <c r="F165" t="str">
        <f>TEXT(tblExpense[[#This Row],[Date]],"mmm")</f>
        <v>Feb</v>
      </c>
    </row>
    <row r="166" spans="1:6" x14ac:dyDescent="0.3">
      <c r="A166" s="1">
        <v>45342</v>
      </c>
      <c r="B166" t="s">
        <v>1536</v>
      </c>
      <c r="C166" t="s">
        <v>1537</v>
      </c>
      <c r="D166">
        <v>22925</v>
      </c>
      <c r="E166">
        <f>MONTH(tblExpense[[#This Row],[Date]])</f>
        <v>2</v>
      </c>
      <c r="F166" t="str">
        <f>TEXT(tblExpense[[#This Row],[Date]],"mmm")</f>
        <v>Feb</v>
      </c>
    </row>
    <row r="167" spans="1:6" x14ac:dyDescent="0.3">
      <c r="A167" s="1">
        <v>45349</v>
      </c>
      <c r="B167" t="s">
        <v>1529</v>
      </c>
      <c r="C167" t="s">
        <v>1537</v>
      </c>
      <c r="D167">
        <v>89145</v>
      </c>
      <c r="E167">
        <f>MONTH(tblExpense[[#This Row],[Date]])</f>
        <v>2</v>
      </c>
      <c r="F167" t="str">
        <f>TEXT(tblExpense[[#This Row],[Date]],"mmm")</f>
        <v>Feb</v>
      </c>
    </row>
    <row r="168" spans="1:6" x14ac:dyDescent="0.3">
      <c r="A168" s="1">
        <v>45345</v>
      </c>
      <c r="B168" t="s">
        <v>1529</v>
      </c>
      <c r="C168" t="s">
        <v>1532</v>
      </c>
      <c r="D168">
        <v>52845</v>
      </c>
      <c r="E168">
        <f>MONTH(tblExpense[[#This Row],[Date]])</f>
        <v>2</v>
      </c>
      <c r="F168" t="str">
        <f>TEXT(tblExpense[[#This Row],[Date]],"mmm")</f>
        <v>Feb</v>
      </c>
    </row>
    <row r="169" spans="1:6" x14ac:dyDescent="0.3">
      <c r="A169" s="1">
        <v>45349</v>
      </c>
      <c r="B169" t="s">
        <v>1536</v>
      </c>
      <c r="C169" t="s">
        <v>1530</v>
      </c>
      <c r="D169">
        <v>18256</v>
      </c>
      <c r="E169">
        <f>MONTH(tblExpense[[#This Row],[Date]])</f>
        <v>2</v>
      </c>
      <c r="F169" t="str">
        <f>TEXT(tblExpense[[#This Row],[Date]],"mmm")</f>
        <v>Feb</v>
      </c>
    </row>
    <row r="170" spans="1:6" x14ac:dyDescent="0.3">
      <c r="A170" s="1">
        <v>45340</v>
      </c>
      <c r="B170" t="s">
        <v>1538</v>
      </c>
      <c r="C170" t="s">
        <v>1530</v>
      </c>
      <c r="D170">
        <v>27173</v>
      </c>
      <c r="E170">
        <f>MONTH(tblExpense[[#This Row],[Date]])</f>
        <v>2</v>
      </c>
      <c r="F170" t="str">
        <f>TEXT(tblExpense[[#This Row],[Date]],"mmm")</f>
        <v>Feb</v>
      </c>
    </row>
    <row r="171" spans="1:6" x14ac:dyDescent="0.3">
      <c r="A171" s="1">
        <v>45330</v>
      </c>
      <c r="B171" t="s">
        <v>1531</v>
      </c>
      <c r="C171" t="s">
        <v>1534</v>
      </c>
      <c r="D171">
        <v>19874</v>
      </c>
      <c r="E171">
        <f>MONTH(tblExpense[[#This Row],[Date]])</f>
        <v>2</v>
      </c>
      <c r="F171" t="str">
        <f>TEXT(tblExpense[[#This Row],[Date]],"mmm")</f>
        <v>Feb</v>
      </c>
    </row>
    <row r="172" spans="1:6" x14ac:dyDescent="0.3">
      <c r="A172" s="1">
        <v>45344</v>
      </c>
      <c r="B172" t="s">
        <v>1529</v>
      </c>
      <c r="C172" t="s">
        <v>1530</v>
      </c>
      <c r="D172">
        <v>87322</v>
      </c>
      <c r="E172">
        <f>MONTH(tblExpense[[#This Row],[Date]])</f>
        <v>2</v>
      </c>
      <c r="F172" t="str">
        <f>TEXT(tblExpense[[#This Row],[Date]],"mmm")</f>
        <v>Feb</v>
      </c>
    </row>
    <row r="173" spans="1:6" x14ac:dyDescent="0.3">
      <c r="A173" s="1">
        <v>45339</v>
      </c>
      <c r="B173" t="s">
        <v>1531</v>
      </c>
      <c r="C173" t="s">
        <v>1535</v>
      </c>
      <c r="D173">
        <v>24175</v>
      </c>
      <c r="E173">
        <f>MONTH(tblExpense[[#This Row],[Date]])</f>
        <v>2</v>
      </c>
      <c r="F173" t="str">
        <f>TEXT(tblExpense[[#This Row],[Date]],"mmm")</f>
        <v>Feb</v>
      </c>
    </row>
    <row r="174" spans="1:6" x14ac:dyDescent="0.3">
      <c r="A174" s="1">
        <v>45341</v>
      </c>
      <c r="B174" t="s">
        <v>1538</v>
      </c>
      <c r="C174" t="s">
        <v>1530</v>
      </c>
      <c r="D174">
        <v>50254</v>
      </c>
      <c r="E174">
        <f>MONTH(tblExpense[[#This Row],[Date]])</f>
        <v>2</v>
      </c>
      <c r="F174" t="str">
        <f>TEXT(tblExpense[[#This Row],[Date]],"mmm")</f>
        <v>Feb</v>
      </c>
    </row>
    <row r="175" spans="1:6" x14ac:dyDescent="0.3">
      <c r="A175" s="1">
        <v>45343</v>
      </c>
      <c r="B175" t="s">
        <v>1536</v>
      </c>
      <c r="C175" t="s">
        <v>1534</v>
      </c>
      <c r="D175">
        <v>50240</v>
      </c>
      <c r="E175">
        <f>MONTH(tblExpense[[#This Row],[Date]])</f>
        <v>2</v>
      </c>
      <c r="F175" t="str">
        <f>TEXT(tblExpense[[#This Row],[Date]],"mmm")</f>
        <v>Feb</v>
      </c>
    </row>
    <row r="176" spans="1:6" x14ac:dyDescent="0.3">
      <c r="A176" s="1">
        <v>45351</v>
      </c>
      <c r="B176" t="s">
        <v>1538</v>
      </c>
      <c r="C176" t="s">
        <v>1534</v>
      </c>
      <c r="D176">
        <v>44093</v>
      </c>
      <c r="E176">
        <f>MONTH(tblExpense[[#This Row],[Date]])</f>
        <v>2</v>
      </c>
      <c r="F176" t="str">
        <f>TEXT(tblExpense[[#This Row],[Date]],"mmm")</f>
        <v>Feb</v>
      </c>
    </row>
    <row r="177" spans="1:6" x14ac:dyDescent="0.3">
      <c r="A177" s="1">
        <v>45348</v>
      </c>
      <c r="B177" t="s">
        <v>1531</v>
      </c>
      <c r="C177" t="s">
        <v>1530</v>
      </c>
      <c r="D177">
        <v>59754</v>
      </c>
      <c r="E177">
        <f>MONTH(tblExpense[[#This Row],[Date]])</f>
        <v>2</v>
      </c>
      <c r="F177" t="str">
        <f>TEXT(tblExpense[[#This Row],[Date]],"mmm")</f>
        <v>Feb</v>
      </c>
    </row>
    <row r="178" spans="1:6" x14ac:dyDescent="0.3">
      <c r="A178" s="1">
        <v>45346</v>
      </c>
      <c r="B178" t="s">
        <v>1529</v>
      </c>
      <c r="C178" t="s">
        <v>1537</v>
      </c>
      <c r="D178">
        <v>11427</v>
      </c>
      <c r="E178">
        <f>MONTH(tblExpense[[#This Row],[Date]])</f>
        <v>2</v>
      </c>
      <c r="F178" t="str">
        <f>TEXT(tblExpense[[#This Row],[Date]],"mmm")</f>
        <v>Feb</v>
      </c>
    </row>
    <row r="179" spans="1:6" x14ac:dyDescent="0.3">
      <c r="A179" s="1">
        <v>45349</v>
      </c>
      <c r="B179" t="s">
        <v>1531</v>
      </c>
      <c r="C179" t="s">
        <v>1530</v>
      </c>
      <c r="D179">
        <v>65266</v>
      </c>
      <c r="E179">
        <f>MONTH(tblExpense[[#This Row],[Date]])</f>
        <v>2</v>
      </c>
      <c r="F179" t="str">
        <f>TEXT(tblExpense[[#This Row],[Date]],"mmm")</f>
        <v>Feb</v>
      </c>
    </row>
    <row r="180" spans="1:6" x14ac:dyDescent="0.3">
      <c r="A180" s="1">
        <v>45343</v>
      </c>
      <c r="B180" t="s">
        <v>1538</v>
      </c>
      <c r="C180" t="s">
        <v>1532</v>
      </c>
      <c r="D180">
        <v>65050</v>
      </c>
      <c r="E180">
        <f>MONTH(tblExpense[[#This Row],[Date]])</f>
        <v>2</v>
      </c>
      <c r="F180" t="str">
        <f>TEXT(tblExpense[[#This Row],[Date]],"mmm")</f>
        <v>Feb</v>
      </c>
    </row>
    <row r="181" spans="1:6" x14ac:dyDescent="0.3">
      <c r="A181" s="1">
        <v>45323</v>
      </c>
      <c r="B181" t="s">
        <v>1536</v>
      </c>
      <c r="C181" t="s">
        <v>1537</v>
      </c>
      <c r="D181">
        <v>49699</v>
      </c>
      <c r="E181">
        <f>MONTH(tblExpense[[#This Row],[Date]])</f>
        <v>2</v>
      </c>
      <c r="F181" t="str">
        <f>TEXT(tblExpense[[#This Row],[Date]],"mmm")</f>
        <v>Feb</v>
      </c>
    </row>
    <row r="182" spans="1:6" x14ac:dyDescent="0.3">
      <c r="A182" s="1">
        <v>45343</v>
      </c>
      <c r="B182" t="s">
        <v>1531</v>
      </c>
      <c r="C182" t="s">
        <v>1530</v>
      </c>
      <c r="D182">
        <v>24407</v>
      </c>
      <c r="E182">
        <f>MONTH(tblExpense[[#This Row],[Date]])</f>
        <v>2</v>
      </c>
      <c r="F182" t="str">
        <f>TEXT(tblExpense[[#This Row],[Date]],"mmm")</f>
        <v>Feb</v>
      </c>
    </row>
    <row r="183" spans="1:6" x14ac:dyDescent="0.3">
      <c r="A183" s="1">
        <v>45355</v>
      </c>
      <c r="B183" t="s">
        <v>1531</v>
      </c>
      <c r="C183" t="s">
        <v>1537</v>
      </c>
      <c r="D183">
        <v>99349</v>
      </c>
      <c r="E183">
        <f>MONTH(tblExpense[[#This Row],[Date]])</f>
        <v>3</v>
      </c>
      <c r="F183" t="str">
        <f>TEXT(tblExpense[[#This Row],[Date]],"mmm")</f>
        <v>Mar</v>
      </c>
    </row>
    <row r="184" spans="1:6" x14ac:dyDescent="0.3">
      <c r="A184" s="1">
        <v>45372</v>
      </c>
      <c r="B184" t="s">
        <v>1536</v>
      </c>
      <c r="C184" t="s">
        <v>1532</v>
      </c>
      <c r="D184">
        <v>91092</v>
      </c>
      <c r="E184">
        <f>MONTH(tblExpense[[#This Row],[Date]])</f>
        <v>3</v>
      </c>
      <c r="F184" t="str">
        <f>TEXT(tblExpense[[#This Row],[Date]],"mmm")</f>
        <v>Mar</v>
      </c>
    </row>
    <row r="185" spans="1:6" x14ac:dyDescent="0.3">
      <c r="A185" s="1">
        <v>45364</v>
      </c>
      <c r="B185" t="s">
        <v>1536</v>
      </c>
      <c r="C185" t="s">
        <v>1532</v>
      </c>
      <c r="D185">
        <v>69103</v>
      </c>
      <c r="E185">
        <f>MONTH(tblExpense[[#This Row],[Date]])</f>
        <v>3</v>
      </c>
      <c r="F185" t="str">
        <f>TEXT(tblExpense[[#This Row],[Date]],"mmm")</f>
        <v>Mar</v>
      </c>
    </row>
    <row r="186" spans="1:6" x14ac:dyDescent="0.3">
      <c r="A186" s="1">
        <v>45367</v>
      </c>
      <c r="B186" t="s">
        <v>1529</v>
      </c>
      <c r="C186" t="s">
        <v>1534</v>
      </c>
      <c r="D186">
        <v>19304</v>
      </c>
      <c r="E186">
        <f>MONTH(tblExpense[[#This Row],[Date]])</f>
        <v>3</v>
      </c>
      <c r="F186" t="str">
        <f>TEXT(tblExpense[[#This Row],[Date]],"mmm")</f>
        <v>Mar</v>
      </c>
    </row>
    <row r="187" spans="1:6" x14ac:dyDescent="0.3">
      <c r="A187" s="1">
        <v>45369</v>
      </c>
      <c r="B187" t="s">
        <v>1536</v>
      </c>
      <c r="C187" t="s">
        <v>1535</v>
      </c>
      <c r="D187">
        <v>95607</v>
      </c>
      <c r="E187">
        <f>MONTH(tblExpense[[#This Row],[Date]])</f>
        <v>3</v>
      </c>
      <c r="F187" t="str">
        <f>TEXT(tblExpense[[#This Row],[Date]],"mmm")</f>
        <v>Mar</v>
      </c>
    </row>
    <row r="188" spans="1:6" x14ac:dyDescent="0.3">
      <c r="A188" s="1">
        <v>45356</v>
      </c>
      <c r="B188" t="s">
        <v>1529</v>
      </c>
      <c r="C188" t="s">
        <v>1535</v>
      </c>
      <c r="D188">
        <v>79217</v>
      </c>
      <c r="E188">
        <f>MONTH(tblExpense[[#This Row],[Date]])</f>
        <v>3</v>
      </c>
      <c r="F188" t="str">
        <f>TEXT(tblExpense[[#This Row],[Date]],"mmm")</f>
        <v>Mar</v>
      </c>
    </row>
    <row r="189" spans="1:6" x14ac:dyDescent="0.3">
      <c r="A189" s="1">
        <v>45359</v>
      </c>
      <c r="B189" t="s">
        <v>1533</v>
      </c>
      <c r="C189" t="s">
        <v>1534</v>
      </c>
      <c r="D189">
        <v>13782</v>
      </c>
      <c r="E189">
        <f>MONTH(tblExpense[[#This Row],[Date]])</f>
        <v>3</v>
      </c>
      <c r="F189" t="str">
        <f>TEXT(tblExpense[[#This Row],[Date]],"mmm")</f>
        <v>Mar</v>
      </c>
    </row>
    <row r="190" spans="1:6" x14ac:dyDescent="0.3">
      <c r="A190" s="1">
        <v>45370</v>
      </c>
      <c r="B190" t="s">
        <v>1529</v>
      </c>
      <c r="C190" t="s">
        <v>1537</v>
      </c>
      <c r="D190">
        <v>60164</v>
      </c>
      <c r="E190">
        <f>MONTH(tblExpense[[#This Row],[Date]])</f>
        <v>3</v>
      </c>
      <c r="F190" t="str">
        <f>TEXT(tblExpense[[#This Row],[Date]],"mmm")</f>
        <v>Mar</v>
      </c>
    </row>
    <row r="191" spans="1:6" x14ac:dyDescent="0.3">
      <c r="A191" s="1">
        <v>45380</v>
      </c>
      <c r="B191" t="s">
        <v>1533</v>
      </c>
      <c r="C191" t="s">
        <v>1535</v>
      </c>
      <c r="D191">
        <v>9452</v>
      </c>
      <c r="E191">
        <f>MONTH(tblExpense[[#This Row],[Date]])</f>
        <v>3</v>
      </c>
      <c r="F191" t="str">
        <f>TEXT(tblExpense[[#This Row],[Date]],"mmm")</f>
        <v>Mar</v>
      </c>
    </row>
    <row r="192" spans="1:6" x14ac:dyDescent="0.3">
      <c r="A192" s="1">
        <v>45366</v>
      </c>
      <c r="B192" t="s">
        <v>1533</v>
      </c>
      <c r="C192" t="s">
        <v>1532</v>
      </c>
      <c r="D192">
        <v>26810</v>
      </c>
      <c r="E192">
        <f>MONTH(tblExpense[[#This Row],[Date]])</f>
        <v>3</v>
      </c>
      <c r="F192" t="str">
        <f>TEXT(tblExpense[[#This Row],[Date]],"mmm")</f>
        <v>Mar</v>
      </c>
    </row>
    <row r="193" spans="1:6" x14ac:dyDescent="0.3">
      <c r="A193" s="1">
        <v>45369</v>
      </c>
      <c r="B193" t="s">
        <v>1533</v>
      </c>
      <c r="C193" t="s">
        <v>1532</v>
      </c>
      <c r="D193">
        <v>53920</v>
      </c>
      <c r="E193">
        <f>MONTH(tblExpense[[#This Row],[Date]])</f>
        <v>3</v>
      </c>
      <c r="F193" t="str">
        <f>TEXT(tblExpense[[#This Row],[Date]],"mmm")</f>
        <v>Mar</v>
      </c>
    </row>
    <row r="194" spans="1:6" x14ac:dyDescent="0.3">
      <c r="A194" s="1">
        <v>45375</v>
      </c>
      <c r="B194" t="s">
        <v>1536</v>
      </c>
      <c r="C194" t="s">
        <v>1532</v>
      </c>
      <c r="D194">
        <v>10288</v>
      </c>
      <c r="E194">
        <f>MONTH(tblExpense[[#This Row],[Date]])</f>
        <v>3</v>
      </c>
      <c r="F194" t="str">
        <f>TEXT(tblExpense[[#This Row],[Date]],"mmm")</f>
        <v>Mar</v>
      </c>
    </row>
    <row r="195" spans="1:6" x14ac:dyDescent="0.3">
      <c r="A195" s="1">
        <v>45370</v>
      </c>
      <c r="B195" t="s">
        <v>1536</v>
      </c>
      <c r="C195" t="s">
        <v>1534</v>
      </c>
      <c r="D195">
        <v>27516</v>
      </c>
      <c r="E195">
        <f>MONTH(tblExpense[[#This Row],[Date]])</f>
        <v>3</v>
      </c>
      <c r="F195" t="str">
        <f>TEXT(tblExpense[[#This Row],[Date]],"mmm")</f>
        <v>Mar</v>
      </c>
    </row>
    <row r="196" spans="1:6" x14ac:dyDescent="0.3">
      <c r="A196" s="1">
        <v>45366</v>
      </c>
      <c r="B196" t="s">
        <v>1531</v>
      </c>
      <c r="C196" t="s">
        <v>1534</v>
      </c>
      <c r="D196">
        <v>6175</v>
      </c>
      <c r="E196">
        <f>MONTH(tblExpense[[#This Row],[Date]])</f>
        <v>3</v>
      </c>
      <c r="F196" t="str">
        <f>TEXT(tblExpense[[#This Row],[Date]],"mmm")</f>
        <v>Mar</v>
      </c>
    </row>
    <row r="197" spans="1:6" x14ac:dyDescent="0.3">
      <c r="A197" s="1">
        <v>45377</v>
      </c>
      <c r="B197" t="s">
        <v>1536</v>
      </c>
      <c r="C197" t="s">
        <v>1534</v>
      </c>
      <c r="D197">
        <v>34813</v>
      </c>
      <c r="E197">
        <f>MONTH(tblExpense[[#This Row],[Date]])</f>
        <v>3</v>
      </c>
      <c r="F197" t="str">
        <f>TEXT(tblExpense[[#This Row],[Date]],"mmm")</f>
        <v>Mar</v>
      </c>
    </row>
    <row r="198" spans="1:6" x14ac:dyDescent="0.3">
      <c r="A198" s="1">
        <v>45371</v>
      </c>
      <c r="B198" t="s">
        <v>1536</v>
      </c>
      <c r="C198" t="s">
        <v>1537</v>
      </c>
      <c r="D198">
        <v>30458</v>
      </c>
      <c r="E198">
        <f>MONTH(tblExpense[[#This Row],[Date]])</f>
        <v>3</v>
      </c>
      <c r="F198" t="str">
        <f>TEXT(tblExpense[[#This Row],[Date]],"mmm")</f>
        <v>Mar</v>
      </c>
    </row>
    <row r="199" spans="1:6" x14ac:dyDescent="0.3">
      <c r="A199" s="1">
        <v>45369</v>
      </c>
      <c r="B199" t="s">
        <v>1536</v>
      </c>
      <c r="C199" t="s">
        <v>1534</v>
      </c>
      <c r="D199">
        <v>95737</v>
      </c>
      <c r="E199">
        <f>MONTH(tblExpense[[#This Row],[Date]])</f>
        <v>3</v>
      </c>
      <c r="F199" t="str">
        <f>TEXT(tblExpense[[#This Row],[Date]],"mmm")</f>
        <v>Mar</v>
      </c>
    </row>
    <row r="200" spans="1:6" x14ac:dyDescent="0.3">
      <c r="A200" s="1">
        <v>45376</v>
      </c>
      <c r="B200" t="s">
        <v>1531</v>
      </c>
      <c r="C200" t="s">
        <v>1534</v>
      </c>
      <c r="D200">
        <v>18250</v>
      </c>
      <c r="E200">
        <f>MONTH(tblExpense[[#This Row],[Date]])</f>
        <v>3</v>
      </c>
      <c r="F200" t="str">
        <f>TEXT(tblExpense[[#This Row],[Date]],"mmm")</f>
        <v>Mar</v>
      </c>
    </row>
    <row r="201" spans="1:6" x14ac:dyDescent="0.3">
      <c r="A201" s="1">
        <v>45360</v>
      </c>
      <c r="B201" t="s">
        <v>1531</v>
      </c>
      <c r="C201" t="s">
        <v>1530</v>
      </c>
      <c r="D201">
        <v>25692</v>
      </c>
      <c r="E201">
        <f>MONTH(tblExpense[[#This Row],[Date]])</f>
        <v>3</v>
      </c>
      <c r="F201" t="str">
        <f>TEXT(tblExpense[[#This Row],[Date]],"mmm")</f>
        <v>Mar</v>
      </c>
    </row>
    <row r="202" spans="1:6" x14ac:dyDescent="0.3">
      <c r="A202" s="1">
        <v>45368</v>
      </c>
      <c r="B202" t="s">
        <v>1529</v>
      </c>
      <c r="C202" t="s">
        <v>1530</v>
      </c>
      <c r="D202">
        <v>69622</v>
      </c>
      <c r="E202">
        <f>MONTH(tblExpense[[#This Row],[Date]])</f>
        <v>3</v>
      </c>
      <c r="F202" t="str">
        <f>TEXT(tblExpense[[#This Row],[Date]],"mmm")</f>
        <v>Mar</v>
      </c>
    </row>
    <row r="203" spans="1:6" x14ac:dyDescent="0.3">
      <c r="A203" s="1">
        <v>45366</v>
      </c>
      <c r="B203" t="s">
        <v>1538</v>
      </c>
      <c r="C203" t="s">
        <v>1532</v>
      </c>
      <c r="D203">
        <v>27787</v>
      </c>
      <c r="E203">
        <f>MONTH(tblExpense[[#This Row],[Date]])</f>
        <v>3</v>
      </c>
      <c r="F203" t="str">
        <f>TEXT(tblExpense[[#This Row],[Date]],"mmm")</f>
        <v>Mar</v>
      </c>
    </row>
    <row r="204" spans="1:6" x14ac:dyDescent="0.3">
      <c r="A204" s="1">
        <v>45354</v>
      </c>
      <c r="B204" t="s">
        <v>1529</v>
      </c>
      <c r="C204" t="s">
        <v>1535</v>
      </c>
      <c r="D204">
        <v>19460</v>
      </c>
      <c r="E204">
        <f>MONTH(tblExpense[[#This Row],[Date]])</f>
        <v>3</v>
      </c>
      <c r="F204" t="str">
        <f>TEXT(tblExpense[[#This Row],[Date]],"mmm")</f>
        <v>Mar</v>
      </c>
    </row>
    <row r="205" spans="1:6" x14ac:dyDescent="0.3">
      <c r="A205" s="1">
        <v>45369</v>
      </c>
      <c r="B205" t="s">
        <v>1536</v>
      </c>
      <c r="C205" t="s">
        <v>1535</v>
      </c>
      <c r="D205">
        <v>62957</v>
      </c>
      <c r="E205">
        <f>MONTH(tblExpense[[#This Row],[Date]])</f>
        <v>3</v>
      </c>
      <c r="F205" t="str">
        <f>TEXT(tblExpense[[#This Row],[Date]],"mmm")</f>
        <v>Mar</v>
      </c>
    </row>
    <row r="206" spans="1:6" x14ac:dyDescent="0.3">
      <c r="A206" s="1">
        <v>45375</v>
      </c>
      <c r="B206" t="s">
        <v>1531</v>
      </c>
      <c r="C206" t="s">
        <v>1534</v>
      </c>
      <c r="D206">
        <v>59546</v>
      </c>
      <c r="E206">
        <f>MONTH(tblExpense[[#This Row],[Date]])</f>
        <v>3</v>
      </c>
      <c r="F206" t="str">
        <f>TEXT(tblExpense[[#This Row],[Date]],"mmm")</f>
        <v>Mar</v>
      </c>
    </row>
    <row r="207" spans="1:6" x14ac:dyDescent="0.3">
      <c r="A207" s="1">
        <v>45357</v>
      </c>
      <c r="B207" t="s">
        <v>1533</v>
      </c>
      <c r="C207" t="s">
        <v>1530</v>
      </c>
      <c r="D207">
        <v>90433</v>
      </c>
      <c r="E207">
        <f>MONTH(tblExpense[[#This Row],[Date]])</f>
        <v>3</v>
      </c>
      <c r="F207" t="str">
        <f>TEXT(tblExpense[[#This Row],[Date]],"mmm")</f>
        <v>Mar</v>
      </c>
    </row>
    <row r="208" spans="1:6" x14ac:dyDescent="0.3">
      <c r="A208" s="1">
        <v>45372</v>
      </c>
      <c r="B208" t="s">
        <v>1531</v>
      </c>
      <c r="C208" t="s">
        <v>1530</v>
      </c>
      <c r="D208">
        <v>30181</v>
      </c>
      <c r="E208">
        <f>MONTH(tblExpense[[#This Row],[Date]])</f>
        <v>3</v>
      </c>
      <c r="F208" t="str">
        <f>TEXT(tblExpense[[#This Row],[Date]],"mmm")</f>
        <v>Mar</v>
      </c>
    </row>
    <row r="209" spans="1:6" x14ac:dyDescent="0.3">
      <c r="A209" s="1">
        <v>45374</v>
      </c>
      <c r="B209" t="s">
        <v>1533</v>
      </c>
      <c r="C209" t="s">
        <v>1535</v>
      </c>
      <c r="D209">
        <v>95574</v>
      </c>
      <c r="E209">
        <f>MONTH(tblExpense[[#This Row],[Date]])</f>
        <v>3</v>
      </c>
      <c r="F209" t="str">
        <f>TEXT(tblExpense[[#This Row],[Date]],"mmm")</f>
        <v>Mar</v>
      </c>
    </row>
    <row r="210" spans="1:6" x14ac:dyDescent="0.3">
      <c r="A210" s="1">
        <v>45382</v>
      </c>
      <c r="B210" t="s">
        <v>1531</v>
      </c>
      <c r="C210" t="s">
        <v>1530</v>
      </c>
      <c r="D210">
        <v>40317</v>
      </c>
      <c r="E210">
        <f>MONTH(tblExpense[[#This Row],[Date]])</f>
        <v>3</v>
      </c>
      <c r="F210" t="str">
        <f>TEXT(tblExpense[[#This Row],[Date]],"mmm")</f>
        <v>Mar</v>
      </c>
    </row>
    <row r="211" spans="1:6" x14ac:dyDescent="0.3">
      <c r="A211" s="1">
        <v>45364</v>
      </c>
      <c r="B211" t="s">
        <v>1533</v>
      </c>
      <c r="C211" t="s">
        <v>1530</v>
      </c>
      <c r="D211">
        <v>7347</v>
      </c>
      <c r="E211">
        <f>MONTH(tblExpense[[#This Row],[Date]])</f>
        <v>3</v>
      </c>
      <c r="F211" t="str">
        <f>TEXT(tblExpense[[#This Row],[Date]],"mmm")</f>
        <v>Mar</v>
      </c>
    </row>
    <row r="212" spans="1:6" x14ac:dyDescent="0.3">
      <c r="A212" s="1">
        <v>45355</v>
      </c>
      <c r="B212" t="s">
        <v>1533</v>
      </c>
      <c r="C212" t="s">
        <v>1537</v>
      </c>
      <c r="D212">
        <v>50339</v>
      </c>
      <c r="E212">
        <f>MONTH(tblExpense[[#This Row],[Date]])</f>
        <v>3</v>
      </c>
      <c r="F212" t="str">
        <f>TEXT(tblExpense[[#This Row],[Date]],"mmm")</f>
        <v>Mar</v>
      </c>
    </row>
    <row r="213" spans="1:6" x14ac:dyDescent="0.3">
      <c r="A213" s="1">
        <v>45378</v>
      </c>
      <c r="B213" t="s">
        <v>1531</v>
      </c>
      <c r="C213" t="s">
        <v>1530</v>
      </c>
      <c r="D213">
        <v>35455</v>
      </c>
      <c r="E213">
        <f>MONTH(tblExpense[[#This Row],[Date]])</f>
        <v>3</v>
      </c>
      <c r="F213" t="str">
        <f>TEXT(tblExpense[[#This Row],[Date]],"mmm")</f>
        <v>Mar</v>
      </c>
    </row>
    <row r="214" spans="1:6" x14ac:dyDescent="0.3">
      <c r="A214" s="1">
        <v>45375</v>
      </c>
      <c r="B214" t="s">
        <v>1529</v>
      </c>
      <c r="C214" t="s">
        <v>1537</v>
      </c>
      <c r="D214">
        <v>33935</v>
      </c>
      <c r="E214">
        <f>MONTH(tblExpense[[#This Row],[Date]])</f>
        <v>3</v>
      </c>
      <c r="F214" t="str">
        <f>TEXT(tblExpense[[#This Row],[Date]],"mmm")</f>
        <v>Mar</v>
      </c>
    </row>
    <row r="215" spans="1:6" x14ac:dyDescent="0.3">
      <c r="A215" s="1">
        <v>45366</v>
      </c>
      <c r="B215" t="s">
        <v>1533</v>
      </c>
      <c r="C215" t="s">
        <v>1537</v>
      </c>
      <c r="D215">
        <v>68864</v>
      </c>
      <c r="E215">
        <f>MONTH(tblExpense[[#This Row],[Date]])</f>
        <v>3</v>
      </c>
      <c r="F215" t="str">
        <f>TEXT(tblExpense[[#This Row],[Date]],"mmm")</f>
        <v>Mar</v>
      </c>
    </row>
    <row r="216" spans="1:6" x14ac:dyDescent="0.3">
      <c r="A216" s="1">
        <v>45355</v>
      </c>
      <c r="B216" t="s">
        <v>1533</v>
      </c>
      <c r="C216" t="s">
        <v>1530</v>
      </c>
      <c r="D216">
        <v>96914</v>
      </c>
      <c r="E216">
        <f>MONTH(tblExpense[[#This Row],[Date]])</f>
        <v>3</v>
      </c>
      <c r="F216" t="str">
        <f>TEXT(tblExpense[[#This Row],[Date]],"mmm")</f>
        <v>Mar</v>
      </c>
    </row>
    <row r="217" spans="1:6" x14ac:dyDescent="0.3">
      <c r="A217" s="1">
        <v>45372</v>
      </c>
      <c r="B217" t="s">
        <v>1536</v>
      </c>
      <c r="C217" t="s">
        <v>1530</v>
      </c>
      <c r="D217">
        <v>43486</v>
      </c>
      <c r="E217">
        <f>MONTH(tblExpense[[#This Row],[Date]])</f>
        <v>3</v>
      </c>
      <c r="F217" t="str">
        <f>TEXT(tblExpense[[#This Row],[Date]],"mmm")</f>
        <v>Mar</v>
      </c>
    </row>
    <row r="218" spans="1:6" x14ac:dyDescent="0.3">
      <c r="A218" s="1">
        <v>45367</v>
      </c>
      <c r="B218" t="s">
        <v>1536</v>
      </c>
      <c r="C218" t="s">
        <v>1530</v>
      </c>
      <c r="D218">
        <v>28344</v>
      </c>
      <c r="E218">
        <f>MONTH(tblExpense[[#This Row],[Date]])</f>
        <v>3</v>
      </c>
      <c r="F218" t="str">
        <f>TEXT(tblExpense[[#This Row],[Date]],"mmm")</f>
        <v>Mar</v>
      </c>
    </row>
    <row r="219" spans="1:6" x14ac:dyDescent="0.3">
      <c r="A219" s="1">
        <v>45369</v>
      </c>
      <c r="B219" t="s">
        <v>1531</v>
      </c>
      <c r="C219" t="s">
        <v>1535</v>
      </c>
      <c r="D219">
        <v>84991</v>
      </c>
      <c r="E219">
        <f>MONTH(tblExpense[[#This Row],[Date]])</f>
        <v>3</v>
      </c>
      <c r="F219" t="str">
        <f>TEXT(tblExpense[[#This Row],[Date]],"mmm")</f>
        <v>Mar</v>
      </c>
    </row>
    <row r="220" spans="1:6" x14ac:dyDescent="0.3">
      <c r="A220" s="1">
        <v>45378</v>
      </c>
      <c r="B220" t="s">
        <v>1533</v>
      </c>
      <c r="C220" t="s">
        <v>1535</v>
      </c>
      <c r="D220">
        <v>35054</v>
      </c>
      <c r="E220">
        <f>MONTH(tblExpense[[#This Row],[Date]])</f>
        <v>3</v>
      </c>
      <c r="F220" t="str">
        <f>TEXT(tblExpense[[#This Row],[Date]],"mmm")</f>
        <v>Mar</v>
      </c>
    </row>
    <row r="221" spans="1:6" x14ac:dyDescent="0.3">
      <c r="A221" s="1">
        <v>45381</v>
      </c>
      <c r="B221" t="s">
        <v>1536</v>
      </c>
      <c r="C221" t="s">
        <v>1530</v>
      </c>
      <c r="D221">
        <v>52599</v>
      </c>
      <c r="E221">
        <f>MONTH(tblExpense[[#This Row],[Date]])</f>
        <v>3</v>
      </c>
      <c r="F221" t="str">
        <f>TEXT(tblExpense[[#This Row],[Date]],"mmm")</f>
        <v>Mar</v>
      </c>
    </row>
    <row r="222" spans="1:6" x14ac:dyDescent="0.3">
      <c r="A222" s="1">
        <v>45364</v>
      </c>
      <c r="B222" t="s">
        <v>1529</v>
      </c>
      <c r="C222" t="s">
        <v>1532</v>
      </c>
      <c r="D222">
        <v>69759</v>
      </c>
      <c r="E222">
        <f>MONTH(tblExpense[[#This Row],[Date]])</f>
        <v>3</v>
      </c>
      <c r="F222" t="str">
        <f>TEXT(tblExpense[[#This Row],[Date]],"mmm")</f>
        <v>Mar</v>
      </c>
    </row>
    <row r="223" spans="1:6" x14ac:dyDescent="0.3">
      <c r="A223" s="1">
        <v>45356</v>
      </c>
      <c r="B223" t="s">
        <v>1533</v>
      </c>
      <c r="C223" t="s">
        <v>1537</v>
      </c>
      <c r="D223">
        <v>7673</v>
      </c>
      <c r="E223">
        <f>MONTH(tblExpense[[#This Row],[Date]])</f>
        <v>3</v>
      </c>
      <c r="F223" t="str">
        <f>TEXT(tblExpense[[#This Row],[Date]],"mmm")</f>
        <v>Mar</v>
      </c>
    </row>
    <row r="224" spans="1:6" x14ac:dyDescent="0.3">
      <c r="A224" s="1">
        <v>45364</v>
      </c>
      <c r="B224" t="s">
        <v>1533</v>
      </c>
      <c r="C224" t="s">
        <v>1530</v>
      </c>
      <c r="D224">
        <v>59250</v>
      </c>
      <c r="E224">
        <f>MONTH(tblExpense[[#This Row],[Date]])</f>
        <v>3</v>
      </c>
      <c r="F224" t="str">
        <f>TEXT(tblExpense[[#This Row],[Date]],"mmm")</f>
        <v>Mar</v>
      </c>
    </row>
    <row r="225" spans="1:6" x14ac:dyDescent="0.3">
      <c r="A225" s="1">
        <v>45381</v>
      </c>
      <c r="B225" t="s">
        <v>1529</v>
      </c>
      <c r="C225" t="s">
        <v>1534</v>
      </c>
      <c r="D225">
        <v>37780</v>
      </c>
      <c r="E225">
        <f>MONTH(tblExpense[[#This Row],[Date]])</f>
        <v>3</v>
      </c>
      <c r="F225" t="str">
        <f>TEXT(tblExpense[[#This Row],[Date]],"mmm")</f>
        <v>Mar</v>
      </c>
    </row>
    <row r="226" spans="1:6" x14ac:dyDescent="0.3">
      <c r="A226" s="1">
        <v>45368</v>
      </c>
      <c r="B226" t="s">
        <v>1536</v>
      </c>
      <c r="C226" t="s">
        <v>1530</v>
      </c>
      <c r="D226">
        <v>20870</v>
      </c>
      <c r="E226">
        <f>MONTH(tblExpense[[#This Row],[Date]])</f>
        <v>3</v>
      </c>
      <c r="F226" t="str">
        <f>TEXT(tblExpense[[#This Row],[Date]],"mmm")</f>
        <v>Mar</v>
      </c>
    </row>
    <row r="227" spans="1:6" x14ac:dyDescent="0.3">
      <c r="A227" s="1">
        <v>45382</v>
      </c>
      <c r="B227" t="s">
        <v>1533</v>
      </c>
      <c r="C227" t="s">
        <v>1534</v>
      </c>
      <c r="D227">
        <v>40316</v>
      </c>
      <c r="E227">
        <f>MONTH(tblExpense[[#This Row],[Date]])</f>
        <v>3</v>
      </c>
      <c r="F227" t="str">
        <f>TEXT(tblExpense[[#This Row],[Date]],"mmm")</f>
        <v>Mar</v>
      </c>
    </row>
    <row r="228" spans="1:6" x14ac:dyDescent="0.3">
      <c r="A228" s="1">
        <v>45382</v>
      </c>
      <c r="B228" t="s">
        <v>1533</v>
      </c>
      <c r="C228" t="s">
        <v>1532</v>
      </c>
      <c r="D228">
        <v>87684</v>
      </c>
      <c r="E228">
        <f>MONTH(tblExpense[[#This Row],[Date]])</f>
        <v>3</v>
      </c>
      <c r="F228" t="str">
        <f>TEXT(tblExpense[[#This Row],[Date]],"mmm")</f>
        <v>Mar</v>
      </c>
    </row>
    <row r="229" spans="1:6" x14ac:dyDescent="0.3">
      <c r="A229" s="1">
        <v>45366</v>
      </c>
      <c r="B229" t="s">
        <v>1536</v>
      </c>
      <c r="C229" t="s">
        <v>1537</v>
      </c>
      <c r="D229">
        <v>23969</v>
      </c>
      <c r="E229">
        <f>MONTH(tblExpense[[#This Row],[Date]])</f>
        <v>3</v>
      </c>
      <c r="F229" t="str">
        <f>TEXT(tblExpense[[#This Row],[Date]],"mmm")</f>
        <v>Mar</v>
      </c>
    </row>
    <row r="230" spans="1:6" x14ac:dyDescent="0.3">
      <c r="A230" s="1">
        <v>45370</v>
      </c>
      <c r="B230" t="s">
        <v>1529</v>
      </c>
      <c r="C230" t="s">
        <v>1535</v>
      </c>
      <c r="D230">
        <v>50584</v>
      </c>
      <c r="E230">
        <f>MONTH(tblExpense[[#This Row],[Date]])</f>
        <v>3</v>
      </c>
      <c r="F230" t="str">
        <f>TEXT(tblExpense[[#This Row],[Date]],"mmm")</f>
        <v>Mar</v>
      </c>
    </row>
    <row r="231" spans="1:6" x14ac:dyDescent="0.3">
      <c r="A231" s="1">
        <v>45374</v>
      </c>
      <c r="B231" t="s">
        <v>1538</v>
      </c>
      <c r="C231" t="s">
        <v>1532</v>
      </c>
      <c r="D231">
        <v>12298</v>
      </c>
      <c r="E231">
        <f>MONTH(tblExpense[[#This Row],[Date]])</f>
        <v>3</v>
      </c>
      <c r="F231" t="str">
        <f>TEXT(tblExpense[[#This Row],[Date]],"mmm")</f>
        <v>Mar</v>
      </c>
    </row>
    <row r="232" spans="1:6" x14ac:dyDescent="0.3">
      <c r="A232" s="1">
        <v>45372</v>
      </c>
      <c r="B232" t="s">
        <v>1536</v>
      </c>
      <c r="C232" t="s">
        <v>1537</v>
      </c>
      <c r="D232">
        <v>65696</v>
      </c>
      <c r="E232">
        <f>MONTH(tblExpense[[#This Row],[Date]])</f>
        <v>3</v>
      </c>
      <c r="F232" t="str">
        <f>TEXT(tblExpense[[#This Row],[Date]],"mmm")</f>
        <v>Mar</v>
      </c>
    </row>
    <row r="233" spans="1:6" x14ac:dyDescent="0.3">
      <c r="A233" s="1">
        <v>45358</v>
      </c>
      <c r="B233" t="s">
        <v>1538</v>
      </c>
      <c r="C233" t="s">
        <v>1534</v>
      </c>
      <c r="D233">
        <v>22206</v>
      </c>
      <c r="E233">
        <f>MONTH(tblExpense[[#This Row],[Date]])</f>
        <v>3</v>
      </c>
      <c r="F233" t="str">
        <f>TEXT(tblExpense[[#This Row],[Date]],"mmm")</f>
        <v>Mar</v>
      </c>
    </row>
    <row r="234" spans="1:6" x14ac:dyDescent="0.3">
      <c r="A234" s="1">
        <v>45376</v>
      </c>
      <c r="B234" t="s">
        <v>1531</v>
      </c>
      <c r="C234" t="s">
        <v>1530</v>
      </c>
      <c r="D234">
        <v>66615</v>
      </c>
      <c r="E234">
        <f>MONTH(tblExpense[[#This Row],[Date]])</f>
        <v>3</v>
      </c>
      <c r="F234" t="str">
        <f>TEXT(tblExpense[[#This Row],[Date]],"mmm")</f>
        <v>Mar</v>
      </c>
    </row>
    <row r="235" spans="1:6" x14ac:dyDescent="0.3">
      <c r="A235" s="1">
        <v>45381</v>
      </c>
      <c r="B235" t="s">
        <v>1533</v>
      </c>
      <c r="C235" t="s">
        <v>1537</v>
      </c>
      <c r="D235">
        <v>49943</v>
      </c>
      <c r="E235">
        <f>MONTH(tblExpense[[#This Row],[Date]])</f>
        <v>3</v>
      </c>
      <c r="F235" t="str">
        <f>TEXT(tblExpense[[#This Row],[Date]],"mmm")</f>
        <v>Mar</v>
      </c>
    </row>
    <row r="236" spans="1:6" x14ac:dyDescent="0.3">
      <c r="A236" s="1">
        <v>45354</v>
      </c>
      <c r="B236" t="s">
        <v>1529</v>
      </c>
      <c r="C236" t="s">
        <v>1532</v>
      </c>
      <c r="D236">
        <v>88593</v>
      </c>
      <c r="E236">
        <f>MONTH(tblExpense[[#This Row],[Date]])</f>
        <v>3</v>
      </c>
      <c r="F236" t="str">
        <f>TEXT(tblExpense[[#This Row],[Date]],"mmm")</f>
        <v>Mar</v>
      </c>
    </row>
    <row r="237" spans="1:6" x14ac:dyDescent="0.3">
      <c r="A237" s="1">
        <v>45375</v>
      </c>
      <c r="B237" t="s">
        <v>1533</v>
      </c>
      <c r="C237" t="s">
        <v>1537</v>
      </c>
      <c r="D237">
        <v>75446</v>
      </c>
      <c r="E237">
        <f>MONTH(tblExpense[[#This Row],[Date]])</f>
        <v>3</v>
      </c>
      <c r="F237" t="str">
        <f>TEXT(tblExpense[[#This Row],[Date]],"mmm")</f>
        <v>Mar</v>
      </c>
    </row>
    <row r="238" spans="1:6" x14ac:dyDescent="0.3">
      <c r="A238" s="1">
        <v>45353</v>
      </c>
      <c r="B238" t="s">
        <v>1529</v>
      </c>
      <c r="C238" t="s">
        <v>1534</v>
      </c>
      <c r="D238">
        <v>60016</v>
      </c>
      <c r="E238">
        <f>MONTH(tblExpense[[#This Row],[Date]])</f>
        <v>3</v>
      </c>
      <c r="F238" t="str">
        <f>TEXT(tblExpense[[#This Row],[Date]],"mmm")</f>
        <v>Mar</v>
      </c>
    </row>
    <row r="239" spans="1:6" x14ac:dyDescent="0.3">
      <c r="A239" s="1">
        <v>45361</v>
      </c>
      <c r="B239" t="s">
        <v>1529</v>
      </c>
      <c r="C239" t="s">
        <v>1534</v>
      </c>
      <c r="D239">
        <v>74682</v>
      </c>
      <c r="E239">
        <f>MONTH(tblExpense[[#This Row],[Date]])</f>
        <v>3</v>
      </c>
      <c r="F239" t="str">
        <f>TEXT(tblExpense[[#This Row],[Date]],"mmm")</f>
        <v>Mar</v>
      </c>
    </row>
    <row r="240" spans="1:6" x14ac:dyDescent="0.3">
      <c r="A240" s="1">
        <v>45369</v>
      </c>
      <c r="B240" t="s">
        <v>1533</v>
      </c>
      <c r="C240" t="s">
        <v>1537</v>
      </c>
      <c r="D240">
        <v>57087</v>
      </c>
      <c r="E240">
        <f>MONTH(tblExpense[[#This Row],[Date]])</f>
        <v>3</v>
      </c>
      <c r="F240" t="str">
        <f>TEXT(tblExpense[[#This Row],[Date]],"mmm")</f>
        <v>Mar</v>
      </c>
    </row>
    <row r="241" spans="1:6" x14ac:dyDescent="0.3">
      <c r="A241" s="1">
        <v>45381</v>
      </c>
      <c r="B241" t="s">
        <v>1538</v>
      </c>
      <c r="C241" t="s">
        <v>1532</v>
      </c>
      <c r="D241">
        <v>38899</v>
      </c>
      <c r="E241">
        <f>MONTH(tblExpense[[#This Row],[Date]])</f>
        <v>3</v>
      </c>
      <c r="F241" t="str">
        <f>TEXT(tblExpense[[#This Row],[Date]],"mmm")</f>
        <v>Mar</v>
      </c>
    </row>
    <row r="242" spans="1:6" x14ac:dyDescent="0.3">
      <c r="A242" s="1">
        <v>45369</v>
      </c>
      <c r="B242" t="s">
        <v>1536</v>
      </c>
      <c r="C242" t="s">
        <v>1534</v>
      </c>
      <c r="D242">
        <v>37656</v>
      </c>
      <c r="E242">
        <f>MONTH(tblExpense[[#This Row],[Date]])</f>
        <v>3</v>
      </c>
      <c r="F242" t="str">
        <f>TEXT(tblExpense[[#This Row],[Date]],"mmm")</f>
        <v>Mar</v>
      </c>
    </row>
    <row r="243" spans="1:6" x14ac:dyDescent="0.3">
      <c r="A243" s="1">
        <v>45374</v>
      </c>
      <c r="B243" t="s">
        <v>1529</v>
      </c>
      <c r="C243" t="s">
        <v>1532</v>
      </c>
      <c r="D243">
        <v>92952</v>
      </c>
      <c r="E243">
        <f>MONTH(tblExpense[[#This Row],[Date]])</f>
        <v>3</v>
      </c>
      <c r="F243" t="str">
        <f>TEXT(tblExpense[[#This Row],[Date]],"mmm")</f>
        <v>Mar</v>
      </c>
    </row>
    <row r="244" spans="1:6" x14ac:dyDescent="0.3">
      <c r="A244" s="1">
        <v>45378</v>
      </c>
      <c r="B244" t="s">
        <v>1533</v>
      </c>
      <c r="C244" t="s">
        <v>1534</v>
      </c>
      <c r="D244">
        <v>63990</v>
      </c>
      <c r="E244">
        <f>MONTH(tblExpense[[#This Row],[Date]])</f>
        <v>3</v>
      </c>
      <c r="F244" t="str">
        <f>TEXT(tblExpense[[#This Row],[Date]],"mmm")</f>
        <v>Mar</v>
      </c>
    </row>
    <row r="245" spans="1:6" x14ac:dyDescent="0.3">
      <c r="A245" s="1">
        <v>45360</v>
      </c>
      <c r="B245" t="s">
        <v>1538</v>
      </c>
      <c r="C245" t="s">
        <v>1534</v>
      </c>
      <c r="D245">
        <v>38570</v>
      </c>
      <c r="E245">
        <f>MONTH(tblExpense[[#This Row],[Date]])</f>
        <v>3</v>
      </c>
      <c r="F245" t="str">
        <f>TEXT(tblExpense[[#This Row],[Date]],"mmm")</f>
        <v>Mar</v>
      </c>
    </row>
    <row r="246" spans="1:6" x14ac:dyDescent="0.3">
      <c r="A246" s="1">
        <v>45361</v>
      </c>
      <c r="B246" t="s">
        <v>1531</v>
      </c>
      <c r="C246" t="s">
        <v>1534</v>
      </c>
      <c r="D246">
        <v>88458</v>
      </c>
      <c r="E246">
        <f>MONTH(tblExpense[[#This Row],[Date]])</f>
        <v>3</v>
      </c>
      <c r="F246" t="str">
        <f>TEXT(tblExpense[[#This Row],[Date]],"mmm")</f>
        <v>Mar</v>
      </c>
    </row>
    <row r="247" spans="1:6" x14ac:dyDescent="0.3">
      <c r="A247" s="1">
        <v>45357</v>
      </c>
      <c r="B247" t="s">
        <v>1531</v>
      </c>
      <c r="C247" t="s">
        <v>1534</v>
      </c>
      <c r="D247">
        <v>35533</v>
      </c>
      <c r="E247">
        <f>MONTH(tblExpense[[#This Row],[Date]])</f>
        <v>3</v>
      </c>
      <c r="F247" t="str">
        <f>TEXT(tblExpense[[#This Row],[Date]],"mmm")</f>
        <v>Mar</v>
      </c>
    </row>
    <row r="248" spans="1:6" x14ac:dyDescent="0.3">
      <c r="A248" s="1">
        <v>45377</v>
      </c>
      <c r="B248" t="s">
        <v>1533</v>
      </c>
      <c r="C248" t="s">
        <v>1535</v>
      </c>
      <c r="D248">
        <v>10665</v>
      </c>
      <c r="E248">
        <f>MONTH(tblExpense[[#This Row],[Date]])</f>
        <v>3</v>
      </c>
      <c r="F248" t="str">
        <f>TEXT(tblExpense[[#This Row],[Date]],"mmm")</f>
        <v>Mar</v>
      </c>
    </row>
    <row r="249" spans="1:6" x14ac:dyDescent="0.3">
      <c r="A249" s="1">
        <v>45370</v>
      </c>
      <c r="B249" t="s">
        <v>1538</v>
      </c>
      <c r="C249" t="s">
        <v>1534</v>
      </c>
      <c r="D249">
        <v>76927</v>
      </c>
      <c r="E249">
        <f>MONTH(tblExpense[[#This Row],[Date]])</f>
        <v>3</v>
      </c>
      <c r="F249" t="str">
        <f>TEXT(tblExpense[[#This Row],[Date]],"mmm")</f>
        <v>Mar</v>
      </c>
    </row>
    <row r="250" spans="1:6" x14ac:dyDescent="0.3">
      <c r="A250" s="1">
        <v>45380</v>
      </c>
      <c r="B250" t="s">
        <v>1529</v>
      </c>
      <c r="C250" t="s">
        <v>1532</v>
      </c>
      <c r="D250">
        <v>54992</v>
      </c>
      <c r="E250">
        <f>MONTH(tblExpense[[#This Row],[Date]])</f>
        <v>3</v>
      </c>
      <c r="F250" t="str">
        <f>TEXT(tblExpense[[#This Row],[Date]],"mmm")</f>
        <v>Mar</v>
      </c>
    </row>
    <row r="251" spans="1:6" x14ac:dyDescent="0.3">
      <c r="A251" s="1">
        <v>45377</v>
      </c>
      <c r="B251" t="s">
        <v>1538</v>
      </c>
      <c r="C251" t="s">
        <v>1537</v>
      </c>
      <c r="D251">
        <v>72899</v>
      </c>
      <c r="E251">
        <f>MONTH(tblExpense[[#This Row],[Date]])</f>
        <v>3</v>
      </c>
      <c r="F251" t="str">
        <f>TEXT(tblExpense[[#This Row],[Date]],"mmm")</f>
        <v>Mar</v>
      </c>
    </row>
    <row r="252" spans="1:6" x14ac:dyDescent="0.3">
      <c r="A252" s="1">
        <v>45352</v>
      </c>
      <c r="B252" t="s">
        <v>1538</v>
      </c>
      <c r="C252" t="s">
        <v>1530</v>
      </c>
      <c r="D252">
        <v>63450</v>
      </c>
      <c r="E252">
        <f>MONTH(tblExpense[[#This Row],[Date]])</f>
        <v>3</v>
      </c>
      <c r="F252" t="str">
        <f>TEXT(tblExpense[[#This Row],[Date]],"mmm")</f>
        <v>Mar</v>
      </c>
    </row>
    <row r="253" spans="1:6" x14ac:dyDescent="0.3">
      <c r="A253" s="1">
        <v>45355</v>
      </c>
      <c r="B253" t="s">
        <v>1533</v>
      </c>
      <c r="C253" t="s">
        <v>1530</v>
      </c>
      <c r="D253">
        <v>93909</v>
      </c>
      <c r="E253">
        <f>MONTH(tblExpense[[#This Row],[Date]])</f>
        <v>3</v>
      </c>
      <c r="F253" t="str">
        <f>TEXT(tblExpense[[#This Row],[Date]],"mmm")</f>
        <v>Mar</v>
      </c>
    </row>
    <row r="254" spans="1:6" x14ac:dyDescent="0.3">
      <c r="A254" s="1">
        <v>45356</v>
      </c>
      <c r="B254" t="s">
        <v>1533</v>
      </c>
      <c r="C254" t="s">
        <v>1532</v>
      </c>
      <c r="D254">
        <v>50505</v>
      </c>
      <c r="E254">
        <f>MONTH(tblExpense[[#This Row],[Date]])</f>
        <v>3</v>
      </c>
      <c r="F254" t="str">
        <f>TEXT(tblExpense[[#This Row],[Date]],"mmm")</f>
        <v>Mar</v>
      </c>
    </row>
    <row r="255" spans="1:6" x14ac:dyDescent="0.3">
      <c r="A255" s="1">
        <v>45362</v>
      </c>
      <c r="B255" t="s">
        <v>1531</v>
      </c>
      <c r="C255" t="s">
        <v>1535</v>
      </c>
      <c r="D255">
        <v>40521</v>
      </c>
      <c r="E255">
        <f>MONTH(tblExpense[[#This Row],[Date]])</f>
        <v>3</v>
      </c>
      <c r="F255" t="str">
        <f>TEXT(tblExpense[[#This Row],[Date]],"mmm")</f>
        <v>Mar</v>
      </c>
    </row>
    <row r="256" spans="1:6" x14ac:dyDescent="0.3">
      <c r="A256" s="1">
        <v>45354</v>
      </c>
      <c r="B256" t="s">
        <v>1531</v>
      </c>
      <c r="C256" t="s">
        <v>1532</v>
      </c>
      <c r="D256">
        <v>64665</v>
      </c>
      <c r="E256">
        <f>MONTH(tblExpense[[#This Row],[Date]])</f>
        <v>3</v>
      </c>
      <c r="F256" t="str">
        <f>TEXT(tblExpense[[#This Row],[Date]],"mmm")</f>
        <v>Mar</v>
      </c>
    </row>
    <row r="257" spans="1:6" x14ac:dyDescent="0.3">
      <c r="A257" s="1">
        <v>45362</v>
      </c>
      <c r="B257" t="s">
        <v>1536</v>
      </c>
      <c r="C257" t="s">
        <v>1537</v>
      </c>
      <c r="D257">
        <v>49429</v>
      </c>
      <c r="E257">
        <f>MONTH(tblExpense[[#This Row],[Date]])</f>
        <v>3</v>
      </c>
      <c r="F257" t="str">
        <f>TEXT(tblExpense[[#This Row],[Date]],"mmm")</f>
        <v>Mar</v>
      </c>
    </row>
    <row r="258" spans="1:6" x14ac:dyDescent="0.3">
      <c r="A258" s="1">
        <v>45372</v>
      </c>
      <c r="B258" t="s">
        <v>1536</v>
      </c>
      <c r="C258" t="s">
        <v>1534</v>
      </c>
      <c r="D258">
        <v>77777</v>
      </c>
      <c r="E258">
        <f>MONTH(tblExpense[[#This Row],[Date]])</f>
        <v>3</v>
      </c>
      <c r="F258" t="str">
        <f>TEXT(tblExpense[[#This Row],[Date]],"mmm")</f>
        <v>Mar</v>
      </c>
    </row>
    <row r="259" spans="1:6" x14ac:dyDescent="0.3">
      <c r="A259" s="1">
        <v>45370</v>
      </c>
      <c r="B259" t="s">
        <v>1531</v>
      </c>
      <c r="C259" t="s">
        <v>1535</v>
      </c>
      <c r="D259">
        <v>74258</v>
      </c>
      <c r="E259">
        <f>MONTH(tblExpense[[#This Row],[Date]])</f>
        <v>3</v>
      </c>
      <c r="F259" t="str">
        <f>TEXT(tblExpense[[#This Row],[Date]],"mmm")</f>
        <v>Mar</v>
      </c>
    </row>
    <row r="260" spans="1:6" x14ac:dyDescent="0.3">
      <c r="A260" s="1">
        <v>45368</v>
      </c>
      <c r="B260" t="s">
        <v>1533</v>
      </c>
      <c r="C260" t="s">
        <v>1530</v>
      </c>
      <c r="D260">
        <v>91413</v>
      </c>
      <c r="E260">
        <f>MONTH(tblExpense[[#This Row],[Date]])</f>
        <v>3</v>
      </c>
      <c r="F260" t="str">
        <f>TEXT(tblExpense[[#This Row],[Date]],"mmm")</f>
        <v>Mar</v>
      </c>
    </row>
    <row r="261" spans="1:6" x14ac:dyDescent="0.3">
      <c r="A261" s="1">
        <v>45360</v>
      </c>
      <c r="B261" t="s">
        <v>1529</v>
      </c>
      <c r="C261" t="s">
        <v>1535</v>
      </c>
      <c r="D261">
        <v>91799</v>
      </c>
      <c r="E261">
        <f>MONTH(tblExpense[[#This Row],[Date]])</f>
        <v>3</v>
      </c>
      <c r="F261" t="str">
        <f>TEXT(tblExpense[[#This Row],[Date]],"mmm")</f>
        <v>Mar</v>
      </c>
    </row>
    <row r="262" spans="1:6" x14ac:dyDescent="0.3">
      <c r="A262" s="1">
        <v>45358</v>
      </c>
      <c r="B262" t="s">
        <v>1538</v>
      </c>
      <c r="C262" t="s">
        <v>1530</v>
      </c>
      <c r="D262">
        <v>24532</v>
      </c>
      <c r="E262">
        <f>MONTH(tblExpense[[#This Row],[Date]])</f>
        <v>3</v>
      </c>
      <c r="F262" t="str">
        <f>TEXT(tblExpense[[#This Row],[Date]],"mmm")</f>
        <v>Mar</v>
      </c>
    </row>
    <row r="263" spans="1:6" x14ac:dyDescent="0.3">
      <c r="A263" s="1">
        <v>45378</v>
      </c>
      <c r="B263" t="s">
        <v>1536</v>
      </c>
      <c r="C263" t="s">
        <v>1537</v>
      </c>
      <c r="D263">
        <v>90835</v>
      </c>
      <c r="E263">
        <f>MONTH(tblExpense[[#This Row],[Date]])</f>
        <v>3</v>
      </c>
      <c r="F263" t="str">
        <f>TEXT(tblExpense[[#This Row],[Date]],"mmm")</f>
        <v>Mar</v>
      </c>
    </row>
    <row r="264" spans="1:6" x14ac:dyDescent="0.3">
      <c r="A264" s="1">
        <v>45365</v>
      </c>
      <c r="B264" t="s">
        <v>1529</v>
      </c>
      <c r="C264" t="s">
        <v>1530</v>
      </c>
      <c r="D264">
        <v>56803</v>
      </c>
      <c r="E264">
        <f>MONTH(tblExpense[[#This Row],[Date]])</f>
        <v>3</v>
      </c>
      <c r="F264" t="str">
        <f>TEXT(tblExpense[[#This Row],[Date]],"mmm")</f>
        <v>Mar</v>
      </c>
    </row>
    <row r="265" spans="1:6" x14ac:dyDescent="0.3">
      <c r="A265" s="1">
        <v>45374</v>
      </c>
      <c r="B265" t="s">
        <v>1538</v>
      </c>
      <c r="C265" t="s">
        <v>1532</v>
      </c>
      <c r="D265">
        <v>8025</v>
      </c>
      <c r="E265">
        <f>MONTH(tblExpense[[#This Row],[Date]])</f>
        <v>3</v>
      </c>
      <c r="F265" t="str">
        <f>TEXT(tblExpense[[#This Row],[Date]],"mmm")</f>
        <v>Mar</v>
      </c>
    </row>
    <row r="266" spans="1:6" x14ac:dyDescent="0.3">
      <c r="A266" s="1">
        <v>45380</v>
      </c>
      <c r="B266" t="s">
        <v>1536</v>
      </c>
      <c r="C266" t="s">
        <v>1532</v>
      </c>
      <c r="D266">
        <v>6048</v>
      </c>
      <c r="E266">
        <f>MONTH(tblExpense[[#This Row],[Date]])</f>
        <v>3</v>
      </c>
      <c r="F266" t="str">
        <f>TEXT(tblExpense[[#This Row],[Date]],"mmm")</f>
        <v>Mar</v>
      </c>
    </row>
    <row r="267" spans="1:6" x14ac:dyDescent="0.3">
      <c r="A267" s="1">
        <v>45378</v>
      </c>
      <c r="B267" t="s">
        <v>1529</v>
      </c>
      <c r="C267" t="s">
        <v>1532</v>
      </c>
      <c r="D267">
        <v>62791</v>
      </c>
      <c r="E267">
        <f>MONTH(tblExpense[[#This Row],[Date]])</f>
        <v>3</v>
      </c>
      <c r="F267" t="str">
        <f>TEXT(tblExpense[[#This Row],[Date]],"mmm")</f>
        <v>Mar</v>
      </c>
    </row>
    <row r="268" spans="1:6" x14ac:dyDescent="0.3">
      <c r="A268" s="1">
        <v>45378</v>
      </c>
      <c r="B268" t="s">
        <v>1533</v>
      </c>
      <c r="C268" t="s">
        <v>1537</v>
      </c>
      <c r="D268">
        <v>84646</v>
      </c>
      <c r="E268">
        <f>MONTH(tblExpense[[#This Row],[Date]])</f>
        <v>3</v>
      </c>
      <c r="F268" t="str">
        <f>TEXT(tblExpense[[#This Row],[Date]],"mmm")</f>
        <v>Mar</v>
      </c>
    </row>
    <row r="269" spans="1:6" x14ac:dyDescent="0.3">
      <c r="A269" s="1">
        <v>45355</v>
      </c>
      <c r="B269" t="s">
        <v>1529</v>
      </c>
      <c r="C269" t="s">
        <v>1534</v>
      </c>
      <c r="D269">
        <v>97292</v>
      </c>
      <c r="E269">
        <f>MONTH(tblExpense[[#This Row],[Date]])</f>
        <v>3</v>
      </c>
      <c r="F269" t="str">
        <f>TEXT(tblExpense[[#This Row],[Date]],"mmm")</f>
        <v>Mar</v>
      </c>
    </row>
    <row r="270" spans="1:6" x14ac:dyDescent="0.3">
      <c r="A270" s="1">
        <v>45381</v>
      </c>
      <c r="B270" t="s">
        <v>1536</v>
      </c>
      <c r="C270" t="s">
        <v>1534</v>
      </c>
      <c r="D270">
        <v>79013</v>
      </c>
      <c r="E270">
        <f>MONTH(tblExpense[[#This Row],[Date]])</f>
        <v>3</v>
      </c>
      <c r="F270" t="str">
        <f>TEXT(tblExpense[[#This Row],[Date]],"mmm")</f>
        <v>Mar</v>
      </c>
    </row>
    <row r="271" spans="1:6" x14ac:dyDescent="0.3">
      <c r="A271" s="1">
        <v>45369</v>
      </c>
      <c r="B271" t="s">
        <v>1533</v>
      </c>
      <c r="C271" t="s">
        <v>1530</v>
      </c>
      <c r="D271">
        <v>38226</v>
      </c>
      <c r="E271">
        <f>MONTH(tblExpense[[#This Row],[Date]])</f>
        <v>3</v>
      </c>
      <c r="F271" t="str">
        <f>TEXT(tblExpense[[#This Row],[Date]],"mmm")</f>
        <v>Mar</v>
      </c>
    </row>
    <row r="272" spans="1:6" x14ac:dyDescent="0.3">
      <c r="A272" s="1">
        <v>45389</v>
      </c>
      <c r="B272" t="s">
        <v>1529</v>
      </c>
      <c r="C272" t="s">
        <v>1530</v>
      </c>
      <c r="D272">
        <v>90125</v>
      </c>
      <c r="E272">
        <f>MONTH(tblExpense[[#This Row],[Date]])</f>
        <v>4</v>
      </c>
      <c r="F272" t="str">
        <f>TEXT(tblExpense[[#This Row],[Date]],"mmm")</f>
        <v>Apr</v>
      </c>
    </row>
    <row r="273" spans="1:6" x14ac:dyDescent="0.3">
      <c r="A273" s="1">
        <v>45395</v>
      </c>
      <c r="B273" t="s">
        <v>1531</v>
      </c>
      <c r="C273" t="s">
        <v>1537</v>
      </c>
      <c r="D273">
        <v>62522</v>
      </c>
      <c r="E273">
        <f>MONTH(tblExpense[[#This Row],[Date]])</f>
        <v>4</v>
      </c>
      <c r="F273" t="str">
        <f>TEXT(tblExpense[[#This Row],[Date]],"mmm")</f>
        <v>Apr</v>
      </c>
    </row>
    <row r="274" spans="1:6" x14ac:dyDescent="0.3">
      <c r="A274" s="1">
        <v>45400</v>
      </c>
      <c r="B274" t="s">
        <v>1529</v>
      </c>
      <c r="C274" t="s">
        <v>1535</v>
      </c>
      <c r="D274">
        <v>17959</v>
      </c>
      <c r="E274">
        <f>MONTH(tblExpense[[#This Row],[Date]])</f>
        <v>4</v>
      </c>
      <c r="F274" t="str">
        <f>TEXT(tblExpense[[#This Row],[Date]],"mmm")</f>
        <v>Apr</v>
      </c>
    </row>
    <row r="275" spans="1:6" x14ac:dyDescent="0.3">
      <c r="A275" s="1">
        <v>45383</v>
      </c>
      <c r="B275" t="s">
        <v>1529</v>
      </c>
      <c r="C275" t="s">
        <v>1530</v>
      </c>
      <c r="D275">
        <v>51571</v>
      </c>
      <c r="E275">
        <f>MONTH(tblExpense[[#This Row],[Date]])</f>
        <v>4</v>
      </c>
      <c r="F275" t="str">
        <f>TEXT(tblExpense[[#This Row],[Date]],"mmm")</f>
        <v>Apr</v>
      </c>
    </row>
    <row r="276" spans="1:6" x14ac:dyDescent="0.3">
      <c r="A276" s="1">
        <v>45402</v>
      </c>
      <c r="B276" t="s">
        <v>1531</v>
      </c>
      <c r="C276" t="s">
        <v>1537</v>
      </c>
      <c r="D276">
        <v>15372</v>
      </c>
      <c r="E276">
        <f>MONTH(tblExpense[[#This Row],[Date]])</f>
        <v>4</v>
      </c>
      <c r="F276" t="str">
        <f>TEXT(tblExpense[[#This Row],[Date]],"mmm")</f>
        <v>Apr</v>
      </c>
    </row>
    <row r="277" spans="1:6" x14ac:dyDescent="0.3">
      <c r="A277" s="1">
        <v>45383</v>
      </c>
      <c r="B277" t="s">
        <v>1538</v>
      </c>
      <c r="C277" t="s">
        <v>1534</v>
      </c>
      <c r="D277">
        <v>67094</v>
      </c>
      <c r="E277">
        <f>MONTH(tblExpense[[#This Row],[Date]])</f>
        <v>4</v>
      </c>
      <c r="F277" t="str">
        <f>TEXT(tblExpense[[#This Row],[Date]],"mmm")</f>
        <v>Apr</v>
      </c>
    </row>
    <row r="278" spans="1:6" x14ac:dyDescent="0.3">
      <c r="A278" s="1">
        <v>45385</v>
      </c>
      <c r="B278" t="s">
        <v>1536</v>
      </c>
      <c r="C278" t="s">
        <v>1530</v>
      </c>
      <c r="D278">
        <v>49986</v>
      </c>
      <c r="E278">
        <f>MONTH(tblExpense[[#This Row],[Date]])</f>
        <v>4</v>
      </c>
      <c r="F278" t="str">
        <f>TEXT(tblExpense[[#This Row],[Date]],"mmm")</f>
        <v>Apr</v>
      </c>
    </row>
    <row r="279" spans="1:6" x14ac:dyDescent="0.3">
      <c r="A279" s="1">
        <v>45394</v>
      </c>
      <c r="B279" t="s">
        <v>1529</v>
      </c>
      <c r="C279" t="s">
        <v>1532</v>
      </c>
      <c r="D279">
        <v>28501</v>
      </c>
      <c r="E279">
        <f>MONTH(tblExpense[[#This Row],[Date]])</f>
        <v>4</v>
      </c>
      <c r="F279" t="str">
        <f>TEXT(tblExpense[[#This Row],[Date]],"mmm")</f>
        <v>Apr</v>
      </c>
    </row>
    <row r="280" spans="1:6" x14ac:dyDescent="0.3">
      <c r="A280" s="1">
        <v>45383</v>
      </c>
      <c r="B280" t="s">
        <v>1531</v>
      </c>
      <c r="C280" t="s">
        <v>1534</v>
      </c>
      <c r="D280">
        <v>32306</v>
      </c>
      <c r="E280">
        <f>MONTH(tblExpense[[#This Row],[Date]])</f>
        <v>4</v>
      </c>
      <c r="F280" t="str">
        <f>TEXT(tblExpense[[#This Row],[Date]],"mmm")</f>
        <v>Apr</v>
      </c>
    </row>
    <row r="281" spans="1:6" x14ac:dyDescent="0.3">
      <c r="A281" s="1">
        <v>45400</v>
      </c>
      <c r="B281" t="s">
        <v>1536</v>
      </c>
      <c r="C281" t="s">
        <v>1537</v>
      </c>
      <c r="D281">
        <v>33821</v>
      </c>
      <c r="E281">
        <f>MONTH(tblExpense[[#This Row],[Date]])</f>
        <v>4</v>
      </c>
      <c r="F281" t="str">
        <f>TEXT(tblExpense[[#This Row],[Date]],"mmm")</f>
        <v>Apr</v>
      </c>
    </row>
    <row r="282" spans="1:6" x14ac:dyDescent="0.3">
      <c r="A282" s="1">
        <v>45407</v>
      </c>
      <c r="B282" t="s">
        <v>1529</v>
      </c>
      <c r="C282" t="s">
        <v>1530</v>
      </c>
      <c r="D282">
        <v>58892</v>
      </c>
      <c r="E282">
        <f>MONTH(tblExpense[[#This Row],[Date]])</f>
        <v>4</v>
      </c>
      <c r="F282" t="str">
        <f>TEXT(tblExpense[[#This Row],[Date]],"mmm")</f>
        <v>Apr</v>
      </c>
    </row>
    <row r="283" spans="1:6" x14ac:dyDescent="0.3">
      <c r="A283" s="1">
        <v>45390</v>
      </c>
      <c r="B283" t="s">
        <v>1529</v>
      </c>
      <c r="C283" t="s">
        <v>1537</v>
      </c>
      <c r="D283">
        <v>18479</v>
      </c>
      <c r="E283">
        <f>MONTH(tblExpense[[#This Row],[Date]])</f>
        <v>4</v>
      </c>
      <c r="F283" t="str">
        <f>TEXT(tblExpense[[#This Row],[Date]],"mmm")</f>
        <v>Apr</v>
      </c>
    </row>
    <row r="284" spans="1:6" x14ac:dyDescent="0.3">
      <c r="A284" s="1">
        <v>45409</v>
      </c>
      <c r="B284" t="s">
        <v>1531</v>
      </c>
      <c r="C284" t="s">
        <v>1535</v>
      </c>
      <c r="D284">
        <v>35698</v>
      </c>
      <c r="E284">
        <f>MONTH(tblExpense[[#This Row],[Date]])</f>
        <v>4</v>
      </c>
      <c r="F284" t="str">
        <f>TEXT(tblExpense[[#This Row],[Date]],"mmm")</f>
        <v>Apr</v>
      </c>
    </row>
    <row r="285" spans="1:6" x14ac:dyDescent="0.3">
      <c r="A285" s="1">
        <v>45406</v>
      </c>
      <c r="B285" t="s">
        <v>1533</v>
      </c>
      <c r="C285" t="s">
        <v>1530</v>
      </c>
      <c r="D285">
        <v>78897</v>
      </c>
      <c r="E285">
        <f>MONTH(tblExpense[[#This Row],[Date]])</f>
        <v>4</v>
      </c>
      <c r="F285" t="str">
        <f>TEXT(tblExpense[[#This Row],[Date]],"mmm")</f>
        <v>Apr</v>
      </c>
    </row>
    <row r="286" spans="1:6" x14ac:dyDescent="0.3">
      <c r="A286" s="1">
        <v>45390</v>
      </c>
      <c r="B286" t="s">
        <v>1533</v>
      </c>
      <c r="C286" t="s">
        <v>1532</v>
      </c>
      <c r="D286">
        <v>5987</v>
      </c>
      <c r="E286">
        <f>MONTH(tblExpense[[#This Row],[Date]])</f>
        <v>4</v>
      </c>
      <c r="F286" t="str">
        <f>TEXT(tblExpense[[#This Row],[Date]],"mmm")</f>
        <v>Apr</v>
      </c>
    </row>
    <row r="287" spans="1:6" x14ac:dyDescent="0.3">
      <c r="A287" s="1">
        <v>45392</v>
      </c>
      <c r="B287" t="s">
        <v>1529</v>
      </c>
      <c r="C287" t="s">
        <v>1534</v>
      </c>
      <c r="D287">
        <v>32261</v>
      </c>
      <c r="E287">
        <f>MONTH(tblExpense[[#This Row],[Date]])</f>
        <v>4</v>
      </c>
      <c r="F287" t="str">
        <f>TEXT(tblExpense[[#This Row],[Date]],"mmm")</f>
        <v>Apr</v>
      </c>
    </row>
    <row r="288" spans="1:6" x14ac:dyDescent="0.3">
      <c r="A288" s="1">
        <v>45383</v>
      </c>
      <c r="B288" t="s">
        <v>1529</v>
      </c>
      <c r="C288" t="s">
        <v>1532</v>
      </c>
      <c r="D288">
        <v>11974</v>
      </c>
      <c r="E288">
        <f>MONTH(tblExpense[[#This Row],[Date]])</f>
        <v>4</v>
      </c>
      <c r="F288" t="str">
        <f>TEXT(tblExpense[[#This Row],[Date]],"mmm")</f>
        <v>Apr</v>
      </c>
    </row>
    <row r="289" spans="1:6" x14ac:dyDescent="0.3">
      <c r="A289" s="1">
        <v>45407</v>
      </c>
      <c r="B289" t="s">
        <v>1538</v>
      </c>
      <c r="C289" t="s">
        <v>1530</v>
      </c>
      <c r="D289">
        <v>39522</v>
      </c>
      <c r="E289">
        <f>MONTH(tblExpense[[#This Row],[Date]])</f>
        <v>4</v>
      </c>
      <c r="F289" t="str">
        <f>TEXT(tblExpense[[#This Row],[Date]],"mmm")</f>
        <v>Apr</v>
      </c>
    </row>
    <row r="290" spans="1:6" x14ac:dyDescent="0.3">
      <c r="A290" s="1">
        <v>45400</v>
      </c>
      <c r="B290" t="s">
        <v>1531</v>
      </c>
      <c r="C290" t="s">
        <v>1530</v>
      </c>
      <c r="D290">
        <v>37471</v>
      </c>
      <c r="E290">
        <f>MONTH(tblExpense[[#This Row],[Date]])</f>
        <v>4</v>
      </c>
      <c r="F290" t="str">
        <f>TEXT(tblExpense[[#This Row],[Date]],"mmm")</f>
        <v>Apr</v>
      </c>
    </row>
    <row r="291" spans="1:6" x14ac:dyDescent="0.3">
      <c r="A291" s="1">
        <v>45402</v>
      </c>
      <c r="B291" t="s">
        <v>1529</v>
      </c>
      <c r="C291" t="s">
        <v>1537</v>
      </c>
      <c r="D291">
        <v>93071</v>
      </c>
      <c r="E291">
        <f>MONTH(tblExpense[[#This Row],[Date]])</f>
        <v>4</v>
      </c>
      <c r="F291" t="str">
        <f>TEXT(tblExpense[[#This Row],[Date]],"mmm")</f>
        <v>Apr</v>
      </c>
    </row>
    <row r="292" spans="1:6" x14ac:dyDescent="0.3">
      <c r="A292" s="1">
        <v>45407</v>
      </c>
      <c r="B292" t="s">
        <v>1536</v>
      </c>
      <c r="C292" t="s">
        <v>1537</v>
      </c>
      <c r="D292">
        <v>24475</v>
      </c>
      <c r="E292">
        <f>MONTH(tblExpense[[#This Row],[Date]])</f>
        <v>4</v>
      </c>
      <c r="F292" t="str">
        <f>TEXT(tblExpense[[#This Row],[Date]],"mmm")</f>
        <v>Apr</v>
      </c>
    </row>
    <row r="293" spans="1:6" x14ac:dyDescent="0.3">
      <c r="A293" s="1">
        <v>45391</v>
      </c>
      <c r="B293" t="s">
        <v>1536</v>
      </c>
      <c r="C293" t="s">
        <v>1534</v>
      </c>
      <c r="D293">
        <v>80414</v>
      </c>
      <c r="E293">
        <f>MONTH(tblExpense[[#This Row],[Date]])</f>
        <v>4</v>
      </c>
      <c r="F293" t="str">
        <f>TEXT(tblExpense[[#This Row],[Date]],"mmm")</f>
        <v>Apr</v>
      </c>
    </row>
    <row r="294" spans="1:6" x14ac:dyDescent="0.3">
      <c r="A294" s="1">
        <v>45388</v>
      </c>
      <c r="B294" t="s">
        <v>1533</v>
      </c>
      <c r="C294" t="s">
        <v>1535</v>
      </c>
      <c r="D294">
        <v>18745</v>
      </c>
      <c r="E294">
        <f>MONTH(tblExpense[[#This Row],[Date]])</f>
        <v>4</v>
      </c>
      <c r="F294" t="str">
        <f>TEXT(tblExpense[[#This Row],[Date]],"mmm")</f>
        <v>Apr</v>
      </c>
    </row>
    <row r="295" spans="1:6" x14ac:dyDescent="0.3">
      <c r="A295" s="1">
        <v>45397</v>
      </c>
      <c r="B295" t="s">
        <v>1531</v>
      </c>
      <c r="C295" t="s">
        <v>1534</v>
      </c>
      <c r="D295">
        <v>30013</v>
      </c>
      <c r="E295">
        <f>MONTH(tblExpense[[#This Row],[Date]])</f>
        <v>4</v>
      </c>
      <c r="F295" t="str">
        <f>TEXT(tblExpense[[#This Row],[Date]],"mmm")</f>
        <v>Apr</v>
      </c>
    </row>
    <row r="296" spans="1:6" x14ac:dyDescent="0.3">
      <c r="A296" s="1">
        <v>45406</v>
      </c>
      <c r="B296" t="s">
        <v>1531</v>
      </c>
      <c r="C296" t="s">
        <v>1535</v>
      </c>
      <c r="D296">
        <v>98669</v>
      </c>
      <c r="E296">
        <f>MONTH(tblExpense[[#This Row],[Date]])</f>
        <v>4</v>
      </c>
      <c r="F296" t="str">
        <f>TEXT(tblExpense[[#This Row],[Date]],"mmm")</f>
        <v>Apr</v>
      </c>
    </row>
    <row r="297" spans="1:6" x14ac:dyDescent="0.3">
      <c r="A297" s="1">
        <v>45396</v>
      </c>
      <c r="B297" t="s">
        <v>1531</v>
      </c>
      <c r="C297" t="s">
        <v>1537</v>
      </c>
      <c r="D297">
        <v>54196</v>
      </c>
      <c r="E297">
        <f>MONTH(tblExpense[[#This Row],[Date]])</f>
        <v>4</v>
      </c>
      <c r="F297" t="str">
        <f>TEXT(tblExpense[[#This Row],[Date]],"mmm")</f>
        <v>Apr</v>
      </c>
    </row>
    <row r="298" spans="1:6" x14ac:dyDescent="0.3">
      <c r="A298" s="1">
        <v>45396</v>
      </c>
      <c r="B298" t="s">
        <v>1533</v>
      </c>
      <c r="C298" t="s">
        <v>1535</v>
      </c>
      <c r="D298">
        <v>97909</v>
      </c>
      <c r="E298">
        <f>MONTH(tblExpense[[#This Row],[Date]])</f>
        <v>4</v>
      </c>
      <c r="F298" t="str">
        <f>TEXT(tblExpense[[#This Row],[Date]],"mmm")</f>
        <v>Apr</v>
      </c>
    </row>
    <row r="299" spans="1:6" x14ac:dyDescent="0.3">
      <c r="A299" s="1">
        <v>45399</v>
      </c>
      <c r="B299" t="s">
        <v>1531</v>
      </c>
      <c r="C299" t="s">
        <v>1532</v>
      </c>
      <c r="D299">
        <v>49410</v>
      </c>
      <c r="E299">
        <f>MONTH(tblExpense[[#This Row],[Date]])</f>
        <v>4</v>
      </c>
      <c r="F299" t="str">
        <f>TEXT(tblExpense[[#This Row],[Date]],"mmm")</f>
        <v>Apr</v>
      </c>
    </row>
    <row r="300" spans="1:6" x14ac:dyDescent="0.3">
      <c r="A300" s="1">
        <v>45389</v>
      </c>
      <c r="B300" t="s">
        <v>1536</v>
      </c>
      <c r="C300" t="s">
        <v>1530</v>
      </c>
      <c r="D300">
        <v>62390</v>
      </c>
      <c r="E300">
        <f>MONTH(tblExpense[[#This Row],[Date]])</f>
        <v>4</v>
      </c>
      <c r="F300" t="str">
        <f>TEXT(tblExpense[[#This Row],[Date]],"mmm")</f>
        <v>Apr</v>
      </c>
    </row>
    <row r="301" spans="1:6" x14ac:dyDescent="0.3">
      <c r="A301" s="1">
        <v>45406</v>
      </c>
      <c r="B301" t="s">
        <v>1529</v>
      </c>
      <c r="C301" t="s">
        <v>1535</v>
      </c>
      <c r="D301">
        <v>71530</v>
      </c>
      <c r="E301">
        <f>MONTH(tblExpense[[#This Row],[Date]])</f>
        <v>4</v>
      </c>
      <c r="F301" t="str">
        <f>TEXT(tblExpense[[#This Row],[Date]],"mmm")</f>
        <v>Apr</v>
      </c>
    </row>
    <row r="302" spans="1:6" x14ac:dyDescent="0.3">
      <c r="A302" s="1">
        <v>45388</v>
      </c>
      <c r="B302" t="s">
        <v>1531</v>
      </c>
      <c r="C302" t="s">
        <v>1534</v>
      </c>
      <c r="D302">
        <v>38544</v>
      </c>
      <c r="E302">
        <f>MONTH(tblExpense[[#This Row],[Date]])</f>
        <v>4</v>
      </c>
      <c r="F302" t="str">
        <f>TEXT(tblExpense[[#This Row],[Date]],"mmm")</f>
        <v>Apr</v>
      </c>
    </row>
    <row r="303" spans="1:6" x14ac:dyDescent="0.3">
      <c r="A303" s="1">
        <v>45401</v>
      </c>
      <c r="B303" t="s">
        <v>1538</v>
      </c>
      <c r="C303" t="s">
        <v>1530</v>
      </c>
      <c r="D303">
        <v>61397</v>
      </c>
      <c r="E303">
        <f>MONTH(tblExpense[[#This Row],[Date]])</f>
        <v>4</v>
      </c>
      <c r="F303" t="str">
        <f>TEXT(tblExpense[[#This Row],[Date]],"mmm")</f>
        <v>Apr</v>
      </c>
    </row>
    <row r="304" spans="1:6" x14ac:dyDescent="0.3">
      <c r="A304" s="1">
        <v>45401</v>
      </c>
      <c r="B304" t="s">
        <v>1529</v>
      </c>
      <c r="C304" t="s">
        <v>1534</v>
      </c>
      <c r="D304">
        <v>58846</v>
      </c>
      <c r="E304">
        <f>MONTH(tblExpense[[#This Row],[Date]])</f>
        <v>4</v>
      </c>
      <c r="F304" t="str">
        <f>TEXT(tblExpense[[#This Row],[Date]],"mmm")</f>
        <v>Apr</v>
      </c>
    </row>
    <row r="305" spans="1:6" x14ac:dyDescent="0.3">
      <c r="A305" s="1">
        <v>45404</v>
      </c>
      <c r="B305" t="s">
        <v>1538</v>
      </c>
      <c r="C305" t="s">
        <v>1537</v>
      </c>
      <c r="D305">
        <v>49781</v>
      </c>
      <c r="E305">
        <f>MONTH(tblExpense[[#This Row],[Date]])</f>
        <v>4</v>
      </c>
      <c r="F305" t="str">
        <f>TEXT(tblExpense[[#This Row],[Date]],"mmm")</f>
        <v>Apr</v>
      </c>
    </row>
    <row r="306" spans="1:6" x14ac:dyDescent="0.3">
      <c r="A306" s="1">
        <v>45403</v>
      </c>
      <c r="B306" t="s">
        <v>1531</v>
      </c>
      <c r="C306" t="s">
        <v>1534</v>
      </c>
      <c r="D306">
        <v>78413</v>
      </c>
      <c r="E306">
        <f>MONTH(tblExpense[[#This Row],[Date]])</f>
        <v>4</v>
      </c>
      <c r="F306" t="str">
        <f>TEXT(tblExpense[[#This Row],[Date]],"mmm")</f>
        <v>Apr</v>
      </c>
    </row>
    <row r="307" spans="1:6" x14ac:dyDescent="0.3">
      <c r="A307" s="1">
        <v>45399</v>
      </c>
      <c r="B307" t="s">
        <v>1538</v>
      </c>
      <c r="C307" t="s">
        <v>1537</v>
      </c>
      <c r="D307">
        <v>5126</v>
      </c>
      <c r="E307">
        <f>MONTH(tblExpense[[#This Row],[Date]])</f>
        <v>4</v>
      </c>
      <c r="F307" t="str">
        <f>TEXT(tblExpense[[#This Row],[Date]],"mmm")</f>
        <v>Apr</v>
      </c>
    </row>
    <row r="308" spans="1:6" x14ac:dyDescent="0.3">
      <c r="A308" s="1">
        <v>45405</v>
      </c>
      <c r="B308" t="s">
        <v>1533</v>
      </c>
      <c r="C308" t="s">
        <v>1530</v>
      </c>
      <c r="D308">
        <v>48140</v>
      </c>
      <c r="E308">
        <f>MONTH(tblExpense[[#This Row],[Date]])</f>
        <v>4</v>
      </c>
      <c r="F308" t="str">
        <f>TEXT(tblExpense[[#This Row],[Date]],"mmm")</f>
        <v>Apr</v>
      </c>
    </row>
    <row r="309" spans="1:6" x14ac:dyDescent="0.3">
      <c r="A309" s="1">
        <v>45386</v>
      </c>
      <c r="B309" t="s">
        <v>1533</v>
      </c>
      <c r="C309" t="s">
        <v>1535</v>
      </c>
      <c r="D309">
        <v>24902</v>
      </c>
      <c r="E309">
        <f>MONTH(tblExpense[[#This Row],[Date]])</f>
        <v>4</v>
      </c>
      <c r="F309" t="str">
        <f>TEXT(tblExpense[[#This Row],[Date]],"mmm")</f>
        <v>Apr</v>
      </c>
    </row>
    <row r="310" spans="1:6" x14ac:dyDescent="0.3">
      <c r="A310" s="1">
        <v>45408</v>
      </c>
      <c r="B310" t="s">
        <v>1536</v>
      </c>
      <c r="C310" t="s">
        <v>1530</v>
      </c>
      <c r="D310">
        <v>98241</v>
      </c>
      <c r="E310">
        <f>MONTH(tblExpense[[#This Row],[Date]])</f>
        <v>4</v>
      </c>
      <c r="F310" t="str">
        <f>TEXT(tblExpense[[#This Row],[Date]],"mmm")</f>
        <v>Apr</v>
      </c>
    </row>
    <row r="311" spans="1:6" x14ac:dyDescent="0.3">
      <c r="A311" s="1">
        <v>45390</v>
      </c>
      <c r="B311" t="s">
        <v>1536</v>
      </c>
      <c r="C311" t="s">
        <v>1535</v>
      </c>
      <c r="D311">
        <v>65813</v>
      </c>
      <c r="E311">
        <f>MONTH(tblExpense[[#This Row],[Date]])</f>
        <v>4</v>
      </c>
      <c r="F311" t="str">
        <f>TEXT(tblExpense[[#This Row],[Date]],"mmm")</f>
        <v>Apr</v>
      </c>
    </row>
    <row r="312" spans="1:6" x14ac:dyDescent="0.3">
      <c r="A312" s="1">
        <v>45395</v>
      </c>
      <c r="B312" t="s">
        <v>1531</v>
      </c>
      <c r="C312" t="s">
        <v>1532</v>
      </c>
      <c r="D312">
        <v>72976</v>
      </c>
      <c r="E312">
        <f>MONTH(tblExpense[[#This Row],[Date]])</f>
        <v>4</v>
      </c>
      <c r="F312" t="str">
        <f>TEXT(tblExpense[[#This Row],[Date]],"mmm")</f>
        <v>Apr</v>
      </c>
    </row>
    <row r="313" spans="1:6" x14ac:dyDescent="0.3">
      <c r="A313" s="1">
        <v>45389</v>
      </c>
      <c r="B313" t="s">
        <v>1536</v>
      </c>
      <c r="C313" t="s">
        <v>1535</v>
      </c>
      <c r="D313">
        <v>38000</v>
      </c>
      <c r="E313">
        <f>MONTH(tblExpense[[#This Row],[Date]])</f>
        <v>4</v>
      </c>
      <c r="F313" t="str">
        <f>TEXT(tblExpense[[#This Row],[Date]],"mmm")</f>
        <v>Apr</v>
      </c>
    </row>
    <row r="314" spans="1:6" x14ac:dyDescent="0.3">
      <c r="A314" s="1">
        <v>45400</v>
      </c>
      <c r="B314" t="s">
        <v>1536</v>
      </c>
      <c r="C314" t="s">
        <v>1530</v>
      </c>
      <c r="D314">
        <v>67853</v>
      </c>
      <c r="E314">
        <f>MONTH(tblExpense[[#This Row],[Date]])</f>
        <v>4</v>
      </c>
      <c r="F314" t="str">
        <f>TEXT(tblExpense[[#This Row],[Date]],"mmm")</f>
        <v>Apr</v>
      </c>
    </row>
    <row r="315" spans="1:6" x14ac:dyDescent="0.3">
      <c r="A315" s="1">
        <v>45401</v>
      </c>
      <c r="B315" t="s">
        <v>1538</v>
      </c>
      <c r="C315" t="s">
        <v>1530</v>
      </c>
      <c r="D315">
        <v>83472</v>
      </c>
      <c r="E315">
        <f>MONTH(tblExpense[[#This Row],[Date]])</f>
        <v>4</v>
      </c>
      <c r="F315" t="str">
        <f>TEXT(tblExpense[[#This Row],[Date]],"mmm")</f>
        <v>Apr</v>
      </c>
    </row>
    <row r="316" spans="1:6" x14ac:dyDescent="0.3">
      <c r="A316" s="1">
        <v>45404</v>
      </c>
      <c r="B316" t="s">
        <v>1538</v>
      </c>
      <c r="C316" t="s">
        <v>1532</v>
      </c>
      <c r="D316">
        <v>36595</v>
      </c>
      <c r="E316">
        <f>MONTH(tblExpense[[#This Row],[Date]])</f>
        <v>4</v>
      </c>
      <c r="F316" t="str">
        <f>TEXT(tblExpense[[#This Row],[Date]],"mmm")</f>
        <v>Apr</v>
      </c>
    </row>
    <row r="317" spans="1:6" x14ac:dyDescent="0.3">
      <c r="A317" s="1">
        <v>45390</v>
      </c>
      <c r="B317" t="s">
        <v>1533</v>
      </c>
      <c r="C317" t="s">
        <v>1530</v>
      </c>
      <c r="D317">
        <v>70196</v>
      </c>
      <c r="E317">
        <f>MONTH(tblExpense[[#This Row],[Date]])</f>
        <v>4</v>
      </c>
      <c r="F317" t="str">
        <f>TEXT(tblExpense[[#This Row],[Date]],"mmm")</f>
        <v>Apr</v>
      </c>
    </row>
    <row r="318" spans="1:6" x14ac:dyDescent="0.3">
      <c r="A318" s="1">
        <v>45384</v>
      </c>
      <c r="B318" t="s">
        <v>1536</v>
      </c>
      <c r="C318" t="s">
        <v>1532</v>
      </c>
      <c r="D318">
        <v>81772</v>
      </c>
      <c r="E318">
        <f>MONTH(tblExpense[[#This Row],[Date]])</f>
        <v>4</v>
      </c>
      <c r="F318" t="str">
        <f>TEXT(tblExpense[[#This Row],[Date]],"mmm")</f>
        <v>Apr</v>
      </c>
    </row>
    <row r="319" spans="1:6" x14ac:dyDescent="0.3">
      <c r="A319" s="1">
        <v>45383</v>
      </c>
      <c r="B319" t="s">
        <v>1531</v>
      </c>
      <c r="C319" t="s">
        <v>1532</v>
      </c>
      <c r="D319">
        <v>40191</v>
      </c>
      <c r="E319">
        <f>MONTH(tblExpense[[#This Row],[Date]])</f>
        <v>4</v>
      </c>
      <c r="F319" t="str">
        <f>TEXT(tblExpense[[#This Row],[Date]],"mmm")</f>
        <v>Apr</v>
      </c>
    </row>
    <row r="320" spans="1:6" x14ac:dyDescent="0.3">
      <c r="A320" s="1">
        <v>45391</v>
      </c>
      <c r="B320" t="s">
        <v>1536</v>
      </c>
      <c r="C320" t="s">
        <v>1537</v>
      </c>
      <c r="D320">
        <v>67090</v>
      </c>
      <c r="E320">
        <f>MONTH(tblExpense[[#This Row],[Date]])</f>
        <v>4</v>
      </c>
      <c r="F320" t="str">
        <f>TEXT(tblExpense[[#This Row],[Date]],"mmm")</f>
        <v>Apr</v>
      </c>
    </row>
    <row r="321" spans="1:6" x14ac:dyDescent="0.3">
      <c r="A321" s="1">
        <v>45390</v>
      </c>
      <c r="B321" t="s">
        <v>1529</v>
      </c>
      <c r="C321" t="s">
        <v>1532</v>
      </c>
      <c r="D321">
        <v>82770</v>
      </c>
      <c r="E321">
        <f>MONTH(tblExpense[[#This Row],[Date]])</f>
        <v>4</v>
      </c>
      <c r="F321" t="str">
        <f>TEXT(tblExpense[[#This Row],[Date]],"mmm")</f>
        <v>Apr</v>
      </c>
    </row>
    <row r="322" spans="1:6" x14ac:dyDescent="0.3">
      <c r="A322" s="1">
        <v>45396</v>
      </c>
      <c r="B322" t="s">
        <v>1529</v>
      </c>
      <c r="C322" t="s">
        <v>1535</v>
      </c>
      <c r="D322">
        <v>19204</v>
      </c>
      <c r="E322">
        <f>MONTH(tblExpense[[#This Row],[Date]])</f>
        <v>4</v>
      </c>
      <c r="F322" t="str">
        <f>TEXT(tblExpense[[#This Row],[Date]],"mmm")</f>
        <v>Apr</v>
      </c>
    </row>
    <row r="323" spans="1:6" x14ac:dyDescent="0.3">
      <c r="A323" s="1">
        <v>45397</v>
      </c>
      <c r="B323" t="s">
        <v>1531</v>
      </c>
      <c r="C323" t="s">
        <v>1530</v>
      </c>
      <c r="D323">
        <v>18601</v>
      </c>
      <c r="E323">
        <f>MONTH(tblExpense[[#This Row],[Date]])</f>
        <v>4</v>
      </c>
      <c r="F323" t="str">
        <f>TEXT(tblExpense[[#This Row],[Date]],"mmm")</f>
        <v>Apr</v>
      </c>
    </row>
    <row r="324" spans="1:6" x14ac:dyDescent="0.3">
      <c r="A324" s="1">
        <v>45409</v>
      </c>
      <c r="B324" t="s">
        <v>1529</v>
      </c>
      <c r="C324" t="s">
        <v>1535</v>
      </c>
      <c r="D324">
        <v>36118</v>
      </c>
      <c r="E324">
        <f>MONTH(tblExpense[[#This Row],[Date]])</f>
        <v>4</v>
      </c>
      <c r="F324" t="str">
        <f>TEXT(tblExpense[[#This Row],[Date]],"mmm")</f>
        <v>Apr</v>
      </c>
    </row>
    <row r="325" spans="1:6" x14ac:dyDescent="0.3">
      <c r="A325" s="1">
        <v>45412</v>
      </c>
      <c r="B325" t="s">
        <v>1533</v>
      </c>
      <c r="C325" t="s">
        <v>1532</v>
      </c>
      <c r="D325">
        <v>59728</v>
      </c>
      <c r="E325">
        <f>MONTH(tblExpense[[#This Row],[Date]])</f>
        <v>4</v>
      </c>
      <c r="F325" t="str">
        <f>TEXT(tblExpense[[#This Row],[Date]],"mmm")</f>
        <v>Apr</v>
      </c>
    </row>
    <row r="326" spans="1:6" x14ac:dyDescent="0.3">
      <c r="A326" s="1">
        <v>45407</v>
      </c>
      <c r="B326" t="s">
        <v>1533</v>
      </c>
      <c r="C326" t="s">
        <v>1535</v>
      </c>
      <c r="D326">
        <v>29844</v>
      </c>
      <c r="E326">
        <f>MONTH(tblExpense[[#This Row],[Date]])</f>
        <v>4</v>
      </c>
      <c r="F326" t="str">
        <f>TEXT(tblExpense[[#This Row],[Date]],"mmm")</f>
        <v>Apr</v>
      </c>
    </row>
    <row r="327" spans="1:6" x14ac:dyDescent="0.3">
      <c r="A327" s="1">
        <v>45397</v>
      </c>
      <c r="B327" t="s">
        <v>1538</v>
      </c>
      <c r="C327" t="s">
        <v>1537</v>
      </c>
      <c r="D327">
        <v>59395</v>
      </c>
      <c r="E327">
        <f>MONTH(tblExpense[[#This Row],[Date]])</f>
        <v>4</v>
      </c>
      <c r="F327" t="str">
        <f>TEXT(tblExpense[[#This Row],[Date]],"mmm")</f>
        <v>Apr</v>
      </c>
    </row>
    <row r="328" spans="1:6" x14ac:dyDescent="0.3">
      <c r="A328" s="1">
        <v>45384</v>
      </c>
      <c r="B328" t="s">
        <v>1536</v>
      </c>
      <c r="C328" t="s">
        <v>1535</v>
      </c>
      <c r="D328">
        <v>34794</v>
      </c>
      <c r="E328">
        <f>MONTH(tblExpense[[#This Row],[Date]])</f>
        <v>4</v>
      </c>
      <c r="F328" t="str">
        <f>TEXT(tblExpense[[#This Row],[Date]],"mmm")</f>
        <v>Apr</v>
      </c>
    </row>
    <row r="329" spans="1:6" x14ac:dyDescent="0.3">
      <c r="A329" s="1">
        <v>45384</v>
      </c>
      <c r="B329" t="s">
        <v>1531</v>
      </c>
      <c r="C329" t="s">
        <v>1534</v>
      </c>
      <c r="D329">
        <v>38494</v>
      </c>
      <c r="E329">
        <f>MONTH(tblExpense[[#This Row],[Date]])</f>
        <v>4</v>
      </c>
      <c r="F329" t="str">
        <f>TEXT(tblExpense[[#This Row],[Date]],"mmm")</f>
        <v>Apr</v>
      </c>
    </row>
    <row r="330" spans="1:6" x14ac:dyDescent="0.3">
      <c r="A330" s="1">
        <v>45390</v>
      </c>
      <c r="B330" t="s">
        <v>1529</v>
      </c>
      <c r="C330" t="s">
        <v>1534</v>
      </c>
      <c r="D330">
        <v>88848</v>
      </c>
      <c r="E330">
        <f>MONTH(tblExpense[[#This Row],[Date]])</f>
        <v>4</v>
      </c>
      <c r="F330" t="str">
        <f>TEXT(tblExpense[[#This Row],[Date]],"mmm")</f>
        <v>Apr</v>
      </c>
    </row>
    <row r="331" spans="1:6" x14ac:dyDescent="0.3">
      <c r="A331" s="1">
        <v>45385</v>
      </c>
      <c r="B331" t="s">
        <v>1536</v>
      </c>
      <c r="C331" t="s">
        <v>1537</v>
      </c>
      <c r="D331">
        <v>31188</v>
      </c>
      <c r="E331">
        <f>MONTH(tblExpense[[#This Row],[Date]])</f>
        <v>4</v>
      </c>
      <c r="F331" t="str">
        <f>TEXT(tblExpense[[#This Row],[Date]],"mmm")</f>
        <v>Apr</v>
      </c>
    </row>
    <row r="332" spans="1:6" x14ac:dyDescent="0.3">
      <c r="A332" s="1">
        <v>45393</v>
      </c>
      <c r="B332" t="s">
        <v>1529</v>
      </c>
      <c r="C332" t="s">
        <v>1530</v>
      </c>
      <c r="D332">
        <v>37305</v>
      </c>
      <c r="E332">
        <f>MONTH(tblExpense[[#This Row],[Date]])</f>
        <v>4</v>
      </c>
      <c r="F332" t="str">
        <f>TEXT(tblExpense[[#This Row],[Date]],"mmm")</f>
        <v>Apr</v>
      </c>
    </row>
    <row r="333" spans="1:6" x14ac:dyDescent="0.3">
      <c r="A333" s="1">
        <v>45384</v>
      </c>
      <c r="B333" t="s">
        <v>1538</v>
      </c>
      <c r="C333" t="s">
        <v>1535</v>
      </c>
      <c r="D333">
        <v>83399</v>
      </c>
      <c r="E333">
        <f>MONTH(tblExpense[[#This Row],[Date]])</f>
        <v>4</v>
      </c>
      <c r="F333" t="str">
        <f>TEXT(tblExpense[[#This Row],[Date]],"mmm")</f>
        <v>Apr</v>
      </c>
    </row>
    <row r="334" spans="1:6" x14ac:dyDescent="0.3">
      <c r="A334" s="1">
        <v>45392</v>
      </c>
      <c r="B334" t="s">
        <v>1531</v>
      </c>
      <c r="C334" t="s">
        <v>1537</v>
      </c>
      <c r="D334">
        <v>40877</v>
      </c>
      <c r="E334">
        <f>MONTH(tblExpense[[#This Row],[Date]])</f>
        <v>4</v>
      </c>
      <c r="F334" t="str">
        <f>TEXT(tblExpense[[#This Row],[Date]],"mmm")</f>
        <v>Apr</v>
      </c>
    </row>
    <row r="335" spans="1:6" x14ac:dyDescent="0.3">
      <c r="A335" s="1">
        <v>45394</v>
      </c>
      <c r="B335" t="s">
        <v>1531</v>
      </c>
      <c r="C335" t="s">
        <v>1535</v>
      </c>
      <c r="D335">
        <v>93046</v>
      </c>
      <c r="E335">
        <f>MONTH(tblExpense[[#This Row],[Date]])</f>
        <v>4</v>
      </c>
      <c r="F335" t="str">
        <f>TEXT(tblExpense[[#This Row],[Date]],"mmm")</f>
        <v>Apr</v>
      </c>
    </row>
    <row r="336" spans="1:6" x14ac:dyDescent="0.3">
      <c r="A336" s="1">
        <v>45390</v>
      </c>
      <c r="B336" t="s">
        <v>1529</v>
      </c>
      <c r="C336" t="s">
        <v>1532</v>
      </c>
      <c r="D336">
        <v>75320</v>
      </c>
      <c r="E336">
        <f>MONTH(tblExpense[[#This Row],[Date]])</f>
        <v>4</v>
      </c>
      <c r="F336" t="str">
        <f>TEXT(tblExpense[[#This Row],[Date]],"mmm")</f>
        <v>Apr</v>
      </c>
    </row>
    <row r="337" spans="1:6" x14ac:dyDescent="0.3">
      <c r="A337" s="1">
        <v>45402</v>
      </c>
      <c r="B337" t="s">
        <v>1529</v>
      </c>
      <c r="C337" t="s">
        <v>1534</v>
      </c>
      <c r="D337">
        <v>25914</v>
      </c>
      <c r="E337">
        <f>MONTH(tblExpense[[#This Row],[Date]])</f>
        <v>4</v>
      </c>
      <c r="F337" t="str">
        <f>TEXT(tblExpense[[#This Row],[Date]],"mmm")</f>
        <v>Apr</v>
      </c>
    </row>
    <row r="338" spans="1:6" x14ac:dyDescent="0.3">
      <c r="A338" s="1">
        <v>45383</v>
      </c>
      <c r="B338" t="s">
        <v>1533</v>
      </c>
      <c r="C338" t="s">
        <v>1535</v>
      </c>
      <c r="D338">
        <v>54184</v>
      </c>
      <c r="E338">
        <f>MONTH(tblExpense[[#This Row],[Date]])</f>
        <v>4</v>
      </c>
      <c r="F338" t="str">
        <f>TEXT(tblExpense[[#This Row],[Date]],"mmm")</f>
        <v>Apr</v>
      </c>
    </row>
    <row r="339" spans="1:6" x14ac:dyDescent="0.3">
      <c r="A339" s="1">
        <v>45396</v>
      </c>
      <c r="B339" t="s">
        <v>1531</v>
      </c>
      <c r="C339" t="s">
        <v>1534</v>
      </c>
      <c r="D339">
        <v>88620</v>
      </c>
      <c r="E339">
        <f>MONTH(tblExpense[[#This Row],[Date]])</f>
        <v>4</v>
      </c>
      <c r="F339" t="str">
        <f>TEXT(tblExpense[[#This Row],[Date]],"mmm")</f>
        <v>Apr</v>
      </c>
    </row>
    <row r="340" spans="1:6" x14ac:dyDescent="0.3">
      <c r="A340" s="1">
        <v>45401</v>
      </c>
      <c r="B340" t="s">
        <v>1536</v>
      </c>
      <c r="C340" t="s">
        <v>1532</v>
      </c>
      <c r="D340">
        <v>99994</v>
      </c>
      <c r="E340">
        <f>MONTH(tblExpense[[#This Row],[Date]])</f>
        <v>4</v>
      </c>
      <c r="F340" t="str">
        <f>TEXT(tblExpense[[#This Row],[Date]],"mmm")</f>
        <v>Apr</v>
      </c>
    </row>
    <row r="341" spans="1:6" x14ac:dyDescent="0.3">
      <c r="A341" s="1">
        <v>45410</v>
      </c>
      <c r="B341" t="s">
        <v>1538</v>
      </c>
      <c r="C341" t="s">
        <v>1530</v>
      </c>
      <c r="D341">
        <v>13464</v>
      </c>
      <c r="E341">
        <f>MONTH(tblExpense[[#This Row],[Date]])</f>
        <v>4</v>
      </c>
      <c r="F341" t="str">
        <f>TEXT(tblExpense[[#This Row],[Date]],"mmm")</f>
        <v>Apr</v>
      </c>
    </row>
    <row r="342" spans="1:6" x14ac:dyDescent="0.3">
      <c r="A342" s="1">
        <v>45386</v>
      </c>
      <c r="B342" t="s">
        <v>1531</v>
      </c>
      <c r="C342" t="s">
        <v>1532</v>
      </c>
      <c r="D342">
        <v>16072</v>
      </c>
      <c r="E342">
        <f>MONTH(tblExpense[[#This Row],[Date]])</f>
        <v>4</v>
      </c>
      <c r="F342" t="str">
        <f>TEXT(tblExpense[[#This Row],[Date]],"mmm")</f>
        <v>Apr</v>
      </c>
    </row>
    <row r="343" spans="1:6" x14ac:dyDescent="0.3">
      <c r="A343" s="1">
        <v>45396</v>
      </c>
      <c r="B343" t="s">
        <v>1538</v>
      </c>
      <c r="C343" t="s">
        <v>1535</v>
      </c>
      <c r="D343">
        <v>47918</v>
      </c>
      <c r="E343">
        <f>MONTH(tblExpense[[#This Row],[Date]])</f>
        <v>4</v>
      </c>
      <c r="F343" t="str">
        <f>TEXT(tblExpense[[#This Row],[Date]],"mmm")</f>
        <v>Apr</v>
      </c>
    </row>
    <row r="344" spans="1:6" x14ac:dyDescent="0.3">
      <c r="A344" s="1">
        <v>45393</v>
      </c>
      <c r="B344" t="s">
        <v>1538</v>
      </c>
      <c r="C344" t="s">
        <v>1530</v>
      </c>
      <c r="D344">
        <v>32749</v>
      </c>
      <c r="E344">
        <f>MONTH(tblExpense[[#This Row],[Date]])</f>
        <v>4</v>
      </c>
      <c r="F344" t="str">
        <f>TEXT(tblExpense[[#This Row],[Date]],"mmm")</f>
        <v>Apr</v>
      </c>
    </row>
    <row r="345" spans="1:6" x14ac:dyDescent="0.3">
      <c r="A345" s="1">
        <v>45401</v>
      </c>
      <c r="B345" t="s">
        <v>1536</v>
      </c>
      <c r="C345" t="s">
        <v>1534</v>
      </c>
      <c r="D345">
        <v>44274</v>
      </c>
      <c r="E345">
        <f>MONTH(tblExpense[[#This Row],[Date]])</f>
        <v>4</v>
      </c>
      <c r="F345" t="str">
        <f>TEXT(tblExpense[[#This Row],[Date]],"mmm")</f>
        <v>Apr</v>
      </c>
    </row>
    <row r="346" spans="1:6" x14ac:dyDescent="0.3">
      <c r="A346" s="1">
        <v>45397</v>
      </c>
      <c r="B346" t="s">
        <v>1536</v>
      </c>
      <c r="C346" t="s">
        <v>1532</v>
      </c>
      <c r="D346">
        <v>67422</v>
      </c>
      <c r="E346">
        <f>MONTH(tblExpense[[#This Row],[Date]])</f>
        <v>4</v>
      </c>
      <c r="F346" t="str">
        <f>TEXT(tblExpense[[#This Row],[Date]],"mmm")</f>
        <v>Apr</v>
      </c>
    </row>
    <row r="347" spans="1:6" x14ac:dyDescent="0.3">
      <c r="A347" s="1">
        <v>45400</v>
      </c>
      <c r="B347" t="s">
        <v>1531</v>
      </c>
      <c r="C347" t="s">
        <v>1530</v>
      </c>
      <c r="D347">
        <v>82374</v>
      </c>
      <c r="E347">
        <f>MONTH(tblExpense[[#This Row],[Date]])</f>
        <v>4</v>
      </c>
      <c r="F347" t="str">
        <f>TEXT(tblExpense[[#This Row],[Date]],"mmm")</f>
        <v>Apr</v>
      </c>
    </row>
    <row r="348" spans="1:6" x14ac:dyDescent="0.3">
      <c r="A348" s="1">
        <v>45396</v>
      </c>
      <c r="B348" t="s">
        <v>1529</v>
      </c>
      <c r="C348" t="s">
        <v>1532</v>
      </c>
      <c r="D348">
        <v>91973</v>
      </c>
      <c r="E348">
        <f>MONTH(tblExpense[[#This Row],[Date]])</f>
        <v>4</v>
      </c>
      <c r="F348" t="str">
        <f>TEXT(tblExpense[[#This Row],[Date]],"mmm")</f>
        <v>Apr</v>
      </c>
    </row>
    <row r="349" spans="1:6" x14ac:dyDescent="0.3">
      <c r="A349" s="1">
        <v>45398</v>
      </c>
      <c r="B349" t="s">
        <v>1529</v>
      </c>
      <c r="C349" t="s">
        <v>1537</v>
      </c>
      <c r="D349">
        <v>81472</v>
      </c>
      <c r="E349">
        <f>MONTH(tblExpense[[#This Row],[Date]])</f>
        <v>4</v>
      </c>
      <c r="F349" t="str">
        <f>TEXT(tblExpense[[#This Row],[Date]],"mmm")</f>
        <v>Apr</v>
      </c>
    </row>
    <row r="350" spans="1:6" x14ac:dyDescent="0.3">
      <c r="A350" s="1">
        <v>45388</v>
      </c>
      <c r="B350" t="s">
        <v>1536</v>
      </c>
      <c r="C350" t="s">
        <v>1537</v>
      </c>
      <c r="D350">
        <v>88791</v>
      </c>
      <c r="E350">
        <f>MONTH(tblExpense[[#This Row],[Date]])</f>
        <v>4</v>
      </c>
      <c r="F350" t="str">
        <f>TEXT(tblExpense[[#This Row],[Date]],"mmm")</f>
        <v>Apr</v>
      </c>
    </row>
    <row r="351" spans="1:6" x14ac:dyDescent="0.3">
      <c r="A351" s="1">
        <v>45397</v>
      </c>
      <c r="B351" t="s">
        <v>1536</v>
      </c>
      <c r="C351" t="s">
        <v>1532</v>
      </c>
      <c r="D351">
        <v>19419</v>
      </c>
      <c r="E351">
        <f>MONTH(tblExpense[[#This Row],[Date]])</f>
        <v>4</v>
      </c>
      <c r="F351" t="str">
        <f>TEXT(tblExpense[[#This Row],[Date]],"mmm")</f>
        <v>Apr</v>
      </c>
    </row>
    <row r="352" spans="1:6" x14ac:dyDescent="0.3">
      <c r="A352" s="1">
        <v>45397</v>
      </c>
      <c r="B352" t="s">
        <v>1536</v>
      </c>
      <c r="C352" t="s">
        <v>1532</v>
      </c>
      <c r="D352">
        <v>7732</v>
      </c>
      <c r="E352">
        <f>MONTH(tblExpense[[#This Row],[Date]])</f>
        <v>4</v>
      </c>
      <c r="F352" t="str">
        <f>TEXT(tblExpense[[#This Row],[Date]],"mmm")</f>
        <v>Apr</v>
      </c>
    </row>
    <row r="353" spans="1:6" x14ac:dyDescent="0.3">
      <c r="A353" s="1">
        <v>45409</v>
      </c>
      <c r="B353" t="s">
        <v>1533</v>
      </c>
      <c r="C353" t="s">
        <v>1532</v>
      </c>
      <c r="D353">
        <v>42116</v>
      </c>
      <c r="E353">
        <f>MONTH(tblExpense[[#This Row],[Date]])</f>
        <v>4</v>
      </c>
      <c r="F353" t="str">
        <f>TEXT(tblExpense[[#This Row],[Date]],"mmm")</f>
        <v>Apr</v>
      </c>
    </row>
    <row r="354" spans="1:6" x14ac:dyDescent="0.3">
      <c r="A354" s="1">
        <v>45396</v>
      </c>
      <c r="B354" t="s">
        <v>1533</v>
      </c>
      <c r="C354" t="s">
        <v>1535</v>
      </c>
      <c r="D354">
        <v>57346</v>
      </c>
      <c r="E354">
        <f>MONTH(tblExpense[[#This Row],[Date]])</f>
        <v>4</v>
      </c>
      <c r="F354" t="str">
        <f>TEXT(tblExpense[[#This Row],[Date]],"mmm")</f>
        <v>Apr</v>
      </c>
    </row>
    <row r="355" spans="1:6" x14ac:dyDescent="0.3">
      <c r="A355" s="1">
        <v>45388</v>
      </c>
      <c r="B355" t="s">
        <v>1533</v>
      </c>
      <c r="C355" t="s">
        <v>1530</v>
      </c>
      <c r="D355">
        <v>17156</v>
      </c>
      <c r="E355">
        <f>MONTH(tblExpense[[#This Row],[Date]])</f>
        <v>4</v>
      </c>
      <c r="F355" t="str">
        <f>TEXT(tblExpense[[#This Row],[Date]],"mmm")</f>
        <v>Apr</v>
      </c>
    </row>
    <row r="356" spans="1:6" x14ac:dyDescent="0.3">
      <c r="A356" s="1">
        <v>45404</v>
      </c>
      <c r="B356" t="s">
        <v>1533</v>
      </c>
      <c r="C356" t="s">
        <v>1534</v>
      </c>
      <c r="D356">
        <v>68192</v>
      </c>
      <c r="E356">
        <f>MONTH(tblExpense[[#This Row],[Date]])</f>
        <v>4</v>
      </c>
      <c r="F356" t="str">
        <f>TEXT(tblExpense[[#This Row],[Date]],"mmm")</f>
        <v>Apr</v>
      </c>
    </row>
    <row r="357" spans="1:6" x14ac:dyDescent="0.3">
      <c r="A357" s="1">
        <v>45388</v>
      </c>
      <c r="B357" t="s">
        <v>1533</v>
      </c>
      <c r="C357" t="s">
        <v>1537</v>
      </c>
      <c r="D357">
        <v>87778</v>
      </c>
      <c r="E357">
        <f>MONTH(tblExpense[[#This Row],[Date]])</f>
        <v>4</v>
      </c>
      <c r="F357" t="str">
        <f>TEXT(tblExpense[[#This Row],[Date]],"mmm")</f>
        <v>Apr</v>
      </c>
    </row>
    <row r="358" spans="1:6" x14ac:dyDescent="0.3">
      <c r="A358" s="1">
        <v>45417</v>
      </c>
      <c r="B358" t="s">
        <v>1536</v>
      </c>
      <c r="C358" t="s">
        <v>1530</v>
      </c>
      <c r="D358">
        <v>30762</v>
      </c>
      <c r="E358">
        <f>MONTH(tblExpense[[#This Row],[Date]])</f>
        <v>5</v>
      </c>
      <c r="F358" t="str">
        <f>TEXT(tblExpense[[#This Row],[Date]],"mmm")</f>
        <v>May</v>
      </c>
    </row>
    <row r="359" spans="1:6" x14ac:dyDescent="0.3">
      <c r="A359" s="1">
        <v>45426</v>
      </c>
      <c r="B359" t="s">
        <v>1533</v>
      </c>
      <c r="C359" t="s">
        <v>1532</v>
      </c>
      <c r="D359">
        <v>97328</v>
      </c>
      <c r="E359">
        <f>MONTH(tblExpense[[#This Row],[Date]])</f>
        <v>5</v>
      </c>
      <c r="F359" t="str">
        <f>TEXT(tblExpense[[#This Row],[Date]],"mmm")</f>
        <v>May</v>
      </c>
    </row>
    <row r="360" spans="1:6" x14ac:dyDescent="0.3">
      <c r="A360" s="1">
        <v>45413</v>
      </c>
      <c r="B360" t="s">
        <v>1529</v>
      </c>
      <c r="C360" t="s">
        <v>1535</v>
      </c>
      <c r="D360">
        <v>43629</v>
      </c>
      <c r="E360">
        <f>MONTH(tblExpense[[#This Row],[Date]])</f>
        <v>5</v>
      </c>
      <c r="F360" t="str">
        <f>TEXT(tblExpense[[#This Row],[Date]],"mmm")</f>
        <v>May</v>
      </c>
    </row>
    <row r="361" spans="1:6" x14ac:dyDescent="0.3">
      <c r="A361" s="1">
        <v>45438</v>
      </c>
      <c r="B361" t="s">
        <v>1529</v>
      </c>
      <c r="C361" t="s">
        <v>1532</v>
      </c>
      <c r="D361">
        <v>69293</v>
      </c>
      <c r="E361">
        <f>MONTH(tblExpense[[#This Row],[Date]])</f>
        <v>5</v>
      </c>
      <c r="F361" t="str">
        <f>TEXT(tblExpense[[#This Row],[Date]],"mmm")</f>
        <v>May</v>
      </c>
    </row>
    <row r="362" spans="1:6" x14ac:dyDescent="0.3">
      <c r="A362" s="1">
        <v>45427</v>
      </c>
      <c r="B362" t="s">
        <v>1531</v>
      </c>
      <c r="C362" t="s">
        <v>1532</v>
      </c>
      <c r="D362">
        <v>78550</v>
      </c>
      <c r="E362">
        <f>MONTH(tblExpense[[#This Row],[Date]])</f>
        <v>5</v>
      </c>
      <c r="F362" t="str">
        <f>TEXT(tblExpense[[#This Row],[Date]],"mmm")</f>
        <v>May</v>
      </c>
    </row>
    <row r="363" spans="1:6" x14ac:dyDescent="0.3">
      <c r="A363" s="1">
        <v>45422</v>
      </c>
      <c r="B363" t="s">
        <v>1529</v>
      </c>
      <c r="C363" t="s">
        <v>1534</v>
      </c>
      <c r="D363">
        <v>88051</v>
      </c>
      <c r="E363">
        <f>MONTH(tblExpense[[#This Row],[Date]])</f>
        <v>5</v>
      </c>
      <c r="F363" t="str">
        <f>TEXT(tblExpense[[#This Row],[Date]],"mmm")</f>
        <v>May</v>
      </c>
    </row>
    <row r="364" spans="1:6" x14ac:dyDescent="0.3">
      <c r="A364" s="1">
        <v>45419</v>
      </c>
      <c r="B364" t="s">
        <v>1529</v>
      </c>
      <c r="C364" t="s">
        <v>1535</v>
      </c>
      <c r="D364">
        <v>51259</v>
      </c>
      <c r="E364">
        <f>MONTH(tblExpense[[#This Row],[Date]])</f>
        <v>5</v>
      </c>
      <c r="F364" t="str">
        <f>TEXT(tblExpense[[#This Row],[Date]],"mmm")</f>
        <v>May</v>
      </c>
    </row>
    <row r="365" spans="1:6" x14ac:dyDescent="0.3">
      <c r="A365" s="1">
        <v>45420</v>
      </c>
      <c r="B365" t="s">
        <v>1536</v>
      </c>
      <c r="C365" t="s">
        <v>1534</v>
      </c>
      <c r="D365">
        <v>61632</v>
      </c>
      <c r="E365">
        <f>MONTH(tblExpense[[#This Row],[Date]])</f>
        <v>5</v>
      </c>
      <c r="F365" t="str">
        <f>TEXT(tblExpense[[#This Row],[Date]],"mmm")</f>
        <v>May</v>
      </c>
    </row>
    <row r="366" spans="1:6" x14ac:dyDescent="0.3">
      <c r="A366" s="1">
        <v>45428</v>
      </c>
      <c r="B366" t="s">
        <v>1531</v>
      </c>
      <c r="C366" t="s">
        <v>1534</v>
      </c>
      <c r="D366">
        <v>48704</v>
      </c>
      <c r="E366">
        <f>MONTH(tblExpense[[#This Row],[Date]])</f>
        <v>5</v>
      </c>
      <c r="F366" t="str">
        <f>TEXT(tblExpense[[#This Row],[Date]],"mmm")</f>
        <v>May</v>
      </c>
    </row>
    <row r="367" spans="1:6" x14ac:dyDescent="0.3">
      <c r="A367" s="1">
        <v>45417</v>
      </c>
      <c r="B367" t="s">
        <v>1538</v>
      </c>
      <c r="C367" t="s">
        <v>1530</v>
      </c>
      <c r="D367">
        <v>45640</v>
      </c>
      <c r="E367">
        <f>MONTH(tblExpense[[#This Row],[Date]])</f>
        <v>5</v>
      </c>
      <c r="F367" t="str">
        <f>TEXT(tblExpense[[#This Row],[Date]],"mmm")</f>
        <v>May</v>
      </c>
    </row>
    <row r="368" spans="1:6" x14ac:dyDescent="0.3">
      <c r="A368" s="1">
        <v>45425</v>
      </c>
      <c r="B368" t="s">
        <v>1538</v>
      </c>
      <c r="C368" t="s">
        <v>1535</v>
      </c>
      <c r="D368">
        <v>77198</v>
      </c>
      <c r="E368">
        <f>MONTH(tblExpense[[#This Row],[Date]])</f>
        <v>5</v>
      </c>
      <c r="F368" t="str">
        <f>TEXT(tblExpense[[#This Row],[Date]],"mmm")</f>
        <v>May</v>
      </c>
    </row>
    <row r="369" spans="1:6" x14ac:dyDescent="0.3">
      <c r="A369" s="1">
        <v>45418</v>
      </c>
      <c r="B369" t="s">
        <v>1531</v>
      </c>
      <c r="C369" t="s">
        <v>1532</v>
      </c>
      <c r="D369">
        <v>52490</v>
      </c>
      <c r="E369">
        <f>MONTH(tblExpense[[#This Row],[Date]])</f>
        <v>5</v>
      </c>
      <c r="F369" t="str">
        <f>TEXT(tblExpense[[#This Row],[Date]],"mmm")</f>
        <v>May</v>
      </c>
    </row>
    <row r="370" spans="1:6" x14ac:dyDescent="0.3">
      <c r="A370" s="1">
        <v>45434</v>
      </c>
      <c r="B370" t="s">
        <v>1538</v>
      </c>
      <c r="C370" t="s">
        <v>1530</v>
      </c>
      <c r="D370">
        <v>45196</v>
      </c>
      <c r="E370">
        <f>MONTH(tblExpense[[#This Row],[Date]])</f>
        <v>5</v>
      </c>
      <c r="F370" t="str">
        <f>TEXT(tblExpense[[#This Row],[Date]],"mmm")</f>
        <v>May</v>
      </c>
    </row>
    <row r="371" spans="1:6" x14ac:dyDescent="0.3">
      <c r="A371" s="1">
        <v>45413</v>
      </c>
      <c r="B371" t="s">
        <v>1538</v>
      </c>
      <c r="C371" t="s">
        <v>1534</v>
      </c>
      <c r="D371">
        <v>47186</v>
      </c>
      <c r="E371">
        <f>MONTH(tblExpense[[#This Row],[Date]])</f>
        <v>5</v>
      </c>
      <c r="F371" t="str">
        <f>TEXT(tblExpense[[#This Row],[Date]],"mmm")</f>
        <v>May</v>
      </c>
    </row>
    <row r="372" spans="1:6" x14ac:dyDescent="0.3">
      <c r="A372" s="1">
        <v>45443</v>
      </c>
      <c r="B372" t="s">
        <v>1529</v>
      </c>
      <c r="C372" t="s">
        <v>1532</v>
      </c>
      <c r="D372">
        <v>96988</v>
      </c>
      <c r="E372">
        <f>MONTH(tblExpense[[#This Row],[Date]])</f>
        <v>5</v>
      </c>
      <c r="F372" t="str">
        <f>TEXT(tblExpense[[#This Row],[Date]],"mmm")</f>
        <v>May</v>
      </c>
    </row>
    <row r="373" spans="1:6" x14ac:dyDescent="0.3">
      <c r="A373" s="1">
        <v>45431</v>
      </c>
      <c r="B373" t="s">
        <v>1531</v>
      </c>
      <c r="C373" t="s">
        <v>1530</v>
      </c>
      <c r="D373">
        <v>55802</v>
      </c>
      <c r="E373">
        <f>MONTH(tblExpense[[#This Row],[Date]])</f>
        <v>5</v>
      </c>
      <c r="F373" t="str">
        <f>TEXT(tblExpense[[#This Row],[Date]],"mmm")</f>
        <v>May</v>
      </c>
    </row>
    <row r="374" spans="1:6" x14ac:dyDescent="0.3">
      <c r="A374" s="1">
        <v>45431</v>
      </c>
      <c r="B374" t="s">
        <v>1531</v>
      </c>
      <c r="C374" t="s">
        <v>1532</v>
      </c>
      <c r="D374">
        <v>82278</v>
      </c>
      <c r="E374">
        <f>MONTH(tblExpense[[#This Row],[Date]])</f>
        <v>5</v>
      </c>
      <c r="F374" t="str">
        <f>TEXT(tblExpense[[#This Row],[Date]],"mmm")</f>
        <v>May</v>
      </c>
    </row>
    <row r="375" spans="1:6" x14ac:dyDescent="0.3">
      <c r="A375" s="1">
        <v>45420</v>
      </c>
      <c r="B375" t="s">
        <v>1536</v>
      </c>
      <c r="C375" t="s">
        <v>1534</v>
      </c>
      <c r="D375">
        <v>6958</v>
      </c>
      <c r="E375">
        <f>MONTH(tblExpense[[#This Row],[Date]])</f>
        <v>5</v>
      </c>
      <c r="F375" t="str">
        <f>TEXT(tblExpense[[#This Row],[Date]],"mmm")</f>
        <v>May</v>
      </c>
    </row>
    <row r="376" spans="1:6" x14ac:dyDescent="0.3">
      <c r="A376" s="1">
        <v>45422</v>
      </c>
      <c r="B376" t="s">
        <v>1531</v>
      </c>
      <c r="C376" t="s">
        <v>1537</v>
      </c>
      <c r="D376">
        <v>13727</v>
      </c>
      <c r="E376">
        <f>MONTH(tblExpense[[#This Row],[Date]])</f>
        <v>5</v>
      </c>
      <c r="F376" t="str">
        <f>TEXT(tblExpense[[#This Row],[Date]],"mmm")</f>
        <v>May</v>
      </c>
    </row>
    <row r="377" spans="1:6" x14ac:dyDescent="0.3">
      <c r="A377" s="1">
        <v>45443</v>
      </c>
      <c r="B377" t="s">
        <v>1533</v>
      </c>
      <c r="C377" t="s">
        <v>1530</v>
      </c>
      <c r="D377">
        <v>44350</v>
      </c>
      <c r="E377">
        <f>MONTH(tblExpense[[#This Row],[Date]])</f>
        <v>5</v>
      </c>
      <c r="F377" t="str">
        <f>TEXT(tblExpense[[#This Row],[Date]],"mmm")</f>
        <v>May</v>
      </c>
    </row>
    <row r="378" spans="1:6" x14ac:dyDescent="0.3">
      <c r="A378" s="1">
        <v>45420</v>
      </c>
      <c r="B378" t="s">
        <v>1531</v>
      </c>
      <c r="C378" t="s">
        <v>1537</v>
      </c>
      <c r="D378">
        <v>96355</v>
      </c>
      <c r="E378">
        <f>MONTH(tblExpense[[#This Row],[Date]])</f>
        <v>5</v>
      </c>
      <c r="F378" t="str">
        <f>TEXT(tblExpense[[#This Row],[Date]],"mmm")</f>
        <v>May</v>
      </c>
    </row>
    <row r="379" spans="1:6" x14ac:dyDescent="0.3">
      <c r="A379" s="1">
        <v>45420</v>
      </c>
      <c r="B379" t="s">
        <v>1531</v>
      </c>
      <c r="C379" t="s">
        <v>1537</v>
      </c>
      <c r="D379">
        <v>81267</v>
      </c>
      <c r="E379">
        <f>MONTH(tblExpense[[#This Row],[Date]])</f>
        <v>5</v>
      </c>
      <c r="F379" t="str">
        <f>TEXT(tblExpense[[#This Row],[Date]],"mmm")</f>
        <v>May</v>
      </c>
    </row>
    <row r="380" spans="1:6" x14ac:dyDescent="0.3">
      <c r="A380" s="1">
        <v>45417</v>
      </c>
      <c r="B380" t="s">
        <v>1531</v>
      </c>
      <c r="C380" t="s">
        <v>1530</v>
      </c>
      <c r="D380">
        <v>40537</v>
      </c>
      <c r="E380">
        <f>MONTH(tblExpense[[#This Row],[Date]])</f>
        <v>5</v>
      </c>
      <c r="F380" t="str">
        <f>TEXT(tblExpense[[#This Row],[Date]],"mmm")</f>
        <v>May</v>
      </c>
    </row>
    <row r="381" spans="1:6" x14ac:dyDescent="0.3">
      <c r="A381" s="1">
        <v>45419</v>
      </c>
      <c r="B381" t="s">
        <v>1536</v>
      </c>
      <c r="C381" t="s">
        <v>1537</v>
      </c>
      <c r="D381">
        <v>77496</v>
      </c>
      <c r="E381">
        <f>MONTH(tblExpense[[#This Row],[Date]])</f>
        <v>5</v>
      </c>
      <c r="F381" t="str">
        <f>TEXT(tblExpense[[#This Row],[Date]],"mmm")</f>
        <v>May</v>
      </c>
    </row>
    <row r="382" spans="1:6" x14ac:dyDescent="0.3">
      <c r="A382" s="1">
        <v>45437</v>
      </c>
      <c r="B382" t="s">
        <v>1529</v>
      </c>
      <c r="C382" t="s">
        <v>1535</v>
      </c>
      <c r="D382">
        <v>96299</v>
      </c>
      <c r="E382">
        <f>MONTH(tblExpense[[#This Row],[Date]])</f>
        <v>5</v>
      </c>
      <c r="F382" t="str">
        <f>TEXT(tblExpense[[#This Row],[Date]],"mmm")</f>
        <v>May</v>
      </c>
    </row>
    <row r="383" spans="1:6" x14ac:dyDescent="0.3">
      <c r="A383" s="1">
        <v>45438</v>
      </c>
      <c r="B383" t="s">
        <v>1529</v>
      </c>
      <c r="C383" t="s">
        <v>1535</v>
      </c>
      <c r="D383">
        <v>74185</v>
      </c>
      <c r="E383">
        <f>MONTH(tblExpense[[#This Row],[Date]])</f>
        <v>5</v>
      </c>
      <c r="F383" t="str">
        <f>TEXT(tblExpense[[#This Row],[Date]],"mmm")</f>
        <v>May</v>
      </c>
    </row>
    <row r="384" spans="1:6" x14ac:dyDescent="0.3">
      <c r="A384" s="1">
        <v>45418</v>
      </c>
      <c r="B384" t="s">
        <v>1533</v>
      </c>
      <c r="C384" t="s">
        <v>1532</v>
      </c>
      <c r="D384">
        <v>80843</v>
      </c>
      <c r="E384">
        <f>MONTH(tblExpense[[#This Row],[Date]])</f>
        <v>5</v>
      </c>
      <c r="F384" t="str">
        <f>TEXT(tblExpense[[#This Row],[Date]],"mmm")</f>
        <v>May</v>
      </c>
    </row>
    <row r="385" spans="1:6" x14ac:dyDescent="0.3">
      <c r="A385" s="1">
        <v>45421</v>
      </c>
      <c r="B385" t="s">
        <v>1533</v>
      </c>
      <c r="C385" t="s">
        <v>1537</v>
      </c>
      <c r="D385">
        <v>75960</v>
      </c>
      <c r="E385">
        <f>MONTH(tblExpense[[#This Row],[Date]])</f>
        <v>5</v>
      </c>
      <c r="F385" t="str">
        <f>TEXT(tblExpense[[#This Row],[Date]],"mmm")</f>
        <v>May</v>
      </c>
    </row>
    <row r="386" spans="1:6" x14ac:dyDescent="0.3">
      <c r="A386" s="1">
        <v>45426</v>
      </c>
      <c r="B386" t="s">
        <v>1529</v>
      </c>
      <c r="C386" t="s">
        <v>1532</v>
      </c>
      <c r="D386">
        <v>67983</v>
      </c>
      <c r="E386">
        <f>MONTH(tblExpense[[#This Row],[Date]])</f>
        <v>5</v>
      </c>
      <c r="F386" t="str">
        <f>TEXT(tblExpense[[#This Row],[Date]],"mmm")</f>
        <v>May</v>
      </c>
    </row>
    <row r="387" spans="1:6" x14ac:dyDescent="0.3">
      <c r="A387" s="1">
        <v>45430</v>
      </c>
      <c r="B387" t="s">
        <v>1533</v>
      </c>
      <c r="C387" t="s">
        <v>1530</v>
      </c>
      <c r="D387">
        <v>20189</v>
      </c>
      <c r="E387">
        <f>MONTH(tblExpense[[#This Row],[Date]])</f>
        <v>5</v>
      </c>
      <c r="F387" t="str">
        <f>TEXT(tblExpense[[#This Row],[Date]],"mmm")</f>
        <v>May</v>
      </c>
    </row>
    <row r="388" spans="1:6" x14ac:dyDescent="0.3">
      <c r="A388" s="1">
        <v>45419</v>
      </c>
      <c r="B388" t="s">
        <v>1538</v>
      </c>
      <c r="C388" t="s">
        <v>1535</v>
      </c>
      <c r="D388">
        <v>13223</v>
      </c>
      <c r="E388">
        <f>MONTH(tblExpense[[#This Row],[Date]])</f>
        <v>5</v>
      </c>
      <c r="F388" t="str">
        <f>TEXT(tblExpense[[#This Row],[Date]],"mmm")</f>
        <v>May</v>
      </c>
    </row>
    <row r="389" spans="1:6" x14ac:dyDescent="0.3">
      <c r="A389" s="1">
        <v>45416</v>
      </c>
      <c r="B389" t="s">
        <v>1533</v>
      </c>
      <c r="C389" t="s">
        <v>1534</v>
      </c>
      <c r="D389">
        <v>61656</v>
      </c>
      <c r="E389">
        <f>MONTH(tblExpense[[#This Row],[Date]])</f>
        <v>5</v>
      </c>
      <c r="F389" t="str">
        <f>TEXT(tblExpense[[#This Row],[Date]],"mmm")</f>
        <v>May</v>
      </c>
    </row>
    <row r="390" spans="1:6" x14ac:dyDescent="0.3">
      <c r="A390" s="1">
        <v>45417</v>
      </c>
      <c r="B390" t="s">
        <v>1538</v>
      </c>
      <c r="C390" t="s">
        <v>1532</v>
      </c>
      <c r="D390">
        <v>8624</v>
      </c>
      <c r="E390">
        <f>MONTH(tblExpense[[#This Row],[Date]])</f>
        <v>5</v>
      </c>
      <c r="F390" t="str">
        <f>TEXT(tblExpense[[#This Row],[Date]],"mmm")</f>
        <v>May</v>
      </c>
    </row>
    <row r="391" spans="1:6" x14ac:dyDescent="0.3">
      <c r="A391" s="1">
        <v>45431</v>
      </c>
      <c r="B391" t="s">
        <v>1529</v>
      </c>
      <c r="C391" t="s">
        <v>1534</v>
      </c>
      <c r="D391">
        <v>26708</v>
      </c>
      <c r="E391">
        <f>MONTH(tblExpense[[#This Row],[Date]])</f>
        <v>5</v>
      </c>
      <c r="F391" t="str">
        <f>TEXT(tblExpense[[#This Row],[Date]],"mmm")</f>
        <v>May</v>
      </c>
    </row>
    <row r="392" spans="1:6" x14ac:dyDescent="0.3">
      <c r="A392" s="1">
        <v>45433</v>
      </c>
      <c r="B392" t="s">
        <v>1538</v>
      </c>
      <c r="C392" t="s">
        <v>1537</v>
      </c>
      <c r="D392">
        <v>50117</v>
      </c>
      <c r="E392">
        <f>MONTH(tblExpense[[#This Row],[Date]])</f>
        <v>5</v>
      </c>
      <c r="F392" t="str">
        <f>TEXT(tblExpense[[#This Row],[Date]],"mmm")</f>
        <v>May</v>
      </c>
    </row>
    <row r="393" spans="1:6" x14ac:dyDescent="0.3">
      <c r="A393" s="1">
        <v>45436</v>
      </c>
      <c r="B393" t="s">
        <v>1531</v>
      </c>
      <c r="C393" t="s">
        <v>1537</v>
      </c>
      <c r="D393">
        <v>18485</v>
      </c>
      <c r="E393">
        <f>MONTH(tblExpense[[#This Row],[Date]])</f>
        <v>5</v>
      </c>
      <c r="F393" t="str">
        <f>TEXT(tblExpense[[#This Row],[Date]],"mmm")</f>
        <v>May</v>
      </c>
    </row>
    <row r="394" spans="1:6" x14ac:dyDescent="0.3">
      <c r="A394" s="1">
        <v>45440</v>
      </c>
      <c r="B394" t="s">
        <v>1538</v>
      </c>
      <c r="C394" t="s">
        <v>1537</v>
      </c>
      <c r="D394">
        <v>34432</v>
      </c>
      <c r="E394">
        <f>MONTH(tblExpense[[#This Row],[Date]])</f>
        <v>5</v>
      </c>
      <c r="F394" t="str">
        <f>TEXT(tblExpense[[#This Row],[Date]],"mmm")</f>
        <v>May</v>
      </c>
    </row>
    <row r="395" spans="1:6" x14ac:dyDescent="0.3">
      <c r="A395" s="1">
        <v>45443</v>
      </c>
      <c r="B395" t="s">
        <v>1536</v>
      </c>
      <c r="C395" t="s">
        <v>1534</v>
      </c>
      <c r="D395">
        <v>20113</v>
      </c>
      <c r="E395">
        <f>MONTH(tblExpense[[#This Row],[Date]])</f>
        <v>5</v>
      </c>
      <c r="F395" t="str">
        <f>TEXT(tblExpense[[#This Row],[Date]],"mmm")</f>
        <v>May</v>
      </c>
    </row>
    <row r="396" spans="1:6" x14ac:dyDescent="0.3">
      <c r="A396" s="1">
        <v>45425</v>
      </c>
      <c r="B396" t="s">
        <v>1529</v>
      </c>
      <c r="C396" t="s">
        <v>1534</v>
      </c>
      <c r="D396">
        <v>20250</v>
      </c>
      <c r="E396">
        <f>MONTH(tblExpense[[#This Row],[Date]])</f>
        <v>5</v>
      </c>
      <c r="F396" t="str">
        <f>TEXT(tblExpense[[#This Row],[Date]],"mmm")</f>
        <v>May</v>
      </c>
    </row>
    <row r="397" spans="1:6" x14ac:dyDescent="0.3">
      <c r="A397" s="1">
        <v>45416</v>
      </c>
      <c r="B397" t="s">
        <v>1536</v>
      </c>
      <c r="C397" t="s">
        <v>1537</v>
      </c>
      <c r="D397">
        <v>56937</v>
      </c>
      <c r="E397">
        <f>MONTH(tblExpense[[#This Row],[Date]])</f>
        <v>5</v>
      </c>
      <c r="F397" t="str">
        <f>TEXT(tblExpense[[#This Row],[Date]],"mmm")</f>
        <v>May</v>
      </c>
    </row>
    <row r="398" spans="1:6" x14ac:dyDescent="0.3">
      <c r="A398" s="1">
        <v>45419</v>
      </c>
      <c r="B398" t="s">
        <v>1529</v>
      </c>
      <c r="C398" t="s">
        <v>1537</v>
      </c>
      <c r="D398">
        <v>89505</v>
      </c>
      <c r="E398">
        <f>MONTH(tblExpense[[#This Row],[Date]])</f>
        <v>5</v>
      </c>
      <c r="F398" t="str">
        <f>TEXT(tblExpense[[#This Row],[Date]],"mmm")</f>
        <v>May</v>
      </c>
    </row>
    <row r="399" spans="1:6" x14ac:dyDescent="0.3">
      <c r="A399" s="1">
        <v>45418</v>
      </c>
      <c r="B399" t="s">
        <v>1531</v>
      </c>
      <c r="C399" t="s">
        <v>1534</v>
      </c>
      <c r="D399">
        <v>95064</v>
      </c>
      <c r="E399">
        <f>MONTH(tblExpense[[#This Row],[Date]])</f>
        <v>5</v>
      </c>
      <c r="F399" t="str">
        <f>TEXT(tblExpense[[#This Row],[Date]],"mmm")</f>
        <v>May</v>
      </c>
    </row>
    <row r="400" spans="1:6" x14ac:dyDescent="0.3">
      <c r="A400" s="1">
        <v>45418</v>
      </c>
      <c r="B400" t="s">
        <v>1536</v>
      </c>
      <c r="C400" t="s">
        <v>1535</v>
      </c>
      <c r="D400">
        <v>47970</v>
      </c>
      <c r="E400">
        <f>MONTH(tblExpense[[#This Row],[Date]])</f>
        <v>5</v>
      </c>
      <c r="F400" t="str">
        <f>TEXT(tblExpense[[#This Row],[Date]],"mmm")</f>
        <v>May</v>
      </c>
    </row>
    <row r="401" spans="1:6" x14ac:dyDescent="0.3">
      <c r="A401" s="1">
        <v>45443</v>
      </c>
      <c r="B401" t="s">
        <v>1529</v>
      </c>
      <c r="C401" t="s">
        <v>1530</v>
      </c>
      <c r="D401">
        <v>71753</v>
      </c>
      <c r="E401">
        <f>MONTH(tblExpense[[#This Row],[Date]])</f>
        <v>5</v>
      </c>
      <c r="F401" t="str">
        <f>TEXT(tblExpense[[#This Row],[Date]],"mmm")</f>
        <v>May</v>
      </c>
    </row>
    <row r="402" spans="1:6" x14ac:dyDescent="0.3">
      <c r="A402" s="1">
        <v>45413</v>
      </c>
      <c r="B402" t="s">
        <v>1529</v>
      </c>
      <c r="C402" t="s">
        <v>1537</v>
      </c>
      <c r="D402">
        <v>44928</v>
      </c>
      <c r="E402">
        <f>MONTH(tblExpense[[#This Row],[Date]])</f>
        <v>5</v>
      </c>
      <c r="F402" t="str">
        <f>TEXT(tblExpense[[#This Row],[Date]],"mmm")</f>
        <v>May</v>
      </c>
    </row>
    <row r="403" spans="1:6" x14ac:dyDescent="0.3">
      <c r="A403" s="1">
        <v>45413</v>
      </c>
      <c r="B403" t="s">
        <v>1538</v>
      </c>
      <c r="C403" t="s">
        <v>1535</v>
      </c>
      <c r="D403">
        <v>89802</v>
      </c>
      <c r="E403">
        <f>MONTH(tblExpense[[#This Row],[Date]])</f>
        <v>5</v>
      </c>
      <c r="F403" t="str">
        <f>TEXT(tblExpense[[#This Row],[Date]],"mmm")</f>
        <v>May</v>
      </c>
    </row>
    <row r="404" spans="1:6" x14ac:dyDescent="0.3">
      <c r="A404" s="1">
        <v>45439</v>
      </c>
      <c r="B404" t="s">
        <v>1533</v>
      </c>
      <c r="C404" t="s">
        <v>1537</v>
      </c>
      <c r="D404">
        <v>71356</v>
      </c>
      <c r="E404">
        <f>MONTH(tblExpense[[#This Row],[Date]])</f>
        <v>5</v>
      </c>
      <c r="F404" t="str">
        <f>TEXT(tblExpense[[#This Row],[Date]],"mmm")</f>
        <v>May</v>
      </c>
    </row>
    <row r="405" spans="1:6" x14ac:dyDescent="0.3">
      <c r="A405" s="1">
        <v>45435</v>
      </c>
      <c r="B405" t="s">
        <v>1529</v>
      </c>
      <c r="C405" t="s">
        <v>1532</v>
      </c>
      <c r="D405">
        <v>60481</v>
      </c>
      <c r="E405">
        <f>MONTH(tblExpense[[#This Row],[Date]])</f>
        <v>5</v>
      </c>
      <c r="F405" t="str">
        <f>TEXT(tblExpense[[#This Row],[Date]],"mmm")</f>
        <v>May</v>
      </c>
    </row>
    <row r="406" spans="1:6" x14ac:dyDescent="0.3">
      <c r="A406" s="1">
        <v>45432</v>
      </c>
      <c r="B406" t="s">
        <v>1531</v>
      </c>
      <c r="C406" t="s">
        <v>1534</v>
      </c>
      <c r="D406">
        <v>84843</v>
      </c>
      <c r="E406">
        <f>MONTH(tblExpense[[#This Row],[Date]])</f>
        <v>5</v>
      </c>
      <c r="F406" t="str">
        <f>TEXT(tblExpense[[#This Row],[Date]],"mmm")</f>
        <v>May</v>
      </c>
    </row>
    <row r="407" spans="1:6" x14ac:dyDescent="0.3">
      <c r="A407" s="1">
        <v>45428</v>
      </c>
      <c r="B407" t="s">
        <v>1531</v>
      </c>
      <c r="C407" t="s">
        <v>1530</v>
      </c>
      <c r="D407">
        <v>95985</v>
      </c>
      <c r="E407">
        <f>MONTH(tblExpense[[#This Row],[Date]])</f>
        <v>5</v>
      </c>
      <c r="F407" t="str">
        <f>TEXT(tblExpense[[#This Row],[Date]],"mmm")</f>
        <v>May</v>
      </c>
    </row>
    <row r="408" spans="1:6" x14ac:dyDescent="0.3">
      <c r="A408" s="1">
        <v>45420</v>
      </c>
      <c r="B408" t="s">
        <v>1538</v>
      </c>
      <c r="C408" t="s">
        <v>1532</v>
      </c>
      <c r="D408">
        <v>10336</v>
      </c>
      <c r="E408">
        <f>MONTH(tblExpense[[#This Row],[Date]])</f>
        <v>5</v>
      </c>
      <c r="F408" t="str">
        <f>TEXT(tblExpense[[#This Row],[Date]],"mmm")</f>
        <v>May</v>
      </c>
    </row>
    <row r="409" spans="1:6" x14ac:dyDescent="0.3">
      <c r="A409" s="1">
        <v>45427</v>
      </c>
      <c r="B409" t="s">
        <v>1529</v>
      </c>
      <c r="C409" t="s">
        <v>1534</v>
      </c>
      <c r="D409">
        <v>46356</v>
      </c>
      <c r="E409">
        <f>MONTH(tblExpense[[#This Row],[Date]])</f>
        <v>5</v>
      </c>
      <c r="F409" t="str">
        <f>TEXT(tblExpense[[#This Row],[Date]],"mmm")</f>
        <v>May</v>
      </c>
    </row>
    <row r="410" spans="1:6" x14ac:dyDescent="0.3">
      <c r="A410" s="1">
        <v>45423</v>
      </c>
      <c r="B410" t="s">
        <v>1529</v>
      </c>
      <c r="C410" t="s">
        <v>1534</v>
      </c>
      <c r="D410">
        <v>56903</v>
      </c>
      <c r="E410">
        <f>MONTH(tblExpense[[#This Row],[Date]])</f>
        <v>5</v>
      </c>
      <c r="F410" t="str">
        <f>TEXT(tblExpense[[#This Row],[Date]],"mmm")</f>
        <v>May</v>
      </c>
    </row>
    <row r="411" spans="1:6" x14ac:dyDescent="0.3">
      <c r="A411" s="1">
        <v>45438</v>
      </c>
      <c r="B411" t="s">
        <v>1536</v>
      </c>
      <c r="C411" t="s">
        <v>1535</v>
      </c>
      <c r="D411">
        <v>94360</v>
      </c>
      <c r="E411">
        <f>MONTH(tblExpense[[#This Row],[Date]])</f>
        <v>5</v>
      </c>
      <c r="F411" t="str">
        <f>TEXT(tblExpense[[#This Row],[Date]],"mmm")</f>
        <v>May</v>
      </c>
    </row>
    <row r="412" spans="1:6" x14ac:dyDescent="0.3">
      <c r="A412" s="1">
        <v>45417</v>
      </c>
      <c r="B412" t="s">
        <v>1538</v>
      </c>
      <c r="C412" t="s">
        <v>1530</v>
      </c>
      <c r="D412">
        <v>51223</v>
      </c>
      <c r="E412">
        <f>MONTH(tblExpense[[#This Row],[Date]])</f>
        <v>5</v>
      </c>
      <c r="F412" t="str">
        <f>TEXT(tblExpense[[#This Row],[Date]],"mmm")</f>
        <v>May</v>
      </c>
    </row>
    <row r="413" spans="1:6" x14ac:dyDescent="0.3">
      <c r="A413" s="1">
        <v>45438</v>
      </c>
      <c r="B413" t="s">
        <v>1529</v>
      </c>
      <c r="C413" t="s">
        <v>1535</v>
      </c>
      <c r="D413">
        <v>80427</v>
      </c>
      <c r="E413">
        <f>MONTH(tblExpense[[#This Row],[Date]])</f>
        <v>5</v>
      </c>
      <c r="F413" t="str">
        <f>TEXT(tblExpense[[#This Row],[Date]],"mmm")</f>
        <v>May</v>
      </c>
    </row>
    <row r="414" spans="1:6" x14ac:dyDescent="0.3">
      <c r="A414" s="1">
        <v>45435</v>
      </c>
      <c r="B414" t="s">
        <v>1533</v>
      </c>
      <c r="C414" t="s">
        <v>1537</v>
      </c>
      <c r="D414">
        <v>11331</v>
      </c>
      <c r="E414">
        <f>MONTH(tblExpense[[#This Row],[Date]])</f>
        <v>5</v>
      </c>
      <c r="F414" t="str">
        <f>TEXT(tblExpense[[#This Row],[Date]],"mmm")</f>
        <v>May</v>
      </c>
    </row>
    <row r="415" spans="1:6" x14ac:dyDescent="0.3">
      <c r="A415" s="1">
        <v>45430</v>
      </c>
      <c r="B415" t="s">
        <v>1531</v>
      </c>
      <c r="C415" t="s">
        <v>1534</v>
      </c>
      <c r="D415">
        <v>78973</v>
      </c>
      <c r="E415">
        <f>MONTH(tblExpense[[#This Row],[Date]])</f>
        <v>5</v>
      </c>
      <c r="F415" t="str">
        <f>TEXT(tblExpense[[#This Row],[Date]],"mmm")</f>
        <v>May</v>
      </c>
    </row>
    <row r="416" spans="1:6" x14ac:dyDescent="0.3">
      <c r="A416" s="1">
        <v>45427</v>
      </c>
      <c r="B416" t="s">
        <v>1529</v>
      </c>
      <c r="C416" t="s">
        <v>1532</v>
      </c>
      <c r="D416">
        <v>96362</v>
      </c>
      <c r="E416">
        <f>MONTH(tblExpense[[#This Row],[Date]])</f>
        <v>5</v>
      </c>
      <c r="F416" t="str">
        <f>TEXT(tblExpense[[#This Row],[Date]],"mmm")</f>
        <v>May</v>
      </c>
    </row>
    <row r="417" spans="1:6" x14ac:dyDescent="0.3">
      <c r="A417" s="1">
        <v>45434</v>
      </c>
      <c r="B417" t="s">
        <v>1538</v>
      </c>
      <c r="C417" t="s">
        <v>1530</v>
      </c>
      <c r="D417">
        <v>6547</v>
      </c>
      <c r="E417">
        <f>MONTH(tblExpense[[#This Row],[Date]])</f>
        <v>5</v>
      </c>
      <c r="F417" t="str">
        <f>TEXT(tblExpense[[#This Row],[Date]],"mmm")</f>
        <v>May</v>
      </c>
    </row>
    <row r="418" spans="1:6" x14ac:dyDescent="0.3">
      <c r="A418" s="1">
        <v>45423</v>
      </c>
      <c r="B418" t="s">
        <v>1531</v>
      </c>
      <c r="C418" t="s">
        <v>1530</v>
      </c>
      <c r="D418">
        <v>46375</v>
      </c>
      <c r="E418">
        <f>MONTH(tblExpense[[#This Row],[Date]])</f>
        <v>5</v>
      </c>
      <c r="F418" t="str">
        <f>TEXT(tblExpense[[#This Row],[Date]],"mmm")</f>
        <v>May</v>
      </c>
    </row>
    <row r="419" spans="1:6" x14ac:dyDescent="0.3">
      <c r="A419" s="1">
        <v>45425</v>
      </c>
      <c r="B419" t="s">
        <v>1533</v>
      </c>
      <c r="C419" t="s">
        <v>1535</v>
      </c>
      <c r="D419">
        <v>60799</v>
      </c>
      <c r="E419">
        <f>MONTH(tblExpense[[#This Row],[Date]])</f>
        <v>5</v>
      </c>
      <c r="F419" t="str">
        <f>TEXT(tblExpense[[#This Row],[Date]],"mmm")</f>
        <v>May</v>
      </c>
    </row>
    <row r="420" spans="1:6" x14ac:dyDescent="0.3">
      <c r="A420" s="1">
        <v>45438</v>
      </c>
      <c r="B420" t="s">
        <v>1538</v>
      </c>
      <c r="C420" t="s">
        <v>1530</v>
      </c>
      <c r="D420">
        <v>24026</v>
      </c>
      <c r="E420">
        <f>MONTH(tblExpense[[#This Row],[Date]])</f>
        <v>5</v>
      </c>
      <c r="F420" t="str">
        <f>TEXT(tblExpense[[#This Row],[Date]],"mmm")</f>
        <v>May</v>
      </c>
    </row>
    <row r="421" spans="1:6" x14ac:dyDescent="0.3">
      <c r="A421" s="1">
        <v>45440</v>
      </c>
      <c r="B421" t="s">
        <v>1533</v>
      </c>
      <c r="C421" t="s">
        <v>1535</v>
      </c>
      <c r="D421">
        <v>51526</v>
      </c>
      <c r="E421">
        <f>MONTH(tblExpense[[#This Row],[Date]])</f>
        <v>5</v>
      </c>
      <c r="F421" t="str">
        <f>TEXT(tblExpense[[#This Row],[Date]],"mmm")</f>
        <v>May</v>
      </c>
    </row>
    <row r="422" spans="1:6" x14ac:dyDescent="0.3">
      <c r="A422" s="1">
        <v>45416</v>
      </c>
      <c r="B422" t="s">
        <v>1536</v>
      </c>
      <c r="C422" t="s">
        <v>1535</v>
      </c>
      <c r="D422">
        <v>42182</v>
      </c>
      <c r="E422">
        <f>MONTH(tblExpense[[#This Row],[Date]])</f>
        <v>5</v>
      </c>
      <c r="F422" t="str">
        <f>TEXT(tblExpense[[#This Row],[Date]],"mmm")</f>
        <v>May</v>
      </c>
    </row>
    <row r="423" spans="1:6" x14ac:dyDescent="0.3">
      <c r="A423" s="1">
        <v>45417</v>
      </c>
      <c r="B423" t="s">
        <v>1533</v>
      </c>
      <c r="C423" t="s">
        <v>1534</v>
      </c>
      <c r="D423">
        <v>75530</v>
      </c>
      <c r="E423">
        <f>MONTH(tblExpense[[#This Row],[Date]])</f>
        <v>5</v>
      </c>
      <c r="F423" t="str">
        <f>TEXT(tblExpense[[#This Row],[Date]],"mmm")</f>
        <v>May</v>
      </c>
    </row>
    <row r="424" spans="1:6" x14ac:dyDescent="0.3">
      <c r="A424" s="1">
        <v>45417</v>
      </c>
      <c r="B424" t="s">
        <v>1533</v>
      </c>
      <c r="C424" t="s">
        <v>1537</v>
      </c>
      <c r="D424">
        <v>10978</v>
      </c>
      <c r="E424">
        <f>MONTH(tblExpense[[#This Row],[Date]])</f>
        <v>5</v>
      </c>
      <c r="F424" t="str">
        <f>TEXT(tblExpense[[#This Row],[Date]],"mmm")</f>
        <v>May</v>
      </c>
    </row>
    <row r="425" spans="1:6" x14ac:dyDescent="0.3">
      <c r="A425" s="1">
        <v>45429</v>
      </c>
      <c r="B425" t="s">
        <v>1533</v>
      </c>
      <c r="C425" t="s">
        <v>1534</v>
      </c>
      <c r="D425">
        <v>34040</v>
      </c>
      <c r="E425">
        <f>MONTH(tblExpense[[#This Row],[Date]])</f>
        <v>5</v>
      </c>
      <c r="F425" t="str">
        <f>TEXT(tblExpense[[#This Row],[Date]],"mmm")</f>
        <v>May</v>
      </c>
    </row>
    <row r="426" spans="1:6" x14ac:dyDescent="0.3">
      <c r="A426" s="1">
        <v>45425</v>
      </c>
      <c r="B426" t="s">
        <v>1529</v>
      </c>
      <c r="C426" t="s">
        <v>1530</v>
      </c>
      <c r="D426">
        <v>80864</v>
      </c>
      <c r="E426">
        <f>MONTH(tblExpense[[#This Row],[Date]])</f>
        <v>5</v>
      </c>
      <c r="F426" t="str">
        <f>TEXT(tblExpense[[#This Row],[Date]],"mmm")</f>
        <v>May</v>
      </c>
    </row>
    <row r="427" spans="1:6" x14ac:dyDescent="0.3">
      <c r="A427" s="1">
        <v>45426</v>
      </c>
      <c r="B427" t="s">
        <v>1529</v>
      </c>
      <c r="C427" t="s">
        <v>1530</v>
      </c>
      <c r="D427">
        <v>61166</v>
      </c>
      <c r="E427">
        <f>MONTH(tblExpense[[#This Row],[Date]])</f>
        <v>5</v>
      </c>
      <c r="F427" t="str">
        <f>TEXT(tblExpense[[#This Row],[Date]],"mmm")</f>
        <v>May</v>
      </c>
    </row>
    <row r="428" spans="1:6" x14ac:dyDescent="0.3">
      <c r="A428" s="1">
        <v>45418</v>
      </c>
      <c r="B428" t="s">
        <v>1536</v>
      </c>
      <c r="C428" t="s">
        <v>1535</v>
      </c>
      <c r="D428">
        <v>69962</v>
      </c>
      <c r="E428">
        <f>MONTH(tblExpense[[#This Row],[Date]])</f>
        <v>5</v>
      </c>
      <c r="F428" t="str">
        <f>TEXT(tblExpense[[#This Row],[Date]],"mmm")</f>
        <v>May</v>
      </c>
    </row>
    <row r="429" spans="1:6" x14ac:dyDescent="0.3">
      <c r="A429" s="1">
        <v>45427</v>
      </c>
      <c r="B429" t="s">
        <v>1533</v>
      </c>
      <c r="C429" t="s">
        <v>1537</v>
      </c>
      <c r="D429">
        <v>77535</v>
      </c>
      <c r="E429">
        <f>MONTH(tblExpense[[#This Row],[Date]])</f>
        <v>5</v>
      </c>
      <c r="F429" t="str">
        <f>TEXT(tblExpense[[#This Row],[Date]],"mmm")</f>
        <v>May</v>
      </c>
    </row>
    <row r="430" spans="1:6" x14ac:dyDescent="0.3">
      <c r="A430" s="1">
        <v>45429</v>
      </c>
      <c r="B430" t="s">
        <v>1529</v>
      </c>
      <c r="C430" t="s">
        <v>1537</v>
      </c>
      <c r="D430">
        <v>38787</v>
      </c>
      <c r="E430">
        <f>MONTH(tblExpense[[#This Row],[Date]])</f>
        <v>5</v>
      </c>
      <c r="F430" t="str">
        <f>TEXT(tblExpense[[#This Row],[Date]],"mmm")</f>
        <v>May</v>
      </c>
    </row>
    <row r="431" spans="1:6" x14ac:dyDescent="0.3">
      <c r="A431" s="1">
        <v>45434</v>
      </c>
      <c r="B431" t="s">
        <v>1533</v>
      </c>
      <c r="C431" t="s">
        <v>1534</v>
      </c>
      <c r="D431">
        <v>5944</v>
      </c>
      <c r="E431">
        <f>MONTH(tblExpense[[#This Row],[Date]])</f>
        <v>5</v>
      </c>
      <c r="F431" t="str">
        <f>TEXT(tblExpense[[#This Row],[Date]],"mmm")</f>
        <v>May</v>
      </c>
    </row>
    <row r="432" spans="1:6" x14ac:dyDescent="0.3">
      <c r="A432" s="1">
        <v>45433</v>
      </c>
      <c r="B432" t="s">
        <v>1529</v>
      </c>
      <c r="C432" t="s">
        <v>1530</v>
      </c>
      <c r="D432">
        <v>20026</v>
      </c>
      <c r="E432">
        <f>MONTH(tblExpense[[#This Row],[Date]])</f>
        <v>5</v>
      </c>
      <c r="F432" t="str">
        <f>TEXT(tblExpense[[#This Row],[Date]],"mmm")</f>
        <v>May</v>
      </c>
    </row>
    <row r="433" spans="1:6" x14ac:dyDescent="0.3">
      <c r="A433" s="1">
        <v>45422</v>
      </c>
      <c r="B433" t="s">
        <v>1531</v>
      </c>
      <c r="C433" t="s">
        <v>1530</v>
      </c>
      <c r="D433">
        <v>31529</v>
      </c>
      <c r="E433">
        <f>MONTH(tblExpense[[#This Row],[Date]])</f>
        <v>5</v>
      </c>
      <c r="F433" t="str">
        <f>TEXT(tblExpense[[#This Row],[Date]],"mmm")</f>
        <v>May</v>
      </c>
    </row>
    <row r="434" spans="1:6" x14ac:dyDescent="0.3">
      <c r="A434" s="1">
        <v>45432</v>
      </c>
      <c r="B434" t="s">
        <v>1529</v>
      </c>
      <c r="C434" t="s">
        <v>1532</v>
      </c>
      <c r="D434">
        <v>6768</v>
      </c>
      <c r="E434">
        <f>MONTH(tblExpense[[#This Row],[Date]])</f>
        <v>5</v>
      </c>
      <c r="F434" t="str">
        <f>TEXT(tblExpense[[#This Row],[Date]],"mmm")</f>
        <v>May</v>
      </c>
    </row>
    <row r="435" spans="1:6" x14ac:dyDescent="0.3">
      <c r="A435" s="1">
        <v>45423</v>
      </c>
      <c r="B435" t="s">
        <v>1531</v>
      </c>
      <c r="C435" t="s">
        <v>1532</v>
      </c>
      <c r="D435">
        <v>70136</v>
      </c>
      <c r="E435">
        <f>MONTH(tblExpense[[#This Row],[Date]])</f>
        <v>5</v>
      </c>
      <c r="F435" t="str">
        <f>TEXT(tblExpense[[#This Row],[Date]],"mmm")</f>
        <v>May</v>
      </c>
    </row>
    <row r="436" spans="1:6" x14ac:dyDescent="0.3">
      <c r="A436" s="1">
        <v>45440</v>
      </c>
      <c r="B436" t="s">
        <v>1529</v>
      </c>
      <c r="C436" t="s">
        <v>1532</v>
      </c>
      <c r="D436">
        <v>36242</v>
      </c>
      <c r="E436">
        <f>MONTH(tblExpense[[#This Row],[Date]])</f>
        <v>5</v>
      </c>
      <c r="F436" t="str">
        <f>TEXT(tblExpense[[#This Row],[Date]],"mmm")</f>
        <v>May</v>
      </c>
    </row>
    <row r="437" spans="1:6" x14ac:dyDescent="0.3">
      <c r="A437" s="1">
        <v>45443</v>
      </c>
      <c r="B437" t="s">
        <v>1533</v>
      </c>
      <c r="C437" t="s">
        <v>1534</v>
      </c>
      <c r="D437">
        <v>97931</v>
      </c>
      <c r="E437">
        <f>MONTH(tblExpense[[#This Row],[Date]])</f>
        <v>5</v>
      </c>
      <c r="F437" t="str">
        <f>TEXT(tblExpense[[#This Row],[Date]],"mmm")</f>
        <v>May</v>
      </c>
    </row>
    <row r="438" spans="1:6" x14ac:dyDescent="0.3">
      <c r="A438" s="1">
        <v>45430</v>
      </c>
      <c r="B438" t="s">
        <v>1533</v>
      </c>
      <c r="C438" t="s">
        <v>1530</v>
      </c>
      <c r="D438">
        <v>39484</v>
      </c>
      <c r="E438">
        <f>MONTH(tblExpense[[#This Row],[Date]])</f>
        <v>5</v>
      </c>
      <c r="F438" t="str">
        <f>TEXT(tblExpense[[#This Row],[Date]],"mmm")</f>
        <v>May</v>
      </c>
    </row>
    <row r="439" spans="1:6" x14ac:dyDescent="0.3">
      <c r="A439" s="1">
        <v>45433</v>
      </c>
      <c r="B439" t="s">
        <v>1531</v>
      </c>
      <c r="C439" t="s">
        <v>1530</v>
      </c>
      <c r="D439">
        <v>77198</v>
      </c>
      <c r="E439">
        <f>MONTH(tblExpense[[#This Row],[Date]])</f>
        <v>5</v>
      </c>
      <c r="F439" t="str">
        <f>TEXT(tblExpense[[#This Row],[Date]],"mmm")</f>
        <v>May</v>
      </c>
    </row>
    <row r="440" spans="1:6" x14ac:dyDescent="0.3">
      <c r="A440" s="1">
        <v>45436</v>
      </c>
      <c r="B440" t="s">
        <v>1536</v>
      </c>
      <c r="C440" t="s">
        <v>1530</v>
      </c>
      <c r="D440">
        <v>5407</v>
      </c>
      <c r="E440">
        <f>MONTH(tblExpense[[#This Row],[Date]])</f>
        <v>5</v>
      </c>
      <c r="F440" t="str">
        <f>TEXT(tblExpense[[#This Row],[Date]],"mmm")</f>
        <v>May</v>
      </c>
    </row>
    <row r="441" spans="1:6" x14ac:dyDescent="0.3">
      <c r="A441" s="1">
        <v>45422</v>
      </c>
      <c r="B441" t="s">
        <v>1536</v>
      </c>
      <c r="C441" t="s">
        <v>1532</v>
      </c>
      <c r="D441">
        <v>68697</v>
      </c>
      <c r="E441">
        <f>MONTH(tblExpense[[#This Row],[Date]])</f>
        <v>5</v>
      </c>
      <c r="F441" t="str">
        <f>TEXT(tblExpense[[#This Row],[Date]],"mmm")</f>
        <v>May</v>
      </c>
    </row>
    <row r="442" spans="1:6" x14ac:dyDescent="0.3">
      <c r="A442" s="1">
        <v>45423</v>
      </c>
      <c r="B442" t="s">
        <v>1538</v>
      </c>
      <c r="C442" t="s">
        <v>1537</v>
      </c>
      <c r="D442">
        <v>45779</v>
      </c>
      <c r="E442">
        <f>MONTH(tblExpense[[#This Row],[Date]])</f>
        <v>5</v>
      </c>
      <c r="F442" t="str">
        <f>TEXT(tblExpense[[#This Row],[Date]],"mmm")</f>
        <v>May</v>
      </c>
    </row>
    <row r="443" spans="1:6" x14ac:dyDescent="0.3">
      <c r="A443" s="1">
        <v>45419</v>
      </c>
      <c r="B443" t="s">
        <v>1536</v>
      </c>
      <c r="C443" t="s">
        <v>1532</v>
      </c>
      <c r="D443">
        <v>22198</v>
      </c>
      <c r="E443">
        <f>MONTH(tblExpense[[#This Row],[Date]])</f>
        <v>5</v>
      </c>
      <c r="F443" t="str">
        <f>TEXT(tblExpense[[#This Row],[Date]],"mmm")</f>
        <v>May</v>
      </c>
    </row>
    <row r="444" spans="1:6" x14ac:dyDescent="0.3">
      <c r="A444" s="1">
        <v>45416</v>
      </c>
      <c r="B444" t="s">
        <v>1536</v>
      </c>
      <c r="C444" t="s">
        <v>1535</v>
      </c>
      <c r="D444">
        <v>56716</v>
      </c>
      <c r="E444">
        <f>MONTH(tblExpense[[#This Row],[Date]])</f>
        <v>5</v>
      </c>
      <c r="F444" t="str">
        <f>TEXT(tblExpense[[#This Row],[Date]],"mmm")</f>
        <v>May</v>
      </c>
    </row>
    <row r="445" spans="1:6" x14ac:dyDescent="0.3">
      <c r="A445" s="1">
        <v>45422</v>
      </c>
      <c r="B445" t="s">
        <v>1533</v>
      </c>
      <c r="C445" t="s">
        <v>1532</v>
      </c>
      <c r="D445">
        <v>84549</v>
      </c>
      <c r="E445">
        <f>MONTH(tblExpense[[#This Row],[Date]])</f>
        <v>5</v>
      </c>
      <c r="F445" t="str">
        <f>TEXT(tblExpense[[#This Row],[Date]],"mmm")</f>
        <v>May</v>
      </c>
    </row>
    <row r="446" spans="1:6" x14ac:dyDescent="0.3">
      <c r="A446" s="1">
        <v>45439</v>
      </c>
      <c r="B446" t="s">
        <v>1536</v>
      </c>
      <c r="C446" t="s">
        <v>1530</v>
      </c>
      <c r="D446">
        <v>35895</v>
      </c>
      <c r="E446">
        <f>MONTH(tblExpense[[#This Row],[Date]])</f>
        <v>5</v>
      </c>
      <c r="F446" t="str">
        <f>TEXT(tblExpense[[#This Row],[Date]],"mmm")</f>
        <v>May</v>
      </c>
    </row>
    <row r="447" spans="1:6" x14ac:dyDescent="0.3">
      <c r="A447" s="1">
        <v>45434</v>
      </c>
      <c r="B447" t="s">
        <v>1531</v>
      </c>
      <c r="C447" t="s">
        <v>1530</v>
      </c>
      <c r="D447">
        <v>94069</v>
      </c>
      <c r="E447">
        <f>MONTH(tblExpense[[#This Row],[Date]])</f>
        <v>5</v>
      </c>
      <c r="F447" t="str">
        <f>TEXT(tblExpense[[#This Row],[Date]],"mmm")</f>
        <v>May</v>
      </c>
    </row>
    <row r="448" spans="1:6" x14ac:dyDescent="0.3">
      <c r="A448" s="1">
        <v>45414</v>
      </c>
      <c r="B448" t="s">
        <v>1538</v>
      </c>
      <c r="C448" t="s">
        <v>1534</v>
      </c>
      <c r="D448">
        <v>89914</v>
      </c>
      <c r="E448">
        <f>MONTH(tblExpense[[#This Row],[Date]])</f>
        <v>5</v>
      </c>
      <c r="F448" t="str">
        <f>TEXT(tblExpense[[#This Row],[Date]],"mmm")</f>
        <v>May</v>
      </c>
    </row>
    <row r="449" spans="1:6" x14ac:dyDescent="0.3">
      <c r="A449" s="1">
        <v>45418</v>
      </c>
      <c r="B449" t="s">
        <v>1533</v>
      </c>
      <c r="C449" t="s">
        <v>1537</v>
      </c>
      <c r="D449">
        <v>11565</v>
      </c>
      <c r="E449">
        <f>MONTH(tblExpense[[#This Row],[Date]])</f>
        <v>5</v>
      </c>
      <c r="F449" t="str">
        <f>TEXT(tblExpense[[#This Row],[Date]],"mmm")</f>
        <v>May</v>
      </c>
    </row>
    <row r="450" spans="1:6" x14ac:dyDescent="0.3">
      <c r="A450" s="1">
        <v>45441</v>
      </c>
      <c r="B450" t="s">
        <v>1529</v>
      </c>
      <c r="C450" t="s">
        <v>1534</v>
      </c>
      <c r="D450">
        <v>89932</v>
      </c>
      <c r="E450">
        <f>MONTH(tblExpense[[#This Row],[Date]])</f>
        <v>5</v>
      </c>
      <c r="F450" t="str">
        <f>TEXT(tblExpense[[#This Row],[Date]],"mmm")</f>
        <v>May</v>
      </c>
    </row>
    <row r="451" spans="1:6" x14ac:dyDescent="0.3">
      <c r="A451" s="1">
        <v>45416</v>
      </c>
      <c r="B451" t="s">
        <v>1531</v>
      </c>
      <c r="C451" t="s">
        <v>1537</v>
      </c>
      <c r="D451">
        <v>28558</v>
      </c>
      <c r="E451">
        <f>MONTH(tblExpense[[#This Row],[Date]])</f>
        <v>5</v>
      </c>
      <c r="F451" t="str">
        <f>TEXT(tblExpense[[#This Row],[Date]],"mmm")</f>
        <v>May</v>
      </c>
    </row>
    <row r="452" spans="1:6" x14ac:dyDescent="0.3">
      <c r="A452" s="1">
        <v>45431</v>
      </c>
      <c r="B452" t="s">
        <v>1536</v>
      </c>
      <c r="C452" t="s">
        <v>1537</v>
      </c>
      <c r="D452">
        <v>79177</v>
      </c>
      <c r="E452">
        <f>MONTH(tblExpense[[#This Row],[Date]])</f>
        <v>5</v>
      </c>
      <c r="F452" t="str">
        <f>TEXT(tblExpense[[#This Row],[Date]],"mmm")</f>
        <v>May</v>
      </c>
    </row>
    <row r="453" spans="1:6" x14ac:dyDescent="0.3">
      <c r="A453" s="1">
        <v>45416</v>
      </c>
      <c r="B453" t="s">
        <v>1536</v>
      </c>
      <c r="C453" t="s">
        <v>1535</v>
      </c>
      <c r="D453">
        <v>28847</v>
      </c>
      <c r="E453">
        <f>MONTH(tblExpense[[#This Row],[Date]])</f>
        <v>5</v>
      </c>
      <c r="F453" t="str">
        <f>TEXT(tblExpense[[#This Row],[Date]],"mmm")</f>
        <v>May</v>
      </c>
    </row>
    <row r="454" spans="1:6" x14ac:dyDescent="0.3">
      <c r="A454" s="1">
        <v>45435</v>
      </c>
      <c r="B454" t="s">
        <v>1529</v>
      </c>
      <c r="C454" t="s">
        <v>1537</v>
      </c>
      <c r="D454">
        <v>32774</v>
      </c>
      <c r="E454">
        <f>MONTH(tblExpense[[#This Row],[Date]])</f>
        <v>5</v>
      </c>
      <c r="F454" t="str">
        <f>TEXT(tblExpense[[#This Row],[Date]],"mmm")</f>
        <v>May</v>
      </c>
    </row>
    <row r="455" spans="1:6" x14ac:dyDescent="0.3">
      <c r="A455" s="1">
        <v>45415</v>
      </c>
      <c r="B455" t="s">
        <v>1531</v>
      </c>
      <c r="C455" t="s">
        <v>1535</v>
      </c>
      <c r="D455">
        <v>72340</v>
      </c>
      <c r="E455">
        <f>MONTH(tblExpense[[#This Row],[Date]])</f>
        <v>5</v>
      </c>
      <c r="F455" t="str">
        <f>TEXT(tblExpense[[#This Row],[Date]],"mmm")</f>
        <v>May</v>
      </c>
    </row>
    <row r="456" spans="1:6" x14ac:dyDescent="0.3">
      <c r="A456" s="1">
        <v>45420</v>
      </c>
      <c r="B456" t="s">
        <v>1529</v>
      </c>
      <c r="C456" t="s">
        <v>1532</v>
      </c>
      <c r="D456">
        <v>63119</v>
      </c>
      <c r="E456">
        <f>MONTH(tblExpense[[#This Row],[Date]])</f>
        <v>5</v>
      </c>
      <c r="F456" t="str">
        <f>TEXT(tblExpense[[#This Row],[Date]],"mmm")</f>
        <v>May</v>
      </c>
    </row>
    <row r="457" spans="1:6" x14ac:dyDescent="0.3">
      <c r="A457" s="1">
        <v>45435</v>
      </c>
      <c r="B457" t="s">
        <v>1538</v>
      </c>
      <c r="C457" t="s">
        <v>1534</v>
      </c>
      <c r="D457">
        <v>97934</v>
      </c>
      <c r="E457">
        <f>MONTH(tblExpense[[#This Row],[Date]])</f>
        <v>5</v>
      </c>
      <c r="F457" t="str">
        <f>TEXT(tblExpense[[#This Row],[Date]],"mmm")</f>
        <v>May</v>
      </c>
    </row>
    <row r="458" spans="1:6" x14ac:dyDescent="0.3">
      <c r="A458" s="1">
        <v>45443</v>
      </c>
      <c r="B458" t="s">
        <v>1531</v>
      </c>
      <c r="C458" t="s">
        <v>1535</v>
      </c>
      <c r="D458">
        <v>32372</v>
      </c>
      <c r="E458">
        <f>MONTH(tblExpense[[#This Row],[Date]])</f>
        <v>5</v>
      </c>
      <c r="F458" t="str">
        <f>TEXT(tblExpense[[#This Row],[Date]],"mmm")</f>
        <v>May</v>
      </c>
    </row>
    <row r="459" spans="1:6" x14ac:dyDescent="0.3">
      <c r="A459" s="1">
        <v>45418</v>
      </c>
      <c r="B459" t="s">
        <v>1529</v>
      </c>
      <c r="C459" t="s">
        <v>1534</v>
      </c>
      <c r="D459">
        <v>94181</v>
      </c>
      <c r="E459">
        <f>MONTH(tblExpense[[#This Row],[Date]])</f>
        <v>5</v>
      </c>
      <c r="F459" t="str">
        <f>TEXT(tblExpense[[#This Row],[Date]],"mmm")</f>
        <v>May</v>
      </c>
    </row>
    <row r="460" spans="1:6" x14ac:dyDescent="0.3">
      <c r="A460" s="1">
        <v>45424</v>
      </c>
      <c r="B460" t="s">
        <v>1538</v>
      </c>
      <c r="C460" t="s">
        <v>1537</v>
      </c>
      <c r="D460">
        <v>13903</v>
      </c>
      <c r="E460">
        <f>MONTH(tblExpense[[#This Row],[Date]])</f>
        <v>5</v>
      </c>
      <c r="F460" t="str">
        <f>TEXT(tblExpense[[#This Row],[Date]],"mmm")</f>
        <v>May</v>
      </c>
    </row>
    <row r="461" spans="1:6" x14ac:dyDescent="0.3">
      <c r="A461" s="1">
        <v>45419</v>
      </c>
      <c r="B461" t="s">
        <v>1531</v>
      </c>
      <c r="C461" t="s">
        <v>1535</v>
      </c>
      <c r="D461">
        <v>72858</v>
      </c>
      <c r="E461">
        <f>MONTH(tblExpense[[#This Row],[Date]])</f>
        <v>5</v>
      </c>
      <c r="F461" t="str">
        <f>TEXT(tblExpense[[#This Row],[Date]],"mmm")</f>
        <v>May</v>
      </c>
    </row>
    <row r="462" spans="1:6" x14ac:dyDescent="0.3">
      <c r="A462" s="1">
        <v>45420</v>
      </c>
      <c r="B462" t="s">
        <v>1538</v>
      </c>
      <c r="C462" t="s">
        <v>1537</v>
      </c>
      <c r="D462">
        <v>39788</v>
      </c>
      <c r="E462">
        <f>MONTH(tblExpense[[#This Row],[Date]])</f>
        <v>5</v>
      </c>
      <c r="F462" t="str">
        <f>TEXT(tblExpense[[#This Row],[Date]],"mmm")</f>
        <v>May</v>
      </c>
    </row>
    <row r="463" spans="1:6" x14ac:dyDescent="0.3">
      <c r="A463" s="1">
        <v>45421</v>
      </c>
      <c r="B463" t="s">
        <v>1538</v>
      </c>
      <c r="C463" t="s">
        <v>1534</v>
      </c>
      <c r="D463">
        <v>84720</v>
      </c>
      <c r="E463">
        <f>MONTH(tblExpense[[#This Row],[Date]])</f>
        <v>5</v>
      </c>
      <c r="F463" t="str">
        <f>TEXT(tblExpense[[#This Row],[Date]],"mmm")</f>
        <v>May</v>
      </c>
    </row>
    <row r="464" spans="1:6" x14ac:dyDescent="0.3">
      <c r="A464" s="1">
        <v>45440</v>
      </c>
      <c r="B464" t="s">
        <v>1531</v>
      </c>
      <c r="C464" t="s">
        <v>1530</v>
      </c>
      <c r="D464">
        <v>95844</v>
      </c>
      <c r="E464">
        <f>MONTH(tblExpense[[#This Row],[Date]])</f>
        <v>5</v>
      </c>
      <c r="F464" t="str">
        <f>TEXT(tblExpense[[#This Row],[Date]],"mmm")</f>
        <v>May</v>
      </c>
    </row>
    <row r="465" spans="1:6" x14ac:dyDescent="0.3">
      <c r="A465" s="1">
        <v>45418</v>
      </c>
      <c r="B465" t="s">
        <v>1533</v>
      </c>
      <c r="C465" t="s">
        <v>1530</v>
      </c>
      <c r="D465">
        <v>70726</v>
      </c>
      <c r="E465">
        <f>MONTH(tblExpense[[#This Row],[Date]])</f>
        <v>5</v>
      </c>
      <c r="F465" t="str">
        <f>TEXT(tblExpense[[#This Row],[Date]],"mmm")</f>
        <v>May</v>
      </c>
    </row>
    <row r="466" spans="1:6" x14ac:dyDescent="0.3">
      <c r="A466" s="1">
        <v>45415</v>
      </c>
      <c r="B466" t="s">
        <v>1531</v>
      </c>
      <c r="C466" t="s">
        <v>1537</v>
      </c>
      <c r="D466">
        <v>50519</v>
      </c>
      <c r="E466">
        <f>MONTH(tblExpense[[#This Row],[Date]])</f>
        <v>5</v>
      </c>
      <c r="F466" t="str">
        <f>TEXT(tblExpense[[#This Row],[Date]],"mmm")</f>
        <v>May</v>
      </c>
    </row>
    <row r="467" spans="1:6" x14ac:dyDescent="0.3">
      <c r="A467" s="1">
        <v>45436</v>
      </c>
      <c r="B467" t="s">
        <v>1538</v>
      </c>
      <c r="C467" t="s">
        <v>1534</v>
      </c>
      <c r="D467">
        <v>39579</v>
      </c>
      <c r="E467">
        <f>MONTH(tblExpense[[#This Row],[Date]])</f>
        <v>5</v>
      </c>
      <c r="F467" t="str">
        <f>TEXT(tblExpense[[#This Row],[Date]],"mmm")</f>
        <v>May</v>
      </c>
    </row>
    <row r="468" spans="1:6" x14ac:dyDescent="0.3">
      <c r="A468" s="1">
        <v>45422</v>
      </c>
      <c r="B468" t="s">
        <v>1531</v>
      </c>
      <c r="C468" t="s">
        <v>1530</v>
      </c>
      <c r="D468">
        <v>47434</v>
      </c>
      <c r="E468">
        <f>MONTH(tblExpense[[#This Row],[Date]])</f>
        <v>5</v>
      </c>
      <c r="F468" t="str">
        <f>TEXT(tblExpense[[#This Row],[Date]],"mmm")</f>
        <v>May</v>
      </c>
    </row>
    <row r="469" spans="1:6" x14ac:dyDescent="0.3">
      <c r="A469" s="1">
        <v>45418</v>
      </c>
      <c r="B469" t="s">
        <v>1538</v>
      </c>
      <c r="C469" t="s">
        <v>1532</v>
      </c>
      <c r="D469">
        <v>95876</v>
      </c>
      <c r="E469">
        <f>MONTH(tblExpense[[#This Row],[Date]])</f>
        <v>5</v>
      </c>
      <c r="F469" t="str">
        <f>TEXT(tblExpense[[#This Row],[Date]],"mmm")</f>
        <v>May</v>
      </c>
    </row>
    <row r="470" spans="1:6" x14ac:dyDescent="0.3">
      <c r="A470" s="1">
        <v>45418</v>
      </c>
      <c r="B470" t="s">
        <v>1531</v>
      </c>
      <c r="C470" t="s">
        <v>1534</v>
      </c>
      <c r="D470">
        <v>6392</v>
      </c>
      <c r="E470">
        <f>MONTH(tblExpense[[#This Row],[Date]])</f>
        <v>5</v>
      </c>
      <c r="F470" t="str">
        <f>TEXT(tblExpense[[#This Row],[Date]],"mmm")</f>
        <v>May</v>
      </c>
    </row>
    <row r="471" spans="1:6" x14ac:dyDescent="0.3">
      <c r="A471" s="1">
        <v>45440</v>
      </c>
      <c r="B471" t="s">
        <v>1531</v>
      </c>
      <c r="C471" t="s">
        <v>1530</v>
      </c>
      <c r="D471">
        <v>46361</v>
      </c>
      <c r="E471">
        <f>MONTH(tblExpense[[#This Row],[Date]])</f>
        <v>5</v>
      </c>
      <c r="F471" t="str">
        <f>TEXT(tblExpense[[#This Row],[Date]],"mmm")</f>
        <v>May</v>
      </c>
    </row>
    <row r="472" spans="1:6" x14ac:dyDescent="0.3">
      <c r="A472" s="1">
        <v>45448</v>
      </c>
      <c r="B472" t="s">
        <v>1538</v>
      </c>
      <c r="C472" t="s">
        <v>1537</v>
      </c>
      <c r="D472">
        <v>71471</v>
      </c>
      <c r="E472">
        <f>MONTH(tblExpense[[#This Row],[Date]])</f>
        <v>6</v>
      </c>
      <c r="F472" t="str">
        <f>TEXT(tblExpense[[#This Row],[Date]],"mmm")</f>
        <v>Jun</v>
      </c>
    </row>
    <row r="473" spans="1:6" x14ac:dyDescent="0.3">
      <c r="A473" s="1">
        <v>45464</v>
      </c>
      <c r="B473" t="s">
        <v>1531</v>
      </c>
      <c r="C473" t="s">
        <v>1530</v>
      </c>
      <c r="D473">
        <v>98633</v>
      </c>
      <c r="E473">
        <f>MONTH(tblExpense[[#This Row],[Date]])</f>
        <v>6</v>
      </c>
      <c r="F473" t="str">
        <f>TEXT(tblExpense[[#This Row],[Date]],"mmm")</f>
        <v>Jun</v>
      </c>
    </row>
    <row r="474" spans="1:6" x14ac:dyDescent="0.3">
      <c r="A474" s="1">
        <v>45444</v>
      </c>
      <c r="B474" t="s">
        <v>1529</v>
      </c>
      <c r="C474" t="s">
        <v>1532</v>
      </c>
      <c r="D474">
        <v>36802</v>
      </c>
      <c r="E474">
        <f>MONTH(tblExpense[[#This Row],[Date]])</f>
        <v>6</v>
      </c>
      <c r="F474" t="str">
        <f>TEXT(tblExpense[[#This Row],[Date]],"mmm")</f>
        <v>Jun</v>
      </c>
    </row>
    <row r="475" spans="1:6" x14ac:dyDescent="0.3">
      <c r="A475" s="1">
        <v>45458</v>
      </c>
      <c r="B475" t="s">
        <v>1529</v>
      </c>
      <c r="C475" t="s">
        <v>1535</v>
      </c>
      <c r="D475">
        <v>29989</v>
      </c>
      <c r="E475">
        <f>MONTH(tblExpense[[#This Row],[Date]])</f>
        <v>6</v>
      </c>
      <c r="F475" t="str">
        <f>TEXT(tblExpense[[#This Row],[Date]],"mmm")</f>
        <v>Jun</v>
      </c>
    </row>
    <row r="476" spans="1:6" x14ac:dyDescent="0.3">
      <c r="A476" s="1">
        <v>45467</v>
      </c>
      <c r="B476" t="s">
        <v>1538</v>
      </c>
      <c r="C476" t="s">
        <v>1532</v>
      </c>
      <c r="D476">
        <v>18129</v>
      </c>
      <c r="E476">
        <f>MONTH(tblExpense[[#This Row],[Date]])</f>
        <v>6</v>
      </c>
      <c r="F476" t="str">
        <f>TEXT(tblExpense[[#This Row],[Date]],"mmm")</f>
        <v>Jun</v>
      </c>
    </row>
    <row r="477" spans="1:6" x14ac:dyDescent="0.3">
      <c r="A477" s="1">
        <v>45462</v>
      </c>
      <c r="B477" t="s">
        <v>1531</v>
      </c>
      <c r="C477" t="s">
        <v>1535</v>
      </c>
      <c r="D477">
        <v>97500</v>
      </c>
      <c r="E477">
        <f>MONTH(tblExpense[[#This Row],[Date]])</f>
        <v>6</v>
      </c>
      <c r="F477" t="str">
        <f>TEXT(tblExpense[[#This Row],[Date]],"mmm")</f>
        <v>Jun</v>
      </c>
    </row>
    <row r="478" spans="1:6" x14ac:dyDescent="0.3">
      <c r="A478" s="1">
        <v>45454</v>
      </c>
      <c r="B478" t="s">
        <v>1531</v>
      </c>
      <c r="C478" t="s">
        <v>1532</v>
      </c>
      <c r="D478">
        <v>42653</v>
      </c>
      <c r="E478">
        <f>MONTH(tblExpense[[#This Row],[Date]])</f>
        <v>6</v>
      </c>
      <c r="F478" t="str">
        <f>TEXT(tblExpense[[#This Row],[Date]],"mmm")</f>
        <v>Jun</v>
      </c>
    </row>
    <row r="479" spans="1:6" x14ac:dyDescent="0.3">
      <c r="A479" s="1">
        <v>45450</v>
      </c>
      <c r="B479" t="s">
        <v>1536</v>
      </c>
      <c r="C479" t="s">
        <v>1537</v>
      </c>
      <c r="D479">
        <v>54932</v>
      </c>
      <c r="E479">
        <f>MONTH(tblExpense[[#This Row],[Date]])</f>
        <v>6</v>
      </c>
      <c r="F479" t="str">
        <f>TEXT(tblExpense[[#This Row],[Date]],"mmm")</f>
        <v>Jun</v>
      </c>
    </row>
    <row r="480" spans="1:6" x14ac:dyDescent="0.3">
      <c r="A480" s="1">
        <v>45453</v>
      </c>
      <c r="B480" t="s">
        <v>1529</v>
      </c>
      <c r="C480" t="s">
        <v>1534</v>
      </c>
      <c r="D480">
        <v>75314</v>
      </c>
      <c r="E480">
        <f>MONTH(tblExpense[[#This Row],[Date]])</f>
        <v>6</v>
      </c>
      <c r="F480" t="str">
        <f>TEXT(tblExpense[[#This Row],[Date]],"mmm")</f>
        <v>Jun</v>
      </c>
    </row>
    <row r="481" spans="1:6" x14ac:dyDescent="0.3">
      <c r="A481" s="1">
        <v>45471</v>
      </c>
      <c r="B481" t="s">
        <v>1529</v>
      </c>
      <c r="C481" t="s">
        <v>1530</v>
      </c>
      <c r="D481">
        <v>10082</v>
      </c>
      <c r="E481">
        <f>MONTH(tblExpense[[#This Row],[Date]])</f>
        <v>6</v>
      </c>
      <c r="F481" t="str">
        <f>TEXT(tblExpense[[#This Row],[Date]],"mmm")</f>
        <v>Jun</v>
      </c>
    </row>
    <row r="482" spans="1:6" x14ac:dyDescent="0.3">
      <c r="A482" s="1">
        <v>45451</v>
      </c>
      <c r="B482" t="s">
        <v>1533</v>
      </c>
      <c r="C482" t="s">
        <v>1530</v>
      </c>
      <c r="D482">
        <v>29773</v>
      </c>
      <c r="E482">
        <f>MONTH(tblExpense[[#This Row],[Date]])</f>
        <v>6</v>
      </c>
      <c r="F482" t="str">
        <f>TEXT(tblExpense[[#This Row],[Date]],"mmm")</f>
        <v>Jun</v>
      </c>
    </row>
    <row r="483" spans="1:6" x14ac:dyDescent="0.3">
      <c r="A483" s="1">
        <v>45460</v>
      </c>
      <c r="B483" t="s">
        <v>1531</v>
      </c>
      <c r="C483" t="s">
        <v>1530</v>
      </c>
      <c r="D483">
        <v>75647</v>
      </c>
      <c r="E483">
        <f>MONTH(tblExpense[[#This Row],[Date]])</f>
        <v>6</v>
      </c>
      <c r="F483" t="str">
        <f>TEXT(tblExpense[[#This Row],[Date]],"mmm")</f>
        <v>Jun</v>
      </c>
    </row>
    <row r="484" spans="1:6" x14ac:dyDescent="0.3">
      <c r="A484" s="1">
        <v>45455</v>
      </c>
      <c r="B484" t="s">
        <v>1529</v>
      </c>
      <c r="C484" t="s">
        <v>1532</v>
      </c>
      <c r="D484">
        <v>60443</v>
      </c>
      <c r="E484">
        <f>MONTH(tblExpense[[#This Row],[Date]])</f>
        <v>6</v>
      </c>
      <c r="F484" t="str">
        <f>TEXT(tblExpense[[#This Row],[Date]],"mmm")</f>
        <v>Jun</v>
      </c>
    </row>
    <row r="485" spans="1:6" x14ac:dyDescent="0.3">
      <c r="A485" s="1">
        <v>45450</v>
      </c>
      <c r="B485" t="s">
        <v>1538</v>
      </c>
      <c r="C485" t="s">
        <v>1537</v>
      </c>
      <c r="D485">
        <v>82625</v>
      </c>
      <c r="E485">
        <f>MONTH(tblExpense[[#This Row],[Date]])</f>
        <v>6</v>
      </c>
      <c r="F485" t="str">
        <f>TEXT(tblExpense[[#This Row],[Date]],"mmm")</f>
        <v>Jun</v>
      </c>
    </row>
    <row r="486" spans="1:6" x14ac:dyDescent="0.3">
      <c r="A486" s="1">
        <v>45466</v>
      </c>
      <c r="B486" t="s">
        <v>1531</v>
      </c>
      <c r="C486" t="s">
        <v>1534</v>
      </c>
      <c r="D486">
        <v>11225</v>
      </c>
      <c r="E486">
        <f>MONTH(tblExpense[[#This Row],[Date]])</f>
        <v>6</v>
      </c>
      <c r="F486" t="str">
        <f>TEXT(tblExpense[[#This Row],[Date]],"mmm")</f>
        <v>Jun</v>
      </c>
    </row>
    <row r="487" spans="1:6" x14ac:dyDescent="0.3">
      <c r="A487" s="1">
        <v>45452</v>
      </c>
      <c r="B487" t="s">
        <v>1531</v>
      </c>
      <c r="C487" t="s">
        <v>1535</v>
      </c>
      <c r="D487">
        <v>98418</v>
      </c>
      <c r="E487">
        <f>MONTH(tblExpense[[#This Row],[Date]])</f>
        <v>6</v>
      </c>
      <c r="F487" t="str">
        <f>TEXT(tblExpense[[#This Row],[Date]],"mmm")</f>
        <v>Jun</v>
      </c>
    </row>
    <row r="488" spans="1:6" x14ac:dyDescent="0.3">
      <c r="A488" s="1">
        <v>45455</v>
      </c>
      <c r="B488" t="s">
        <v>1538</v>
      </c>
      <c r="C488" t="s">
        <v>1534</v>
      </c>
      <c r="D488">
        <v>31310</v>
      </c>
      <c r="E488">
        <f>MONTH(tblExpense[[#This Row],[Date]])</f>
        <v>6</v>
      </c>
      <c r="F488" t="str">
        <f>TEXT(tblExpense[[#This Row],[Date]],"mmm")</f>
        <v>Jun</v>
      </c>
    </row>
    <row r="489" spans="1:6" x14ac:dyDescent="0.3">
      <c r="A489" s="1">
        <v>45463</v>
      </c>
      <c r="B489" t="s">
        <v>1529</v>
      </c>
      <c r="C489" t="s">
        <v>1534</v>
      </c>
      <c r="D489">
        <v>47572</v>
      </c>
      <c r="E489">
        <f>MONTH(tblExpense[[#This Row],[Date]])</f>
        <v>6</v>
      </c>
      <c r="F489" t="str">
        <f>TEXT(tblExpense[[#This Row],[Date]],"mmm")</f>
        <v>Jun</v>
      </c>
    </row>
    <row r="490" spans="1:6" x14ac:dyDescent="0.3">
      <c r="A490" s="1">
        <v>45455</v>
      </c>
      <c r="B490" t="s">
        <v>1536</v>
      </c>
      <c r="C490" t="s">
        <v>1530</v>
      </c>
      <c r="D490">
        <v>74616</v>
      </c>
      <c r="E490">
        <f>MONTH(tblExpense[[#This Row],[Date]])</f>
        <v>6</v>
      </c>
      <c r="F490" t="str">
        <f>TEXT(tblExpense[[#This Row],[Date]],"mmm")</f>
        <v>Jun</v>
      </c>
    </row>
    <row r="491" spans="1:6" x14ac:dyDescent="0.3">
      <c r="A491" s="1">
        <v>45466</v>
      </c>
      <c r="B491" t="s">
        <v>1533</v>
      </c>
      <c r="C491" t="s">
        <v>1532</v>
      </c>
      <c r="D491">
        <v>85481</v>
      </c>
      <c r="E491">
        <f>MONTH(tblExpense[[#This Row],[Date]])</f>
        <v>6</v>
      </c>
      <c r="F491" t="str">
        <f>TEXT(tblExpense[[#This Row],[Date]],"mmm")</f>
        <v>Jun</v>
      </c>
    </row>
    <row r="492" spans="1:6" x14ac:dyDescent="0.3">
      <c r="A492" s="1">
        <v>45454</v>
      </c>
      <c r="B492" t="s">
        <v>1529</v>
      </c>
      <c r="C492" t="s">
        <v>1532</v>
      </c>
      <c r="D492">
        <v>28355</v>
      </c>
      <c r="E492">
        <f>MONTH(tblExpense[[#This Row],[Date]])</f>
        <v>6</v>
      </c>
      <c r="F492" t="str">
        <f>TEXT(tblExpense[[#This Row],[Date]],"mmm")</f>
        <v>Jun</v>
      </c>
    </row>
    <row r="493" spans="1:6" x14ac:dyDescent="0.3">
      <c r="A493" s="1">
        <v>45455</v>
      </c>
      <c r="B493" t="s">
        <v>1536</v>
      </c>
      <c r="C493" t="s">
        <v>1535</v>
      </c>
      <c r="D493">
        <v>82703</v>
      </c>
      <c r="E493">
        <f>MONTH(tblExpense[[#This Row],[Date]])</f>
        <v>6</v>
      </c>
      <c r="F493" t="str">
        <f>TEXT(tblExpense[[#This Row],[Date]],"mmm")</f>
        <v>Jun</v>
      </c>
    </row>
    <row r="494" spans="1:6" x14ac:dyDescent="0.3">
      <c r="A494" s="1">
        <v>45456</v>
      </c>
      <c r="B494" t="s">
        <v>1536</v>
      </c>
      <c r="C494" t="s">
        <v>1534</v>
      </c>
      <c r="D494">
        <v>79098</v>
      </c>
      <c r="E494">
        <f>MONTH(tblExpense[[#This Row],[Date]])</f>
        <v>6</v>
      </c>
      <c r="F494" t="str">
        <f>TEXT(tblExpense[[#This Row],[Date]],"mmm")</f>
        <v>Jun</v>
      </c>
    </row>
    <row r="495" spans="1:6" x14ac:dyDescent="0.3">
      <c r="A495" s="1">
        <v>45451</v>
      </c>
      <c r="B495" t="s">
        <v>1529</v>
      </c>
      <c r="C495" t="s">
        <v>1535</v>
      </c>
      <c r="D495">
        <v>99691</v>
      </c>
      <c r="E495">
        <f>MONTH(tblExpense[[#This Row],[Date]])</f>
        <v>6</v>
      </c>
      <c r="F495" t="str">
        <f>TEXT(tblExpense[[#This Row],[Date]],"mmm")</f>
        <v>Jun</v>
      </c>
    </row>
    <row r="496" spans="1:6" x14ac:dyDescent="0.3">
      <c r="A496" s="1">
        <v>45450</v>
      </c>
      <c r="B496" t="s">
        <v>1538</v>
      </c>
      <c r="C496" t="s">
        <v>1532</v>
      </c>
      <c r="D496">
        <v>29960</v>
      </c>
      <c r="E496">
        <f>MONTH(tblExpense[[#This Row],[Date]])</f>
        <v>6</v>
      </c>
      <c r="F496" t="str">
        <f>TEXT(tblExpense[[#This Row],[Date]],"mmm")</f>
        <v>Jun</v>
      </c>
    </row>
    <row r="497" spans="1:6" x14ac:dyDescent="0.3">
      <c r="A497" s="1">
        <v>45470</v>
      </c>
      <c r="B497" t="s">
        <v>1529</v>
      </c>
      <c r="C497" t="s">
        <v>1535</v>
      </c>
      <c r="D497">
        <v>95610</v>
      </c>
      <c r="E497">
        <f>MONTH(tblExpense[[#This Row],[Date]])</f>
        <v>6</v>
      </c>
      <c r="F497" t="str">
        <f>TEXT(tblExpense[[#This Row],[Date]],"mmm")</f>
        <v>Jun</v>
      </c>
    </row>
    <row r="498" spans="1:6" x14ac:dyDescent="0.3">
      <c r="A498" s="1">
        <v>45473</v>
      </c>
      <c r="B498" t="s">
        <v>1531</v>
      </c>
      <c r="C498" t="s">
        <v>1530</v>
      </c>
      <c r="D498">
        <v>98867</v>
      </c>
      <c r="E498">
        <f>MONTH(tblExpense[[#This Row],[Date]])</f>
        <v>6</v>
      </c>
      <c r="F498" t="str">
        <f>TEXT(tblExpense[[#This Row],[Date]],"mmm")</f>
        <v>Jun</v>
      </c>
    </row>
    <row r="499" spans="1:6" x14ac:dyDescent="0.3">
      <c r="A499" s="1">
        <v>45454</v>
      </c>
      <c r="B499" t="s">
        <v>1529</v>
      </c>
      <c r="C499" t="s">
        <v>1530</v>
      </c>
      <c r="D499">
        <v>31800</v>
      </c>
      <c r="E499">
        <f>MONTH(tblExpense[[#This Row],[Date]])</f>
        <v>6</v>
      </c>
      <c r="F499" t="str">
        <f>TEXT(tblExpense[[#This Row],[Date]],"mmm")</f>
        <v>Jun</v>
      </c>
    </row>
    <row r="500" spans="1:6" x14ac:dyDescent="0.3">
      <c r="A500" s="1">
        <v>45457</v>
      </c>
      <c r="B500" t="s">
        <v>1538</v>
      </c>
      <c r="C500" t="s">
        <v>1530</v>
      </c>
      <c r="D500">
        <v>85282</v>
      </c>
      <c r="E500">
        <f>MONTH(tblExpense[[#This Row],[Date]])</f>
        <v>6</v>
      </c>
      <c r="F500" t="str">
        <f>TEXT(tblExpense[[#This Row],[Date]],"mmm")</f>
        <v>Jun</v>
      </c>
    </row>
    <row r="501" spans="1:6" x14ac:dyDescent="0.3">
      <c r="A501" s="1">
        <v>45454</v>
      </c>
      <c r="B501" t="s">
        <v>1536</v>
      </c>
      <c r="C501" t="s">
        <v>1532</v>
      </c>
      <c r="D501">
        <v>28643</v>
      </c>
      <c r="E501">
        <f>MONTH(tblExpense[[#This Row],[Date]])</f>
        <v>6</v>
      </c>
      <c r="F501" t="str">
        <f>TEXT(tblExpense[[#This Row],[Date]],"mmm")</f>
        <v>Jun</v>
      </c>
    </row>
    <row r="502" spans="1:6" x14ac:dyDescent="0.3">
      <c r="A502" s="1">
        <v>45459</v>
      </c>
      <c r="B502" t="s">
        <v>1529</v>
      </c>
      <c r="C502" t="s">
        <v>1532</v>
      </c>
      <c r="D502">
        <v>25796</v>
      </c>
      <c r="E502">
        <f>MONTH(tblExpense[[#This Row],[Date]])</f>
        <v>6</v>
      </c>
      <c r="F502" t="str">
        <f>TEXT(tblExpense[[#This Row],[Date]],"mmm")</f>
        <v>Jun</v>
      </c>
    </row>
    <row r="503" spans="1:6" x14ac:dyDescent="0.3">
      <c r="A503" s="1">
        <v>45469</v>
      </c>
      <c r="B503" t="s">
        <v>1533</v>
      </c>
      <c r="C503" t="s">
        <v>1537</v>
      </c>
      <c r="D503">
        <v>15581</v>
      </c>
      <c r="E503">
        <f>MONTH(tblExpense[[#This Row],[Date]])</f>
        <v>6</v>
      </c>
      <c r="F503" t="str">
        <f>TEXT(tblExpense[[#This Row],[Date]],"mmm")</f>
        <v>Jun</v>
      </c>
    </row>
    <row r="504" spans="1:6" x14ac:dyDescent="0.3">
      <c r="A504" s="1">
        <v>45454</v>
      </c>
      <c r="B504" t="s">
        <v>1536</v>
      </c>
      <c r="C504" t="s">
        <v>1535</v>
      </c>
      <c r="D504">
        <v>57694</v>
      </c>
      <c r="E504">
        <f>MONTH(tblExpense[[#This Row],[Date]])</f>
        <v>6</v>
      </c>
      <c r="F504" t="str">
        <f>TEXT(tblExpense[[#This Row],[Date]],"mmm")</f>
        <v>Jun</v>
      </c>
    </row>
    <row r="505" spans="1:6" x14ac:dyDescent="0.3">
      <c r="A505" s="1">
        <v>45454</v>
      </c>
      <c r="B505" t="s">
        <v>1531</v>
      </c>
      <c r="C505" t="s">
        <v>1537</v>
      </c>
      <c r="D505">
        <v>54143</v>
      </c>
      <c r="E505">
        <f>MONTH(tblExpense[[#This Row],[Date]])</f>
        <v>6</v>
      </c>
      <c r="F505" t="str">
        <f>TEXT(tblExpense[[#This Row],[Date]],"mmm")</f>
        <v>Jun</v>
      </c>
    </row>
    <row r="506" spans="1:6" x14ac:dyDescent="0.3">
      <c r="A506" s="1">
        <v>45455</v>
      </c>
      <c r="B506" t="s">
        <v>1536</v>
      </c>
      <c r="C506" t="s">
        <v>1532</v>
      </c>
      <c r="D506">
        <v>5813</v>
      </c>
      <c r="E506">
        <f>MONTH(tblExpense[[#This Row],[Date]])</f>
        <v>6</v>
      </c>
      <c r="F506" t="str">
        <f>TEXT(tblExpense[[#This Row],[Date]],"mmm")</f>
        <v>Jun</v>
      </c>
    </row>
    <row r="507" spans="1:6" x14ac:dyDescent="0.3">
      <c r="A507" s="1">
        <v>45468</v>
      </c>
      <c r="B507" t="s">
        <v>1533</v>
      </c>
      <c r="C507" t="s">
        <v>1537</v>
      </c>
      <c r="D507">
        <v>30922</v>
      </c>
      <c r="E507">
        <f>MONTH(tblExpense[[#This Row],[Date]])</f>
        <v>6</v>
      </c>
      <c r="F507" t="str">
        <f>TEXT(tblExpense[[#This Row],[Date]],"mmm")</f>
        <v>Jun</v>
      </c>
    </row>
    <row r="508" spans="1:6" x14ac:dyDescent="0.3">
      <c r="A508" s="1">
        <v>45466</v>
      </c>
      <c r="B508" t="s">
        <v>1536</v>
      </c>
      <c r="C508" t="s">
        <v>1537</v>
      </c>
      <c r="D508">
        <v>37049</v>
      </c>
      <c r="E508">
        <f>MONTH(tblExpense[[#This Row],[Date]])</f>
        <v>6</v>
      </c>
      <c r="F508" t="str">
        <f>TEXT(tblExpense[[#This Row],[Date]],"mmm")</f>
        <v>Jun</v>
      </c>
    </row>
    <row r="509" spans="1:6" x14ac:dyDescent="0.3">
      <c r="A509" s="1">
        <v>45445</v>
      </c>
      <c r="B509" t="s">
        <v>1533</v>
      </c>
      <c r="C509" t="s">
        <v>1530</v>
      </c>
      <c r="D509">
        <v>93656</v>
      </c>
      <c r="E509">
        <f>MONTH(tblExpense[[#This Row],[Date]])</f>
        <v>6</v>
      </c>
      <c r="F509" t="str">
        <f>TEXT(tblExpense[[#This Row],[Date]],"mmm")</f>
        <v>Jun</v>
      </c>
    </row>
    <row r="510" spans="1:6" x14ac:dyDescent="0.3">
      <c r="A510" s="1">
        <v>45469</v>
      </c>
      <c r="B510" t="s">
        <v>1538</v>
      </c>
      <c r="C510" t="s">
        <v>1534</v>
      </c>
      <c r="D510">
        <v>11071</v>
      </c>
      <c r="E510">
        <f>MONTH(tblExpense[[#This Row],[Date]])</f>
        <v>6</v>
      </c>
      <c r="F510" t="str">
        <f>TEXT(tblExpense[[#This Row],[Date]],"mmm")</f>
        <v>Jun</v>
      </c>
    </row>
    <row r="511" spans="1:6" x14ac:dyDescent="0.3">
      <c r="A511" s="1">
        <v>45458</v>
      </c>
      <c r="B511" t="s">
        <v>1529</v>
      </c>
      <c r="C511" t="s">
        <v>1532</v>
      </c>
      <c r="D511">
        <v>42373</v>
      </c>
      <c r="E511">
        <f>MONTH(tblExpense[[#This Row],[Date]])</f>
        <v>6</v>
      </c>
      <c r="F511" t="str">
        <f>TEXT(tblExpense[[#This Row],[Date]],"mmm")</f>
        <v>Jun</v>
      </c>
    </row>
    <row r="512" spans="1:6" x14ac:dyDescent="0.3">
      <c r="A512" s="1">
        <v>45461</v>
      </c>
      <c r="B512" t="s">
        <v>1533</v>
      </c>
      <c r="C512" t="s">
        <v>1535</v>
      </c>
      <c r="D512">
        <v>93355</v>
      </c>
      <c r="E512">
        <f>MONTH(tblExpense[[#This Row],[Date]])</f>
        <v>6</v>
      </c>
      <c r="F512" t="str">
        <f>TEXT(tblExpense[[#This Row],[Date]],"mmm")</f>
        <v>Jun</v>
      </c>
    </row>
    <row r="513" spans="1:6" x14ac:dyDescent="0.3">
      <c r="A513" s="1">
        <v>45466</v>
      </c>
      <c r="B513" t="s">
        <v>1533</v>
      </c>
      <c r="C513" t="s">
        <v>1532</v>
      </c>
      <c r="D513">
        <v>68631</v>
      </c>
      <c r="E513">
        <f>MONTH(tblExpense[[#This Row],[Date]])</f>
        <v>6</v>
      </c>
      <c r="F513" t="str">
        <f>TEXT(tblExpense[[#This Row],[Date]],"mmm")</f>
        <v>Jun</v>
      </c>
    </row>
    <row r="514" spans="1:6" x14ac:dyDescent="0.3">
      <c r="A514" s="1">
        <v>45466</v>
      </c>
      <c r="B514" t="s">
        <v>1536</v>
      </c>
      <c r="C514" t="s">
        <v>1535</v>
      </c>
      <c r="D514">
        <v>16639</v>
      </c>
      <c r="E514">
        <f>MONTH(tblExpense[[#This Row],[Date]])</f>
        <v>6</v>
      </c>
      <c r="F514" t="str">
        <f>TEXT(tblExpense[[#This Row],[Date]],"mmm")</f>
        <v>Jun</v>
      </c>
    </row>
    <row r="515" spans="1:6" x14ac:dyDescent="0.3">
      <c r="A515" s="1">
        <v>45447</v>
      </c>
      <c r="B515" t="s">
        <v>1531</v>
      </c>
      <c r="C515" t="s">
        <v>1537</v>
      </c>
      <c r="D515">
        <v>58360</v>
      </c>
      <c r="E515">
        <f>MONTH(tblExpense[[#This Row],[Date]])</f>
        <v>6</v>
      </c>
      <c r="F515" t="str">
        <f>TEXT(tblExpense[[#This Row],[Date]],"mmm")</f>
        <v>Jun</v>
      </c>
    </row>
    <row r="516" spans="1:6" x14ac:dyDescent="0.3">
      <c r="A516" s="1">
        <v>45452</v>
      </c>
      <c r="B516" t="s">
        <v>1529</v>
      </c>
      <c r="C516" t="s">
        <v>1537</v>
      </c>
      <c r="D516">
        <v>51279</v>
      </c>
      <c r="E516">
        <f>MONTH(tblExpense[[#This Row],[Date]])</f>
        <v>6</v>
      </c>
      <c r="F516" t="str">
        <f>TEXT(tblExpense[[#This Row],[Date]],"mmm")</f>
        <v>Jun</v>
      </c>
    </row>
    <row r="517" spans="1:6" x14ac:dyDescent="0.3">
      <c r="A517" s="1">
        <v>45464</v>
      </c>
      <c r="B517" t="s">
        <v>1538</v>
      </c>
      <c r="C517" t="s">
        <v>1537</v>
      </c>
      <c r="D517">
        <v>72968</v>
      </c>
      <c r="E517">
        <f>MONTH(tblExpense[[#This Row],[Date]])</f>
        <v>6</v>
      </c>
      <c r="F517" t="str">
        <f>TEXT(tblExpense[[#This Row],[Date]],"mmm")</f>
        <v>Jun</v>
      </c>
    </row>
    <row r="518" spans="1:6" x14ac:dyDescent="0.3">
      <c r="A518" s="1">
        <v>45456</v>
      </c>
      <c r="B518" t="s">
        <v>1529</v>
      </c>
      <c r="C518" t="s">
        <v>1532</v>
      </c>
      <c r="D518">
        <v>87744</v>
      </c>
      <c r="E518">
        <f>MONTH(tblExpense[[#This Row],[Date]])</f>
        <v>6</v>
      </c>
      <c r="F518" t="str">
        <f>TEXT(tblExpense[[#This Row],[Date]],"mmm")</f>
        <v>Jun</v>
      </c>
    </row>
    <row r="519" spans="1:6" x14ac:dyDescent="0.3">
      <c r="A519" s="1">
        <v>45461</v>
      </c>
      <c r="B519" t="s">
        <v>1536</v>
      </c>
      <c r="C519" t="s">
        <v>1535</v>
      </c>
      <c r="D519">
        <v>49065</v>
      </c>
      <c r="E519">
        <f>MONTH(tblExpense[[#This Row],[Date]])</f>
        <v>6</v>
      </c>
      <c r="F519" t="str">
        <f>TEXT(tblExpense[[#This Row],[Date]],"mmm")</f>
        <v>Jun</v>
      </c>
    </row>
    <row r="520" spans="1:6" x14ac:dyDescent="0.3">
      <c r="A520" s="1">
        <v>45450</v>
      </c>
      <c r="B520" t="s">
        <v>1536</v>
      </c>
      <c r="C520" t="s">
        <v>1535</v>
      </c>
      <c r="D520">
        <v>78056</v>
      </c>
      <c r="E520">
        <f>MONTH(tblExpense[[#This Row],[Date]])</f>
        <v>6</v>
      </c>
      <c r="F520" t="str">
        <f>TEXT(tblExpense[[#This Row],[Date]],"mmm")</f>
        <v>Jun</v>
      </c>
    </row>
    <row r="521" spans="1:6" x14ac:dyDescent="0.3">
      <c r="A521" s="1">
        <v>45456</v>
      </c>
      <c r="B521" t="s">
        <v>1538</v>
      </c>
      <c r="C521" t="s">
        <v>1530</v>
      </c>
      <c r="D521">
        <v>85801</v>
      </c>
      <c r="E521">
        <f>MONTH(tblExpense[[#This Row],[Date]])</f>
        <v>6</v>
      </c>
      <c r="F521" t="str">
        <f>TEXT(tblExpense[[#This Row],[Date]],"mmm")</f>
        <v>Jun</v>
      </c>
    </row>
    <row r="522" spans="1:6" x14ac:dyDescent="0.3">
      <c r="A522" s="1">
        <v>45470</v>
      </c>
      <c r="B522" t="s">
        <v>1538</v>
      </c>
      <c r="C522" t="s">
        <v>1535</v>
      </c>
      <c r="D522">
        <v>15468</v>
      </c>
      <c r="E522">
        <f>MONTH(tblExpense[[#This Row],[Date]])</f>
        <v>6</v>
      </c>
      <c r="F522" t="str">
        <f>TEXT(tblExpense[[#This Row],[Date]],"mmm")</f>
        <v>Jun</v>
      </c>
    </row>
    <row r="523" spans="1:6" x14ac:dyDescent="0.3">
      <c r="A523" s="1">
        <v>45446</v>
      </c>
      <c r="B523" t="s">
        <v>1531</v>
      </c>
      <c r="C523" t="s">
        <v>1534</v>
      </c>
      <c r="D523">
        <v>25955</v>
      </c>
      <c r="E523">
        <f>MONTH(tblExpense[[#This Row],[Date]])</f>
        <v>6</v>
      </c>
      <c r="F523" t="str">
        <f>TEXT(tblExpense[[#This Row],[Date]],"mmm")</f>
        <v>Jun</v>
      </c>
    </row>
    <row r="524" spans="1:6" x14ac:dyDescent="0.3">
      <c r="A524" s="1">
        <v>45465</v>
      </c>
      <c r="B524" t="s">
        <v>1538</v>
      </c>
      <c r="C524" t="s">
        <v>1530</v>
      </c>
      <c r="D524">
        <v>86527</v>
      </c>
      <c r="E524">
        <f>MONTH(tblExpense[[#This Row],[Date]])</f>
        <v>6</v>
      </c>
      <c r="F524" t="str">
        <f>TEXT(tblExpense[[#This Row],[Date]],"mmm")</f>
        <v>Jun</v>
      </c>
    </row>
    <row r="525" spans="1:6" x14ac:dyDescent="0.3">
      <c r="A525" s="1">
        <v>45446</v>
      </c>
      <c r="B525" t="s">
        <v>1531</v>
      </c>
      <c r="C525" t="s">
        <v>1534</v>
      </c>
      <c r="D525">
        <v>84337</v>
      </c>
      <c r="E525">
        <f>MONTH(tblExpense[[#This Row],[Date]])</f>
        <v>6</v>
      </c>
      <c r="F525" t="str">
        <f>TEXT(tblExpense[[#This Row],[Date]],"mmm")</f>
        <v>Jun</v>
      </c>
    </row>
    <row r="526" spans="1:6" x14ac:dyDescent="0.3">
      <c r="A526" s="1">
        <v>45459</v>
      </c>
      <c r="B526" t="s">
        <v>1531</v>
      </c>
      <c r="C526" t="s">
        <v>1532</v>
      </c>
      <c r="D526">
        <v>92749</v>
      </c>
      <c r="E526">
        <f>MONTH(tblExpense[[#This Row],[Date]])</f>
        <v>6</v>
      </c>
      <c r="F526" t="str">
        <f>TEXT(tblExpense[[#This Row],[Date]],"mmm")</f>
        <v>Jun</v>
      </c>
    </row>
    <row r="527" spans="1:6" x14ac:dyDescent="0.3">
      <c r="A527" s="1">
        <v>45461</v>
      </c>
      <c r="B527" t="s">
        <v>1536</v>
      </c>
      <c r="C527" t="s">
        <v>1530</v>
      </c>
      <c r="D527">
        <v>19263</v>
      </c>
      <c r="E527">
        <f>MONTH(tblExpense[[#This Row],[Date]])</f>
        <v>6</v>
      </c>
      <c r="F527" t="str">
        <f>TEXT(tblExpense[[#This Row],[Date]],"mmm")</f>
        <v>Jun</v>
      </c>
    </row>
    <row r="528" spans="1:6" x14ac:dyDescent="0.3">
      <c r="A528" s="1">
        <v>45465</v>
      </c>
      <c r="B528" t="s">
        <v>1536</v>
      </c>
      <c r="C528" t="s">
        <v>1534</v>
      </c>
      <c r="D528">
        <v>87028</v>
      </c>
      <c r="E528">
        <f>MONTH(tblExpense[[#This Row],[Date]])</f>
        <v>6</v>
      </c>
      <c r="F528" t="str">
        <f>TEXT(tblExpense[[#This Row],[Date]],"mmm")</f>
        <v>Jun</v>
      </c>
    </row>
    <row r="529" spans="1:6" x14ac:dyDescent="0.3">
      <c r="A529" s="1">
        <v>45465</v>
      </c>
      <c r="B529" t="s">
        <v>1536</v>
      </c>
      <c r="C529" t="s">
        <v>1535</v>
      </c>
      <c r="D529">
        <v>36331</v>
      </c>
      <c r="E529">
        <f>MONTH(tblExpense[[#This Row],[Date]])</f>
        <v>6</v>
      </c>
      <c r="F529" t="str">
        <f>TEXT(tblExpense[[#This Row],[Date]],"mmm")</f>
        <v>Jun</v>
      </c>
    </row>
    <row r="530" spans="1:6" x14ac:dyDescent="0.3">
      <c r="A530" s="1">
        <v>45455</v>
      </c>
      <c r="B530" t="s">
        <v>1533</v>
      </c>
      <c r="C530" t="s">
        <v>1537</v>
      </c>
      <c r="D530">
        <v>81355</v>
      </c>
      <c r="E530">
        <f>MONTH(tblExpense[[#This Row],[Date]])</f>
        <v>6</v>
      </c>
      <c r="F530" t="str">
        <f>TEXT(tblExpense[[#This Row],[Date]],"mmm")</f>
        <v>Jun</v>
      </c>
    </row>
    <row r="531" spans="1:6" x14ac:dyDescent="0.3">
      <c r="A531" s="1">
        <v>45466</v>
      </c>
      <c r="B531" t="s">
        <v>1538</v>
      </c>
      <c r="C531" t="s">
        <v>1535</v>
      </c>
      <c r="D531">
        <v>61975</v>
      </c>
      <c r="E531">
        <f>MONTH(tblExpense[[#This Row],[Date]])</f>
        <v>6</v>
      </c>
      <c r="F531" t="str">
        <f>TEXT(tblExpense[[#This Row],[Date]],"mmm")</f>
        <v>Jun</v>
      </c>
    </row>
    <row r="532" spans="1:6" x14ac:dyDescent="0.3">
      <c r="A532" s="1">
        <v>45471</v>
      </c>
      <c r="B532" t="s">
        <v>1538</v>
      </c>
      <c r="C532" t="s">
        <v>1535</v>
      </c>
      <c r="D532">
        <v>59966</v>
      </c>
      <c r="E532">
        <f>MONTH(tblExpense[[#This Row],[Date]])</f>
        <v>6</v>
      </c>
      <c r="F532" t="str">
        <f>TEXT(tblExpense[[#This Row],[Date]],"mmm")</f>
        <v>Jun</v>
      </c>
    </row>
    <row r="533" spans="1:6" x14ac:dyDescent="0.3">
      <c r="A533" s="1">
        <v>45459</v>
      </c>
      <c r="B533" t="s">
        <v>1538</v>
      </c>
      <c r="C533" t="s">
        <v>1534</v>
      </c>
      <c r="D533">
        <v>40998</v>
      </c>
      <c r="E533">
        <f>MONTH(tblExpense[[#This Row],[Date]])</f>
        <v>6</v>
      </c>
      <c r="F533" t="str">
        <f>TEXT(tblExpense[[#This Row],[Date]],"mmm")</f>
        <v>Jun</v>
      </c>
    </row>
    <row r="534" spans="1:6" x14ac:dyDescent="0.3">
      <c r="A534" s="1">
        <v>45446</v>
      </c>
      <c r="B534" t="s">
        <v>1529</v>
      </c>
      <c r="C534" t="s">
        <v>1537</v>
      </c>
      <c r="D534">
        <v>46718</v>
      </c>
      <c r="E534">
        <f>MONTH(tblExpense[[#This Row],[Date]])</f>
        <v>6</v>
      </c>
      <c r="F534" t="str">
        <f>TEXT(tblExpense[[#This Row],[Date]],"mmm")</f>
        <v>Jun</v>
      </c>
    </row>
    <row r="535" spans="1:6" x14ac:dyDescent="0.3">
      <c r="A535" s="1">
        <v>45466</v>
      </c>
      <c r="B535" t="s">
        <v>1538</v>
      </c>
      <c r="C535" t="s">
        <v>1534</v>
      </c>
      <c r="D535">
        <v>32196</v>
      </c>
      <c r="E535">
        <f>MONTH(tblExpense[[#This Row],[Date]])</f>
        <v>6</v>
      </c>
      <c r="F535" t="str">
        <f>TEXT(tblExpense[[#This Row],[Date]],"mmm")</f>
        <v>Jun</v>
      </c>
    </row>
    <row r="536" spans="1:6" x14ac:dyDescent="0.3">
      <c r="A536" s="1">
        <v>45444</v>
      </c>
      <c r="B536" t="s">
        <v>1536</v>
      </c>
      <c r="C536" t="s">
        <v>1532</v>
      </c>
      <c r="D536">
        <v>77459</v>
      </c>
      <c r="E536">
        <f>MONTH(tblExpense[[#This Row],[Date]])</f>
        <v>6</v>
      </c>
      <c r="F536" t="str">
        <f>TEXT(tblExpense[[#This Row],[Date]],"mmm")</f>
        <v>Jun</v>
      </c>
    </row>
    <row r="537" spans="1:6" x14ac:dyDescent="0.3">
      <c r="A537" s="1">
        <v>45444</v>
      </c>
      <c r="B537" t="s">
        <v>1536</v>
      </c>
      <c r="C537" t="s">
        <v>1532</v>
      </c>
      <c r="D537">
        <v>64029</v>
      </c>
      <c r="E537">
        <f>MONTH(tblExpense[[#This Row],[Date]])</f>
        <v>6</v>
      </c>
      <c r="F537" t="str">
        <f>TEXT(tblExpense[[#This Row],[Date]],"mmm")</f>
        <v>Jun</v>
      </c>
    </row>
    <row r="538" spans="1:6" x14ac:dyDescent="0.3">
      <c r="A538" s="1">
        <v>45445</v>
      </c>
      <c r="B538" t="s">
        <v>1536</v>
      </c>
      <c r="C538" t="s">
        <v>1534</v>
      </c>
      <c r="D538">
        <v>26584</v>
      </c>
      <c r="E538">
        <f>MONTH(tblExpense[[#This Row],[Date]])</f>
        <v>6</v>
      </c>
      <c r="F538" t="str">
        <f>TEXT(tblExpense[[#This Row],[Date]],"mmm")</f>
        <v>Jun</v>
      </c>
    </row>
    <row r="539" spans="1:6" x14ac:dyDescent="0.3">
      <c r="A539" s="1">
        <v>45462</v>
      </c>
      <c r="B539" t="s">
        <v>1531</v>
      </c>
      <c r="C539" t="s">
        <v>1530</v>
      </c>
      <c r="D539">
        <v>6575</v>
      </c>
      <c r="E539">
        <f>MONTH(tblExpense[[#This Row],[Date]])</f>
        <v>6</v>
      </c>
      <c r="F539" t="str">
        <f>TEXT(tblExpense[[#This Row],[Date]],"mmm")</f>
        <v>Jun</v>
      </c>
    </row>
    <row r="540" spans="1:6" x14ac:dyDescent="0.3">
      <c r="A540" s="1">
        <v>45467</v>
      </c>
      <c r="B540" t="s">
        <v>1533</v>
      </c>
      <c r="C540" t="s">
        <v>1532</v>
      </c>
      <c r="D540">
        <v>8946</v>
      </c>
      <c r="E540">
        <f>MONTH(tblExpense[[#This Row],[Date]])</f>
        <v>6</v>
      </c>
      <c r="F540" t="str">
        <f>TEXT(tblExpense[[#This Row],[Date]],"mmm")</f>
        <v>Jun</v>
      </c>
    </row>
    <row r="541" spans="1:6" x14ac:dyDescent="0.3">
      <c r="A541" s="1">
        <v>45460</v>
      </c>
      <c r="B541" t="s">
        <v>1536</v>
      </c>
      <c r="C541" t="s">
        <v>1534</v>
      </c>
      <c r="D541">
        <v>75359</v>
      </c>
      <c r="E541">
        <f>MONTH(tblExpense[[#This Row],[Date]])</f>
        <v>6</v>
      </c>
      <c r="F541" t="str">
        <f>TEXT(tblExpense[[#This Row],[Date]],"mmm")</f>
        <v>Jun</v>
      </c>
    </row>
    <row r="542" spans="1:6" x14ac:dyDescent="0.3">
      <c r="A542" s="1">
        <v>45463</v>
      </c>
      <c r="B542" t="s">
        <v>1529</v>
      </c>
      <c r="C542" t="s">
        <v>1535</v>
      </c>
      <c r="D542">
        <v>9958</v>
      </c>
      <c r="E542">
        <f>MONTH(tblExpense[[#This Row],[Date]])</f>
        <v>6</v>
      </c>
      <c r="F542" t="str">
        <f>TEXT(tblExpense[[#This Row],[Date]],"mmm")</f>
        <v>Jun</v>
      </c>
    </row>
    <row r="543" spans="1:6" x14ac:dyDescent="0.3">
      <c r="A543" s="1">
        <v>45471</v>
      </c>
      <c r="B543" t="s">
        <v>1531</v>
      </c>
      <c r="C543" t="s">
        <v>1532</v>
      </c>
      <c r="D543">
        <v>28989</v>
      </c>
      <c r="E543">
        <f>MONTH(tblExpense[[#This Row],[Date]])</f>
        <v>6</v>
      </c>
      <c r="F543" t="str">
        <f>TEXT(tblExpense[[#This Row],[Date]],"mmm")</f>
        <v>Jun</v>
      </c>
    </row>
    <row r="544" spans="1:6" x14ac:dyDescent="0.3">
      <c r="A544" s="1">
        <v>45444</v>
      </c>
      <c r="B544" t="s">
        <v>1531</v>
      </c>
      <c r="C544" t="s">
        <v>1537</v>
      </c>
      <c r="D544">
        <v>10543</v>
      </c>
      <c r="E544">
        <f>MONTH(tblExpense[[#This Row],[Date]])</f>
        <v>6</v>
      </c>
      <c r="F544" t="str">
        <f>TEXT(tblExpense[[#This Row],[Date]],"mmm")</f>
        <v>Jun</v>
      </c>
    </row>
    <row r="545" spans="1:6" x14ac:dyDescent="0.3">
      <c r="A545" s="1">
        <v>45453</v>
      </c>
      <c r="B545" t="s">
        <v>1536</v>
      </c>
      <c r="C545" t="s">
        <v>1530</v>
      </c>
      <c r="D545">
        <v>62710</v>
      </c>
      <c r="E545">
        <f>MONTH(tblExpense[[#This Row],[Date]])</f>
        <v>6</v>
      </c>
      <c r="F545" t="str">
        <f>TEXT(tblExpense[[#This Row],[Date]],"mmm")</f>
        <v>Jun</v>
      </c>
    </row>
    <row r="546" spans="1:6" x14ac:dyDescent="0.3">
      <c r="A546" s="1">
        <v>45463</v>
      </c>
      <c r="B546" t="s">
        <v>1529</v>
      </c>
      <c r="C546" t="s">
        <v>1532</v>
      </c>
      <c r="D546">
        <v>39813</v>
      </c>
      <c r="E546">
        <f>MONTH(tblExpense[[#This Row],[Date]])</f>
        <v>6</v>
      </c>
      <c r="F546" t="str">
        <f>TEXT(tblExpense[[#This Row],[Date]],"mmm")</f>
        <v>Jun</v>
      </c>
    </row>
    <row r="547" spans="1:6" x14ac:dyDescent="0.3">
      <c r="A547" s="1">
        <v>45446</v>
      </c>
      <c r="B547" t="s">
        <v>1531</v>
      </c>
      <c r="C547" t="s">
        <v>1532</v>
      </c>
      <c r="D547">
        <v>82907</v>
      </c>
      <c r="E547">
        <f>MONTH(tblExpense[[#This Row],[Date]])</f>
        <v>6</v>
      </c>
      <c r="F547" t="str">
        <f>TEXT(tblExpense[[#This Row],[Date]],"mmm")</f>
        <v>Jun</v>
      </c>
    </row>
    <row r="548" spans="1:6" x14ac:dyDescent="0.3">
      <c r="A548" s="1">
        <v>45456</v>
      </c>
      <c r="B548" t="s">
        <v>1531</v>
      </c>
      <c r="C548" t="s">
        <v>1535</v>
      </c>
      <c r="D548">
        <v>34669</v>
      </c>
      <c r="E548">
        <f>MONTH(tblExpense[[#This Row],[Date]])</f>
        <v>6</v>
      </c>
      <c r="F548" t="str">
        <f>TEXT(tblExpense[[#This Row],[Date]],"mmm")</f>
        <v>Jun</v>
      </c>
    </row>
    <row r="549" spans="1:6" x14ac:dyDescent="0.3">
      <c r="A549" s="1">
        <v>45465</v>
      </c>
      <c r="B549" t="s">
        <v>1538</v>
      </c>
      <c r="C549" t="s">
        <v>1530</v>
      </c>
      <c r="D549">
        <v>29355</v>
      </c>
      <c r="E549">
        <f>MONTH(tblExpense[[#This Row],[Date]])</f>
        <v>6</v>
      </c>
      <c r="F549" t="str">
        <f>TEXT(tblExpense[[#This Row],[Date]],"mmm")</f>
        <v>Jun</v>
      </c>
    </row>
    <row r="550" spans="1:6" x14ac:dyDescent="0.3">
      <c r="A550" s="1">
        <v>45445</v>
      </c>
      <c r="B550" t="s">
        <v>1538</v>
      </c>
      <c r="C550" t="s">
        <v>1534</v>
      </c>
      <c r="D550">
        <v>71924</v>
      </c>
      <c r="E550">
        <f>MONTH(tblExpense[[#This Row],[Date]])</f>
        <v>6</v>
      </c>
      <c r="F550" t="str">
        <f>TEXT(tblExpense[[#This Row],[Date]],"mmm")</f>
        <v>Jun</v>
      </c>
    </row>
    <row r="551" spans="1:6" x14ac:dyDescent="0.3">
      <c r="A551" s="1">
        <v>45462</v>
      </c>
      <c r="B551" t="s">
        <v>1536</v>
      </c>
      <c r="C551" t="s">
        <v>1532</v>
      </c>
      <c r="D551">
        <v>60858</v>
      </c>
      <c r="E551">
        <f>MONTH(tblExpense[[#This Row],[Date]])</f>
        <v>6</v>
      </c>
      <c r="F551" t="str">
        <f>TEXT(tblExpense[[#This Row],[Date]],"mmm")</f>
        <v>Jun</v>
      </c>
    </row>
    <row r="552" spans="1:6" x14ac:dyDescent="0.3">
      <c r="A552" s="1">
        <v>45444</v>
      </c>
      <c r="B552" t="s">
        <v>1533</v>
      </c>
      <c r="C552" t="s">
        <v>1535</v>
      </c>
      <c r="D552">
        <v>44607</v>
      </c>
      <c r="E552">
        <f>MONTH(tblExpense[[#This Row],[Date]])</f>
        <v>6</v>
      </c>
      <c r="F552" t="str">
        <f>TEXT(tblExpense[[#This Row],[Date]],"mmm")</f>
        <v>Jun</v>
      </c>
    </row>
    <row r="553" spans="1:6" x14ac:dyDescent="0.3">
      <c r="A553" s="1">
        <v>45457</v>
      </c>
      <c r="B553" t="s">
        <v>1538</v>
      </c>
      <c r="C553" t="s">
        <v>1532</v>
      </c>
      <c r="D553">
        <v>9853</v>
      </c>
      <c r="E553">
        <f>MONTH(tblExpense[[#This Row],[Date]])</f>
        <v>6</v>
      </c>
      <c r="F553" t="str">
        <f>TEXT(tblExpense[[#This Row],[Date]],"mmm")</f>
        <v>Jun</v>
      </c>
    </row>
    <row r="554" spans="1:6" x14ac:dyDescent="0.3">
      <c r="A554" s="1">
        <v>45470</v>
      </c>
      <c r="B554" t="s">
        <v>1531</v>
      </c>
      <c r="C554" t="s">
        <v>1530</v>
      </c>
      <c r="D554">
        <v>65215</v>
      </c>
      <c r="E554">
        <f>MONTH(tblExpense[[#This Row],[Date]])</f>
        <v>6</v>
      </c>
      <c r="F554" t="str">
        <f>TEXT(tblExpense[[#This Row],[Date]],"mmm")</f>
        <v>Jun</v>
      </c>
    </row>
    <row r="555" spans="1:6" x14ac:dyDescent="0.3">
      <c r="A555" s="1">
        <v>45445</v>
      </c>
      <c r="B555" t="s">
        <v>1531</v>
      </c>
      <c r="C555" t="s">
        <v>1532</v>
      </c>
      <c r="D555">
        <v>50430</v>
      </c>
      <c r="E555">
        <f>MONTH(tblExpense[[#This Row],[Date]])</f>
        <v>6</v>
      </c>
      <c r="F555" t="str">
        <f>TEXT(tblExpense[[#This Row],[Date]],"mmm")</f>
        <v>Jun</v>
      </c>
    </row>
    <row r="556" spans="1:6" x14ac:dyDescent="0.3">
      <c r="A556" s="1">
        <v>45464</v>
      </c>
      <c r="B556" t="s">
        <v>1531</v>
      </c>
      <c r="C556" t="s">
        <v>1534</v>
      </c>
      <c r="D556">
        <v>45931</v>
      </c>
      <c r="E556">
        <f>MONTH(tblExpense[[#This Row],[Date]])</f>
        <v>6</v>
      </c>
      <c r="F556" t="str">
        <f>TEXT(tblExpense[[#This Row],[Date]],"mmm")</f>
        <v>Jun</v>
      </c>
    </row>
    <row r="557" spans="1:6" x14ac:dyDescent="0.3">
      <c r="A557" s="1">
        <v>45468</v>
      </c>
      <c r="B557" t="s">
        <v>1538</v>
      </c>
      <c r="C557" t="s">
        <v>1532</v>
      </c>
      <c r="D557">
        <v>60803</v>
      </c>
      <c r="E557">
        <f>MONTH(tblExpense[[#This Row],[Date]])</f>
        <v>6</v>
      </c>
      <c r="F557" t="str">
        <f>TEXT(tblExpense[[#This Row],[Date]],"mmm")</f>
        <v>Jun</v>
      </c>
    </row>
    <row r="558" spans="1:6" x14ac:dyDescent="0.3">
      <c r="A558" s="1">
        <v>45472</v>
      </c>
      <c r="B558" t="s">
        <v>1529</v>
      </c>
      <c r="C558" t="s">
        <v>1530</v>
      </c>
      <c r="D558">
        <v>72171</v>
      </c>
      <c r="E558">
        <f>MONTH(tblExpense[[#This Row],[Date]])</f>
        <v>6</v>
      </c>
      <c r="F558" t="str">
        <f>TEXT(tblExpense[[#This Row],[Date]],"mmm")</f>
        <v>Jun</v>
      </c>
    </row>
    <row r="559" spans="1:6" x14ac:dyDescent="0.3">
      <c r="A559" s="1">
        <v>45444</v>
      </c>
      <c r="B559" t="s">
        <v>1538</v>
      </c>
      <c r="C559" t="s">
        <v>1532</v>
      </c>
      <c r="D559">
        <v>29916</v>
      </c>
      <c r="E559">
        <f>MONTH(tblExpense[[#This Row],[Date]])</f>
        <v>6</v>
      </c>
      <c r="F559" t="str">
        <f>TEXT(tblExpense[[#This Row],[Date]],"mmm")</f>
        <v>Jun</v>
      </c>
    </row>
    <row r="560" spans="1:6" x14ac:dyDescent="0.3">
      <c r="A560" s="1">
        <v>45470</v>
      </c>
      <c r="B560" t="s">
        <v>1529</v>
      </c>
      <c r="C560" t="s">
        <v>1532</v>
      </c>
      <c r="D560">
        <v>19050</v>
      </c>
      <c r="E560">
        <f>MONTH(tblExpense[[#This Row],[Date]])</f>
        <v>6</v>
      </c>
      <c r="F560" t="str">
        <f>TEXT(tblExpense[[#This Row],[Date]],"mmm")</f>
        <v>Jun</v>
      </c>
    </row>
    <row r="561" spans="1:6" x14ac:dyDescent="0.3">
      <c r="A561" s="1">
        <v>45448</v>
      </c>
      <c r="B561" t="s">
        <v>1538</v>
      </c>
      <c r="C561" t="s">
        <v>1532</v>
      </c>
      <c r="D561">
        <v>26780</v>
      </c>
      <c r="E561">
        <f>MONTH(tblExpense[[#This Row],[Date]])</f>
        <v>6</v>
      </c>
      <c r="F561" t="str">
        <f>TEXT(tblExpense[[#This Row],[Date]],"mmm")</f>
        <v>Jun</v>
      </c>
    </row>
    <row r="562" spans="1:6" x14ac:dyDescent="0.3">
      <c r="A562" s="1">
        <v>45463</v>
      </c>
      <c r="B562" t="s">
        <v>1538</v>
      </c>
      <c r="C562" t="s">
        <v>1530</v>
      </c>
      <c r="D562">
        <v>81731</v>
      </c>
      <c r="E562">
        <f>MONTH(tblExpense[[#This Row],[Date]])</f>
        <v>6</v>
      </c>
      <c r="F562" t="str">
        <f>TEXT(tblExpense[[#This Row],[Date]],"mmm")</f>
        <v>Jun</v>
      </c>
    </row>
    <row r="563" spans="1:6" x14ac:dyDescent="0.3">
      <c r="A563" s="1">
        <v>45444</v>
      </c>
      <c r="B563" t="s">
        <v>1536</v>
      </c>
      <c r="C563" t="s">
        <v>1537</v>
      </c>
      <c r="D563">
        <v>68248</v>
      </c>
      <c r="E563">
        <f>MONTH(tblExpense[[#This Row],[Date]])</f>
        <v>6</v>
      </c>
      <c r="F563" t="str">
        <f>TEXT(tblExpense[[#This Row],[Date]],"mmm")</f>
        <v>Jun</v>
      </c>
    </row>
    <row r="564" spans="1:6" x14ac:dyDescent="0.3">
      <c r="A564" s="1">
        <v>45473</v>
      </c>
      <c r="B564" t="s">
        <v>1536</v>
      </c>
      <c r="C564" t="s">
        <v>1535</v>
      </c>
      <c r="D564">
        <v>66496</v>
      </c>
      <c r="E564">
        <f>MONTH(tblExpense[[#This Row],[Date]])</f>
        <v>6</v>
      </c>
      <c r="F564" t="str">
        <f>TEXT(tblExpense[[#This Row],[Date]],"mmm")</f>
        <v>Jun</v>
      </c>
    </row>
    <row r="565" spans="1:6" x14ac:dyDescent="0.3">
      <c r="A565" s="1">
        <v>45447</v>
      </c>
      <c r="B565" t="s">
        <v>1533</v>
      </c>
      <c r="C565" t="s">
        <v>1535</v>
      </c>
      <c r="D565">
        <v>36766</v>
      </c>
      <c r="E565">
        <f>MONTH(tblExpense[[#This Row],[Date]])</f>
        <v>6</v>
      </c>
      <c r="F565" t="str">
        <f>TEXT(tblExpense[[#This Row],[Date]],"mmm")</f>
        <v>Jun</v>
      </c>
    </row>
    <row r="566" spans="1:6" x14ac:dyDescent="0.3">
      <c r="A566" s="1">
        <v>45450</v>
      </c>
      <c r="B566" t="s">
        <v>1538</v>
      </c>
      <c r="C566" t="s">
        <v>1534</v>
      </c>
      <c r="D566">
        <v>89327</v>
      </c>
      <c r="E566">
        <f>MONTH(tblExpense[[#This Row],[Date]])</f>
        <v>6</v>
      </c>
      <c r="F566" t="str">
        <f>TEXT(tblExpense[[#This Row],[Date]],"mmm")</f>
        <v>Jun</v>
      </c>
    </row>
    <row r="567" spans="1:6" x14ac:dyDescent="0.3">
      <c r="A567" s="1">
        <v>45449</v>
      </c>
      <c r="B567" t="s">
        <v>1529</v>
      </c>
      <c r="C567" t="s">
        <v>1534</v>
      </c>
      <c r="D567">
        <v>67001</v>
      </c>
      <c r="E567">
        <f>MONTH(tblExpense[[#This Row],[Date]])</f>
        <v>6</v>
      </c>
      <c r="F567" t="str">
        <f>TEXT(tblExpense[[#This Row],[Date]],"mmm")</f>
        <v>Jun</v>
      </c>
    </row>
    <row r="568" spans="1:6" x14ac:dyDescent="0.3">
      <c r="A568" s="1">
        <v>45469</v>
      </c>
      <c r="B568" t="s">
        <v>1533</v>
      </c>
      <c r="C568" t="s">
        <v>1530</v>
      </c>
      <c r="D568">
        <v>22859</v>
      </c>
      <c r="E568">
        <f>MONTH(tblExpense[[#This Row],[Date]])</f>
        <v>6</v>
      </c>
      <c r="F568" t="str">
        <f>TEXT(tblExpense[[#This Row],[Date]],"mmm")</f>
        <v>Jun</v>
      </c>
    </row>
    <row r="569" spans="1:6" x14ac:dyDescent="0.3">
      <c r="A569" s="1">
        <v>45455</v>
      </c>
      <c r="B569" t="s">
        <v>1529</v>
      </c>
      <c r="C569" t="s">
        <v>1532</v>
      </c>
      <c r="D569">
        <v>96975</v>
      </c>
      <c r="E569">
        <f>MONTH(tblExpense[[#This Row],[Date]])</f>
        <v>6</v>
      </c>
      <c r="F569" t="str">
        <f>TEXT(tblExpense[[#This Row],[Date]],"mmm")</f>
        <v>Jun</v>
      </c>
    </row>
    <row r="570" spans="1:6" x14ac:dyDescent="0.3">
      <c r="A570" s="1">
        <v>45466</v>
      </c>
      <c r="B570" t="s">
        <v>1533</v>
      </c>
      <c r="C570" t="s">
        <v>1534</v>
      </c>
      <c r="D570">
        <v>75394</v>
      </c>
      <c r="E570">
        <f>MONTH(tblExpense[[#This Row],[Date]])</f>
        <v>6</v>
      </c>
      <c r="F570" t="str">
        <f>TEXT(tblExpense[[#This Row],[Date]],"mmm")</f>
        <v>Jun</v>
      </c>
    </row>
    <row r="571" spans="1:6" x14ac:dyDescent="0.3">
      <c r="A571" s="1">
        <v>45461</v>
      </c>
      <c r="B571" t="s">
        <v>1533</v>
      </c>
      <c r="C571" t="s">
        <v>1535</v>
      </c>
      <c r="D571">
        <v>49803</v>
      </c>
      <c r="E571">
        <f>MONTH(tblExpense[[#This Row],[Date]])</f>
        <v>6</v>
      </c>
      <c r="F571" t="str">
        <f>TEXT(tblExpense[[#This Row],[Date]],"mmm")</f>
        <v>Jun</v>
      </c>
    </row>
    <row r="572" spans="1:6" x14ac:dyDescent="0.3">
      <c r="A572" s="1">
        <v>45459</v>
      </c>
      <c r="B572" t="s">
        <v>1531</v>
      </c>
      <c r="C572" t="s">
        <v>1532</v>
      </c>
      <c r="D572">
        <v>99580</v>
      </c>
      <c r="E572">
        <f>MONTH(tblExpense[[#This Row],[Date]])</f>
        <v>6</v>
      </c>
      <c r="F572" t="str">
        <f>TEXT(tblExpense[[#This Row],[Date]],"mmm")</f>
        <v>Jun</v>
      </c>
    </row>
    <row r="573" spans="1:6" x14ac:dyDescent="0.3">
      <c r="A573" s="1">
        <v>45449</v>
      </c>
      <c r="B573" t="s">
        <v>1536</v>
      </c>
      <c r="C573" t="s">
        <v>1532</v>
      </c>
      <c r="D573">
        <v>73743</v>
      </c>
      <c r="E573">
        <f>MONTH(tblExpense[[#This Row],[Date]])</f>
        <v>6</v>
      </c>
      <c r="F573" t="str">
        <f>TEXT(tblExpense[[#This Row],[Date]],"mmm")</f>
        <v>Jun</v>
      </c>
    </row>
    <row r="574" spans="1:6" x14ac:dyDescent="0.3">
      <c r="A574" s="1">
        <v>45461</v>
      </c>
      <c r="B574" t="s">
        <v>1538</v>
      </c>
      <c r="C574" t="s">
        <v>1532</v>
      </c>
      <c r="D574">
        <v>69730</v>
      </c>
      <c r="E574">
        <f>MONTH(tblExpense[[#This Row],[Date]])</f>
        <v>6</v>
      </c>
      <c r="F574" t="str">
        <f>TEXT(tblExpense[[#This Row],[Date]],"mmm")</f>
        <v>Jun</v>
      </c>
    </row>
    <row r="575" spans="1:6" x14ac:dyDescent="0.3">
      <c r="A575" s="1">
        <v>45466</v>
      </c>
      <c r="B575" t="s">
        <v>1531</v>
      </c>
      <c r="C575" t="s">
        <v>1534</v>
      </c>
      <c r="D575">
        <v>60876</v>
      </c>
      <c r="E575">
        <f>MONTH(tblExpense[[#This Row],[Date]])</f>
        <v>6</v>
      </c>
      <c r="F575" t="str">
        <f>TEXT(tblExpense[[#This Row],[Date]],"mmm")</f>
        <v>Jun</v>
      </c>
    </row>
    <row r="576" spans="1:6" x14ac:dyDescent="0.3">
      <c r="A576" s="1">
        <v>45469</v>
      </c>
      <c r="B576" t="s">
        <v>1538</v>
      </c>
      <c r="C576" t="s">
        <v>1532</v>
      </c>
      <c r="D576">
        <v>80881</v>
      </c>
      <c r="E576">
        <f>MONTH(tblExpense[[#This Row],[Date]])</f>
        <v>6</v>
      </c>
      <c r="F576" t="str">
        <f>TEXT(tblExpense[[#This Row],[Date]],"mmm")</f>
        <v>Jun</v>
      </c>
    </row>
    <row r="577" spans="1:6" x14ac:dyDescent="0.3">
      <c r="A577" s="1">
        <v>45449</v>
      </c>
      <c r="B577" t="s">
        <v>1536</v>
      </c>
      <c r="C577" t="s">
        <v>1532</v>
      </c>
      <c r="D577">
        <v>36842</v>
      </c>
      <c r="E577">
        <f>MONTH(tblExpense[[#This Row],[Date]])</f>
        <v>6</v>
      </c>
      <c r="F577" t="str">
        <f>TEXT(tblExpense[[#This Row],[Date]],"mmm")</f>
        <v>Jun</v>
      </c>
    </row>
    <row r="578" spans="1:6" x14ac:dyDescent="0.3">
      <c r="A578" s="1">
        <v>45459</v>
      </c>
      <c r="B578" t="s">
        <v>1536</v>
      </c>
      <c r="C578" t="s">
        <v>1534</v>
      </c>
      <c r="D578">
        <v>80761</v>
      </c>
      <c r="E578">
        <f>MONTH(tblExpense[[#This Row],[Date]])</f>
        <v>6</v>
      </c>
      <c r="F578" t="str">
        <f>TEXT(tblExpense[[#This Row],[Date]],"mmm")</f>
        <v>Jun</v>
      </c>
    </row>
    <row r="579" spans="1:6" x14ac:dyDescent="0.3">
      <c r="A579" s="1">
        <v>45445</v>
      </c>
      <c r="B579" t="s">
        <v>1529</v>
      </c>
      <c r="C579" t="s">
        <v>1535</v>
      </c>
      <c r="D579">
        <v>50243</v>
      </c>
      <c r="E579">
        <f>MONTH(tblExpense[[#This Row],[Date]])</f>
        <v>6</v>
      </c>
      <c r="F579" t="str">
        <f>TEXT(tblExpense[[#This Row],[Date]],"mmm")</f>
        <v>Jun</v>
      </c>
    </row>
    <row r="580" spans="1:6" x14ac:dyDescent="0.3">
      <c r="A580" s="1">
        <v>45457</v>
      </c>
      <c r="B580" t="s">
        <v>1538</v>
      </c>
      <c r="C580" t="s">
        <v>1530</v>
      </c>
      <c r="D580">
        <v>70807</v>
      </c>
      <c r="E580">
        <f>MONTH(tblExpense[[#This Row],[Date]])</f>
        <v>6</v>
      </c>
      <c r="F580" t="str">
        <f>TEXT(tblExpense[[#This Row],[Date]],"mmm")</f>
        <v>Jun</v>
      </c>
    </row>
    <row r="581" spans="1:6" x14ac:dyDescent="0.3">
      <c r="A581" s="1">
        <v>45472</v>
      </c>
      <c r="B581" t="s">
        <v>1531</v>
      </c>
      <c r="C581" t="s">
        <v>1537</v>
      </c>
      <c r="D581">
        <v>58949</v>
      </c>
      <c r="E581">
        <f>MONTH(tblExpense[[#This Row],[Date]])</f>
        <v>6</v>
      </c>
      <c r="F581" t="str">
        <f>TEXT(tblExpense[[#This Row],[Date]],"mmm")</f>
        <v>Jun</v>
      </c>
    </row>
    <row r="582" spans="1:6" x14ac:dyDescent="0.3">
      <c r="A582" s="1">
        <v>45503</v>
      </c>
      <c r="B582" t="s">
        <v>1529</v>
      </c>
      <c r="C582" t="s">
        <v>1530</v>
      </c>
      <c r="D582">
        <v>80018</v>
      </c>
      <c r="E582">
        <f>MONTH(tblExpense[[#This Row],[Date]])</f>
        <v>7</v>
      </c>
      <c r="F582" t="str">
        <f>TEXT(tblExpense[[#This Row],[Date]],"mmm")</f>
        <v>Jul</v>
      </c>
    </row>
    <row r="583" spans="1:6" x14ac:dyDescent="0.3">
      <c r="A583" s="1">
        <v>45490</v>
      </c>
      <c r="B583" t="s">
        <v>1533</v>
      </c>
      <c r="C583" t="s">
        <v>1530</v>
      </c>
      <c r="D583">
        <v>69479</v>
      </c>
      <c r="E583">
        <f>MONTH(tblExpense[[#This Row],[Date]])</f>
        <v>7</v>
      </c>
      <c r="F583" t="str">
        <f>TEXT(tblExpense[[#This Row],[Date]],"mmm")</f>
        <v>Jul</v>
      </c>
    </row>
    <row r="584" spans="1:6" x14ac:dyDescent="0.3">
      <c r="A584" s="1">
        <v>45500</v>
      </c>
      <c r="B584" t="s">
        <v>1531</v>
      </c>
      <c r="C584" t="s">
        <v>1537</v>
      </c>
      <c r="D584">
        <v>7148</v>
      </c>
      <c r="E584">
        <f>MONTH(tblExpense[[#This Row],[Date]])</f>
        <v>7</v>
      </c>
      <c r="F584" t="str">
        <f>TEXT(tblExpense[[#This Row],[Date]],"mmm")</f>
        <v>Jul</v>
      </c>
    </row>
    <row r="585" spans="1:6" x14ac:dyDescent="0.3">
      <c r="A585" s="1">
        <v>45481</v>
      </c>
      <c r="B585" t="s">
        <v>1538</v>
      </c>
      <c r="C585" t="s">
        <v>1532</v>
      </c>
      <c r="D585">
        <v>24304</v>
      </c>
      <c r="E585">
        <f>MONTH(tblExpense[[#This Row],[Date]])</f>
        <v>7</v>
      </c>
      <c r="F585" t="str">
        <f>TEXT(tblExpense[[#This Row],[Date]],"mmm")</f>
        <v>Jul</v>
      </c>
    </row>
    <row r="586" spans="1:6" x14ac:dyDescent="0.3">
      <c r="A586" s="1">
        <v>45501</v>
      </c>
      <c r="B586" t="s">
        <v>1529</v>
      </c>
      <c r="C586" t="s">
        <v>1532</v>
      </c>
      <c r="D586">
        <v>59727</v>
      </c>
      <c r="E586">
        <f>MONTH(tblExpense[[#This Row],[Date]])</f>
        <v>7</v>
      </c>
      <c r="F586" t="str">
        <f>TEXT(tblExpense[[#This Row],[Date]],"mmm")</f>
        <v>Jul</v>
      </c>
    </row>
    <row r="587" spans="1:6" x14ac:dyDescent="0.3">
      <c r="A587" s="1">
        <v>45482</v>
      </c>
      <c r="B587" t="s">
        <v>1531</v>
      </c>
      <c r="C587" t="s">
        <v>1535</v>
      </c>
      <c r="D587">
        <v>10484</v>
      </c>
      <c r="E587">
        <f>MONTH(tblExpense[[#This Row],[Date]])</f>
        <v>7</v>
      </c>
      <c r="F587" t="str">
        <f>TEXT(tblExpense[[#This Row],[Date]],"mmm")</f>
        <v>Jul</v>
      </c>
    </row>
    <row r="588" spans="1:6" x14ac:dyDescent="0.3">
      <c r="A588" s="1">
        <v>45488</v>
      </c>
      <c r="B588" t="s">
        <v>1533</v>
      </c>
      <c r="C588" t="s">
        <v>1532</v>
      </c>
      <c r="D588">
        <v>27208</v>
      </c>
      <c r="E588">
        <f>MONTH(tblExpense[[#This Row],[Date]])</f>
        <v>7</v>
      </c>
      <c r="F588" t="str">
        <f>TEXT(tblExpense[[#This Row],[Date]],"mmm")</f>
        <v>Jul</v>
      </c>
    </row>
    <row r="589" spans="1:6" x14ac:dyDescent="0.3">
      <c r="A589" s="1">
        <v>45501</v>
      </c>
      <c r="B589" t="s">
        <v>1531</v>
      </c>
      <c r="C589" t="s">
        <v>1530</v>
      </c>
      <c r="D589">
        <v>17562</v>
      </c>
      <c r="E589">
        <f>MONTH(tblExpense[[#This Row],[Date]])</f>
        <v>7</v>
      </c>
      <c r="F589" t="str">
        <f>TEXT(tblExpense[[#This Row],[Date]],"mmm")</f>
        <v>Jul</v>
      </c>
    </row>
    <row r="590" spans="1:6" x14ac:dyDescent="0.3">
      <c r="A590" s="1">
        <v>45494</v>
      </c>
      <c r="B590" t="s">
        <v>1529</v>
      </c>
      <c r="C590" t="s">
        <v>1534</v>
      </c>
      <c r="D590">
        <v>15374</v>
      </c>
      <c r="E590">
        <f>MONTH(tblExpense[[#This Row],[Date]])</f>
        <v>7</v>
      </c>
      <c r="F590" t="str">
        <f>TEXT(tblExpense[[#This Row],[Date]],"mmm")</f>
        <v>Jul</v>
      </c>
    </row>
    <row r="591" spans="1:6" x14ac:dyDescent="0.3">
      <c r="A591" s="1">
        <v>45475</v>
      </c>
      <c r="B591" t="s">
        <v>1536</v>
      </c>
      <c r="C591" t="s">
        <v>1537</v>
      </c>
      <c r="D591">
        <v>70260</v>
      </c>
      <c r="E591">
        <f>MONTH(tblExpense[[#This Row],[Date]])</f>
        <v>7</v>
      </c>
      <c r="F591" t="str">
        <f>TEXT(tblExpense[[#This Row],[Date]],"mmm")</f>
        <v>Jul</v>
      </c>
    </row>
    <row r="592" spans="1:6" x14ac:dyDescent="0.3">
      <c r="A592" s="1">
        <v>45494</v>
      </c>
      <c r="B592" t="s">
        <v>1533</v>
      </c>
      <c r="C592" t="s">
        <v>1530</v>
      </c>
      <c r="D592">
        <v>71135</v>
      </c>
      <c r="E592">
        <f>MONTH(tblExpense[[#This Row],[Date]])</f>
        <v>7</v>
      </c>
      <c r="F592" t="str">
        <f>TEXT(tblExpense[[#This Row],[Date]],"mmm")</f>
        <v>Jul</v>
      </c>
    </row>
    <row r="593" spans="1:6" x14ac:dyDescent="0.3">
      <c r="A593" s="1">
        <v>45478</v>
      </c>
      <c r="B593" t="s">
        <v>1536</v>
      </c>
      <c r="C593" t="s">
        <v>1530</v>
      </c>
      <c r="D593">
        <v>34818</v>
      </c>
      <c r="E593">
        <f>MONTH(tblExpense[[#This Row],[Date]])</f>
        <v>7</v>
      </c>
      <c r="F593" t="str">
        <f>TEXT(tblExpense[[#This Row],[Date]],"mmm")</f>
        <v>Jul</v>
      </c>
    </row>
    <row r="594" spans="1:6" x14ac:dyDescent="0.3">
      <c r="A594" s="1">
        <v>45499</v>
      </c>
      <c r="B594" t="s">
        <v>1536</v>
      </c>
      <c r="C594" t="s">
        <v>1534</v>
      </c>
      <c r="D594">
        <v>46683</v>
      </c>
      <c r="E594">
        <f>MONTH(tblExpense[[#This Row],[Date]])</f>
        <v>7</v>
      </c>
      <c r="F594" t="str">
        <f>TEXT(tblExpense[[#This Row],[Date]],"mmm")</f>
        <v>Jul</v>
      </c>
    </row>
    <row r="595" spans="1:6" x14ac:dyDescent="0.3">
      <c r="A595" s="1">
        <v>45501</v>
      </c>
      <c r="B595" t="s">
        <v>1533</v>
      </c>
      <c r="C595" t="s">
        <v>1530</v>
      </c>
      <c r="D595">
        <v>85446</v>
      </c>
      <c r="E595">
        <f>MONTH(tblExpense[[#This Row],[Date]])</f>
        <v>7</v>
      </c>
      <c r="F595" t="str">
        <f>TEXT(tblExpense[[#This Row],[Date]],"mmm")</f>
        <v>Jul</v>
      </c>
    </row>
    <row r="596" spans="1:6" x14ac:dyDescent="0.3">
      <c r="A596" s="1">
        <v>45484</v>
      </c>
      <c r="B596" t="s">
        <v>1529</v>
      </c>
      <c r="C596" t="s">
        <v>1532</v>
      </c>
      <c r="D596">
        <v>55396</v>
      </c>
      <c r="E596">
        <f>MONTH(tblExpense[[#This Row],[Date]])</f>
        <v>7</v>
      </c>
      <c r="F596" t="str">
        <f>TEXT(tblExpense[[#This Row],[Date]],"mmm")</f>
        <v>Jul</v>
      </c>
    </row>
    <row r="597" spans="1:6" x14ac:dyDescent="0.3">
      <c r="A597" s="1">
        <v>45481</v>
      </c>
      <c r="B597" t="s">
        <v>1531</v>
      </c>
      <c r="C597" t="s">
        <v>1530</v>
      </c>
      <c r="D597">
        <v>24414</v>
      </c>
      <c r="E597">
        <f>MONTH(tblExpense[[#This Row],[Date]])</f>
        <v>7</v>
      </c>
      <c r="F597" t="str">
        <f>TEXT(tblExpense[[#This Row],[Date]],"mmm")</f>
        <v>Jul</v>
      </c>
    </row>
    <row r="598" spans="1:6" x14ac:dyDescent="0.3">
      <c r="A598" s="1">
        <v>45486</v>
      </c>
      <c r="B598" t="s">
        <v>1531</v>
      </c>
      <c r="C598" t="s">
        <v>1535</v>
      </c>
      <c r="D598">
        <v>39456</v>
      </c>
      <c r="E598">
        <f>MONTH(tblExpense[[#This Row],[Date]])</f>
        <v>7</v>
      </c>
      <c r="F598" t="str">
        <f>TEXT(tblExpense[[#This Row],[Date]],"mmm")</f>
        <v>Jul</v>
      </c>
    </row>
    <row r="599" spans="1:6" x14ac:dyDescent="0.3">
      <c r="A599" s="1">
        <v>45498</v>
      </c>
      <c r="B599" t="s">
        <v>1533</v>
      </c>
      <c r="C599" t="s">
        <v>1530</v>
      </c>
      <c r="D599">
        <v>6866</v>
      </c>
      <c r="E599">
        <f>MONTH(tblExpense[[#This Row],[Date]])</f>
        <v>7</v>
      </c>
      <c r="F599" t="str">
        <f>TEXT(tblExpense[[#This Row],[Date]],"mmm")</f>
        <v>Jul</v>
      </c>
    </row>
    <row r="600" spans="1:6" x14ac:dyDescent="0.3">
      <c r="A600" s="1">
        <v>45479</v>
      </c>
      <c r="B600" t="s">
        <v>1536</v>
      </c>
      <c r="C600" t="s">
        <v>1535</v>
      </c>
      <c r="D600">
        <v>31555</v>
      </c>
      <c r="E600">
        <f>MONTH(tblExpense[[#This Row],[Date]])</f>
        <v>7</v>
      </c>
      <c r="F600" t="str">
        <f>TEXT(tblExpense[[#This Row],[Date]],"mmm")</f>
        <v>Jul</v>
      </c>
    </row>
    <row r="601" spans="1:6" x14ac:dyDescent="0.3">
      <c r="A601" s="1">
        <v>45479</v>
      </c>
      <c r="B601" t="s">
        <v>1531</v>
      </c>
      <c r="C601" t="s">
        <v>1534</v>
      </c>
      <c r="D601">
        <v>85384</v>
      </c>
      <c r="E601">
        <f>MONTH(tblExpense[[#This Row],[Date]])</f>
        <v>7</v>
      </c>
      <c r="F601" t="str">
        <f>TEXT(tblExpense[[#This Row],[Date]],"mmm")</f>
        <v>Jul</v>
      </c>
    </row>
    <row r="602" spans="1:6" x14ac:dyDescent="0.3">
      <c r="A602" s="1">
        <v>45497</v>
      </c>
      <c r="B602" t="s">
        <v>1538</v>
      </c>
      <c r="C602" t="s">
        <v>1535</v>
      </c>
      <c r="D602">
        <v>21976</v>
      </c>
      <c r="E602">
        <f>MONTH(tblExpense[[#This Row],[Date]])</f>
        <v>7</v>
      </c>
      <c r="F602" t="str">
        <f>TEXT(tblExpense[[#This Row],[Date]],"mmm")</f>
        <v>Jul</v>
      </c>
    </row>
    <row r="603" spans="1:6" x14ac:dyDescent="0.3">
      <c r="A603" s="1">
        <v>45484</v>
      </c>
      <c r="B603" t="s">
        <v>1533</v>
      </c>
      <c r="C603" t="s">
        <v>1535</v>
      </c>
      <c r="D603">
        <v>49551</v>
      </c>
      <c r="E603">
        <f>MONTH(tblExpense[[#This Row],[Date]])</f>
        <v>7</v>
      </c>
      <c r="F603" t="str">
        <f>TEXT(tblExpense[[#This Row],[Date]],"mmm")</f>
        <v>Jul</v>
      </c>
    </row>
    <row r="604" spans="1:6" x14ac:dyDescent="0.3">
      <c r="A604" s="1">
        <v>45495</v>
      </c>
      <c r="B604" t="s">
        <v>1531</v>
      </c>
      <c r="C604" t="s">
        <v>1530</v>
      </c>
      <c r="D604">
        <v>32235</v>
      </c>
      <c r="E604">
        <f>MONTH(tblExpense[[#This Row],[Date]])</f>
        <v>7</v>
      </c>
      <c r="F604" t="str">
        <f>TEXT(tblExpense[[#This Row],[Date]],"mmm")</f>
        <v>Jul</v>
      </c>
    </row>
    <row r="605" spans="1:6" x14ac:dyDescent="0.3">
      <c r="A605" s="1">
        <v>45496</v>
      </c>
      <c r="B605" t="s">
        <v>1529</v>
      </c>
      <c r="C605" t="s">
        <v>1535</v>
      </c>
      <c r="D605">
        <v>62642</v>
      </c>
      <c r="E605">
        <f>MONTH(tblExpense[[#This Row],[Date]])</f>
        <v>7</v>
      </c>
      <c r="F605" t="str">
        <f>TEXT(tblExpense[[#This Row],[Date]],"mmm")</f>
        <v>Jul</v>
      </c>
    </row>
    <row r="606" spans="1:6" x14ac:dyDescent="0.3">
      <c r="A606" s="1">
        <v>45497</v>
      </c>
      <c r="B606" t="s">
        <v>1529</v>
      </c>
      <c r="C606" t="s">
        <v>1534</v>
      </c>
      <c r="D606">
        <v>91971</v>
      </c>
      <c r="E606">
        <f>MONTH(tblExpense[[#This Row],[Date]])</f>
        <v>7</v>
      </c>
      <c r="F606" t="str">
        <f>TEXT(tblExpense[[#This Row],[Date]],"mmm")</f>
        <v>Jul</v>
      </c>
    </row>
    <row r="607" spans="1:6" x14ac:dyDescent="0.3">
      <c r="A607" s="1">
        <v>45497</v>
      </c>
      <c r="B607" t="s">
        <v>1533</v>
      </c>
      <c r="C607" t="s">
        <v>1530</v>
      </c>
      <c r="D607">
        <v>95368</v>
      </c>
      <c r="E607">
        <f>MONTH(tblExpense[[#This Row],[Date]])</f>
        <v>7</v>
      </c>
      <c r="F607" t="str">
        <f>TEXT(tblExpense[[#This Row],[Date]],"mmm")</f>
        <v>Jul</v>
      </c>
    </row>
    <row r="608" spans="1:6" x14ac:dyDescent="0.3">
      <c r="A608" s="1">
        <v>45492</v>
      </c>
      <c r="B608" t="s">
        <v>1533</v>
      </c>
      <c r="C608" t="s">
        <v>1537</v>
      </c>
      <c r="D608">
        <v>7660</v>
      </c>
      <c r="E608">
        <f>MONTH(tblExpense[[#This Row],[Date]])</f>
        <v>7</v>
      </c>
      <c r="F608" t="str">
        <f>TEXT(tblExpense[[#This Row],[Date]],"mmm")</f>
        <v>Jul</v>
      </c>
    </row>
    <row r="609" spans="1:6" x14ac:dyDescent="0.3">
      <c r="A609" s="1">
        <v>45481</v>
      </c>
      <c r="B609" t="s">
        <v>1529</v>
      </c>
      <c r="C609" t="s">
        <v>1537</v>
      </c>
      <c r="D609">
        <v>29975</v>
      </c>
      <c r="E609">
        <f>MONTH(tblExpense[[#This Row],[Date]])</f>
        <v>7</v>
      </c>
      <c r="F609" t="str">
        <f>TEXT(tblExpense[[#This Row],[Date]],"mmm")</f>
        <v>Jul</v>
      </c>
    </row>
    <row r="610" spans="1:6" x14ac:dyDescent="0.3">
      <c r="A610" s="1">
        <v>45490</v>
      </c>
      <c r="B610" t="s">
        <v>1533</v>
      </c>
      <c r="C610" t="s">
        <v>1534</v>
      </c>
      <c r="D610">
        <v>98295</v>
      </c>
      <c r="E610">
        <f>MONTH(tblExpense[[#This Row],[Date]])</f>
        <v>7</v>
      </c>
      <c r="F610" t="str">
        <f>TEXT(tblExpense[[#This Row],[Date]],"mmm")</f>
        <v>Jul</v>
      </c>
    </row>
    <row r="611" spans="1:6" x14ac:dyDescent="0.3">
      <c r="A611" s="1">
        <v>45484</v>
      </c>
      <c r="B611" t="s">
        <v>1538</v>
      </c>
      <c r="C611" t="s">
        <v>1537</v>
      </c>
      <c r="D611">
        <v>14597</v>
      </c>
      <c r="E611">
        <f>MONTH(tblExpense[[#This Row],[Date]])</f>
        <v>7</v>
      </c>
      <c r="F611" t="str">
        <f>TEXT(tblExpense[[#This Row],[Date]],"mmm")</f>
        <v>Jul</v>
      </c>
    </row>
    <row r="612" spans="1:6" x14ac:dyDescent="0.3">
      <c r="A612" s="1">
        <v>45502</v>
      </c>
      <c r="B612" t="s">
        <v>1538</v>
      </c>
      <c r="C612" t="s">
        <v>1532</v>
      </c>
      <c r="D612">
        <v>78213</v>
      </c>
      <c r="E612">
        <f>MONTH(tblExpense[[#This Row],[Date]])</f>
        <v>7</v>
      </c>
      <c r="F612" t="str">
        <f>TEXT(tblExpense[[#This Row],[Date]],"mmm")</f>
        <v>Jul</v>
      </c>
    </row>
    <row r="613" spans="1:6" x14ac:dyDescent="0.3">
      <c r="A613" s="1">
        <v>45486</v>
      </c>
      <c r="B613" t="s">
        <v>1529</v>
      </c>
      <c r="C613" t="s">
        <v>1532</v>
      </c>
      <c r="D613">
        <v>12979</v>
      </c>
      <c r="E613">
        <f>MONTH(tblExpense[[#This Row],[Date]])</f>
        <v>7</v>
      </c>
      <c r="F613" t="str">
        <f>TEXT(tblExpense[[#This Row],[Date]],"mmm")</f>
        <v>Jul</v>
      </c>
    </row>
    <row r="614" spans="1:6" x14ac:dyDescent="0.3">
      <c r="A614" s="1">
        <v>45489</v>
      </c>
      <c r="B614" t="s">
        <v>1531</v>
      </c>
      <c r="C614" t="s">
        <v>1532</v>
      </c>
      <c r="D614">
        <v>68000</v>
      </c>
      <c r="E614">
        <f>MONTH(tblExpense[[#This Row],[Date]])</f>
        <v>7</v>
      </c>
      <c r="F614" t="str">
        <f>TEXT(tblExpense[[#This Row],[Date]],"mmm")</f>
        <v>Jul</v>
      </c>
    </row>
    <row r="615" spans="1:6" x14ac:dyDescent="0.3">
      <c r="A615" s="1">
        <v>45494</v>
      </c>
      <c r="B615" t="s">
        <v>1529</v>
      </c>
      <c r="C615" t="s">
        <v>1530</v>
      </c>
      <c r="D615">
        <v>61356</v>
      </c>
      <c r="E615">
        <f>MONTH(tblExpense[[#This Row],[Date]])</f>
        <v>7</v>
      </c>
      <c r="F615" t="str">
        <f>TEXT(tblExpense[[#This Row],[Date]],"mmm")</f>
        <v>Jul</v>
      </c>
    </row>
    <row r="616" spans="1:6" x14ac:dyDescent="0.3">
      <c r="A616" s="1">
        <v>45475</v>
      </c>
      <c r="B616" t="s">
        <v>1529</v>
      </c>
      <c r="C616" t="s">
        <v>1537</v>
      </c>
      <c r="D616">
        <v>64158</v>
      </c>
      <c r="E616">
        <f>MONTH(tblExpense[[#This Row],[Date]])</f>
        <v>7</v>
      </c>
      <c r="F616" t="str">
        <f>TEXT(tblExpense[[#This Row],[Date]],"mmm")</f>
        <v>Jul</v>
      </c>
    </row>
    <row r="617" spans="1:6" x14ac:dyDescent="0.3">
      <c r="A617" s="1">
        <v>45488</v>
      </c>
      <c r="B617" t="s">
        <v>1529</v>
      </c>
      <c r="C617" t="s">
        <v>1534</v>
      </c>
      <c r="D617">
        <v>28282</v>
      </c>
      <c r="E617">
        <f>MONTH(tblExpense[[#This Row],[Date]])</f>
        <v>7</v>
      </c>
      <c r="F617" t="str">
        <f>TEXT(tblExpense[[#This Row],[Date]],"mmm")</f>
        <v>Jul</v>
      </c>
    </row>
    <row r="618" spans="1:6" x14ac:dyDescent="0.3">
      <c r="A618" s="1">
        <v>45498</v>
      </c>
      <c r="B618" t="s">
        <v>1533</v>
      </c>
      <c r="C618" t="s">
        <v>1537</v>
      </c>
      <c r="D618">
        <v>26694</v>
      </c>
      <c r="E618">
        <f>MONTH(tblExpense[[#This Row],[Date]])</f>
        <v>7</v>
      </c>
      <c r="F618" t="str">
        <f>TEXT(tblExpense[[#This Row],[Date]],"mmm")</f>
        <v>Jul</v>
      </c>
    </row>
    <row r="619" spans="1:6" x14ac:dyDescent="0.3">
      <c r="A619" s="1">
        <v>45478</v>
      </c>
      <c r="B619" t="s">
        <v>1529</v>
      </c>
      <c r="C619" t="s">
        <v>1530</v>
      </c>
      <c r="D619">
        <v>9856</v>
      </c>
      <c r="E619">
        <f>MONTH(tblExpense[[#This Row],[Date]])</f>
        <v>7</v>
      </c>
      <c r="F619" t="str">
        <f>TEXT(tblExpense[[#This Row],[Date]],"mmm")</f>
        <v>Jul</v>
      </c>
    </row>
    <row r="620" spans="1:6" x14ac:dyDescent="0.3">
      <c r="A620" s="1">
        <v>45496</v>
      </c>
      <c r="B620" t="s">
        <v>1536</v>
      </c>
      <c r="C620" t="s">
        <v>1534</v>
      </c>
      <c r="D620">
        <v>96075</v>
      </c>
      <c r="E620">
        <f>MONTH(tblExpense[[#This Row],[Date]])</f>
        <v>7</v>
      </c>
      <c r="F620" t="str">
        <f>TEXT(tblExpense[[#This Row],[Date]],"mmm")</f>
        <v>Jul</v>
      </c>
    </row>
    <row r="621" spans="1:6" x14ac:dyDescent="0.3">
      <c r="A621" s="1">
        <v>45499</v>
      </c>
      <c r="B621" t="s">
        <v>1538</v>
      </c>
      <c r="C621" t="s">
        <v>1530</v>
      </c>
      <c r="D621">
        <v>21238</v>
      </c>
      <c r="E621">
        <f>MONTH(tblExpense[[#This Row],[Date]])</f>
        <v>7</v>
      </c>
      <c r="F621" t="str">
        <f>TEXT(tblExpense[[#This Row],[Date]],"mmm")</f>
        <v>Jul</v>
      </c>
    </row>
    <row r="622" spans="1:6" x14ac:dyDescent="0.3">
      <c r="A622" s="1">
        <v>45486</v>
      </c>
      <c r="B622" t="s">
        <v>1531</v>
      </c>
      <c r="C622" t="s">
        <v>1537</v>
      </c>
      <c r="D622">
        <v>62075</v>
      </c>
      <c r="E622">
        <f>MONTH(tblExpense[[#This Row],[Date]])</f>
        <v>7</v>
      </c>
      <c r="F622" t="str">
        <f>TEXT(tblExpense[[#This Row],[Date]],"mmm")</f>
        <v>Jul</v>
      </c>
    </row>
    <row r="623" spans="1:6" x14ac:dyDescent="0.3">
      <c r="A623" s="1">
        <v>45477</v>
      </c>
      <c r="B623" t="s">
        <v>1533</v>
      </c>
      <c r="C623" t="s">
        <v>1532</v>
      </c>
      <c r="D623">
        <v>9682</v>
      </c>
      <c r="E623">
        <f>MONTH(tblExpense[[#This Row],[Date]])</f>
        <v>7</v>
      </c>
      <c r="F623" t="str">
        <f>TEXT(tblExpense[[#This Row],[Date]],"mmm")</f>
        <v>Jul</v>
      </c>
    </row>
    <row r="624" spans="1:6" x14ac:dyDescent="0.3">
      <c r="A624" s="1">
        <v>45476</v>
      </c>
      <c r="B624" t="s">
        <v>1536</v>
      </c>
      <c r="C624" t="s">
        <v>1534</v>
      </c>
      <c r="D624">
        <v>19156</v>
      </c>
      <c r="E624">
        <f>MONTH(tblExpense[[#This Row],[Date]])</f>
        <v>7</v>
      </c>
      <c r="F624" t="str">
        <f>TEXT(tblExpense[[#This Row],[Date]],"mmm")</f>
        <v>Jul</v>
      </c>
    </row>
    <row r="625" spans="1:6" x14ac:dyDescent="0.3">
      <c r="A625" s="1">
        <v>45489</v>
      </c>
      <c r="B625" t="s">
        <v>1536</v>
      </c>
      <c r="C625" t="s">
        <v>1535</v>
      </c>
      <c r="D625">
        <v>55293</v>
      </c>
      <c r="E625">
        <f>MONTH(tblExpense[[#This Row],[Date]])</f>
        <v>7</v>
      </c>
      <c r="F625" t="str">
        <f>TEXT(tblExpense[[#This Row],[Date]],"mmm")</f>
        <v>Jul</v>
      </c>
    </row>
    <row r="626" spans="1:6" x14ac:dyDescent="0.3">
      <c r="A626" s="1">
        <v>45483</v>
      </c>
      <c r="B626" t="s">
        <v>1536</v>
      </c>
      <c r="C626" t="s">
        <v>1534</v>
      </c>
      <c r="D626">
        <v>13170</v>
      </c>
      <c r="E626">
        <f>MONTH(tblExpense[[#This Row],[Date]])</f>
        <v>7</v>
      </c>
      <c r="F626" t="str">
        <f>TEXT(tblExpense[[#This Row],[Date]],"mmm")</f>
        <v>Jul</v>
      </c>
    </row>
    <row r="627" spans="1:6" x14ac:dyDescent="0.3">
      <c r="A627" s="1">
        <v>45500</v>
      </c>
      <c r="B627" t="s">
        <v>1536</v>
      </c>
      <c r="C627" t="s">
        <v>1534</v>
      </c>
      <c r="D627">
        <v>89908</v>
      </c>
      <c r="E627">
        <f>MONTH(tblExpense[[#This Row],[Date]])</f>
        <v>7</v>
      </c>
      <c r="F627" t="str">
        <f>TEXT(tblExpense[[#This Row],[Date]],"mmm")</f>
        <v>Jul</v>
      </c>
    </row>
    <row r="628" spans="1:6" x14ac:dyDescent="0.3">
      <c r="A628" s="1">
        <v>45496</v>
      </c>
      <c r="B628" t="s">
        <v>1529</v>
      </c>
      <c r="C628" t="s">
        <v>1532</v>
      </c>
      <c r="D628">
        <v>92502</v>
      </c>
      <c r="E628">
        <f>MONTH(tblExpense[[#This Row],[Date]])</f>
        <v>7</v>
      </c>
      <c r="F628" t="str">
        <f>TEXT(tblExpense[[#This Row],[Date]],"mmm")</f>
        <v>Jul</v>
      </c>
    </row>
    <row r="629" spans="1:6" x14ac:dyDescent="0.3">
      <c r="A629" s="1">
        <v>45486</v>
      </c>
      <c r="B629" t="s">
        <v>1529</v>
      </c>
      <c r="C629" t="s">
        <v>1534</v>
      </c>
      <c r="D629">
        <v>45818</v>
      </c>
      <c r="E629">
        <f>MONTH(tblExpense[[#This Row],[Date]])</f>
        <v>7</v>
      </c>
      <c r="F629" t="str">
        <f>TEXT(tblExpense[[#This Row],[Date]],"mmm")</f>
        <v>Jul</v>
      </c>
    </row>
    <row r="630" spans="1:6" x14ac:dyDescent="0.3">
      <c r="A630" s="1">
        <v>45476</v>
      </c>
      <c r="B630" t="s">
        <v>1536</v>
      </c>
      <c r="C630" t="s">
        <v>1537</v>
      </c>
      <c r="D630">
        <v>64158</v>
      </c>
      <c r="E630">
        <f>MONTH(tblExpense[[#This Row],[Date]])</f>
        <v>7</v>
      </c>
      <c r="F630" t="str">
        <f>TEXT(tblExpense[[#This Row],[Date]],"mmm")</f>
        <v>Jul</v>
      </c>
    </row>
    <row r="631" spans="1:6" x14ac:dyDescent="0.3">
      <c r="A631" s="1">
        <v>45491</v>
      </c>
      <c r="B631" t="s">
        <v>1529</v>
      </c>
      <c r="C631" t="s">
        <v>1530</v>
      </c>
      <c r="D631">
        <v>19453</v>
      </c>
      <c r="E631">
        <f>MONTH(tblExpense[[#This Row],[Date]])</f>
        <v>7</v>
      </c>
      <c r="F631" t="str">
        <f>TEXT(tblExpense[[#This Row],[Date]],"mmm")</f>
        <v>Jul</v>
      </c>
    </row>
    <row r="632" spans="1:6" x14ac:dyDescent="0.3">
      <c r="A632" s="1">
        <v>45490</v>
      </c>
      <c r="B632" t="s">
        <v>1533</v>
      </c>
      <c r="C632" t="s">
        <v>1532</v>
      </c>
      <c r="D632">
        <v>85451</v>
      </c>
      <c r="E632">
        <f>MONTH(tblExpense[[#This Row],[Date]])</f>
        <v>7</v>
      </c>
      <c r="F632" t="str">
        <f>TEXT(tblExpense[[#This Row],[Date]],"mmm")</f>
        <v>Jul</v>
      </c>
    </row>
    <row r="633" spans="1:6" x14ac:dyDescent="0.3">
      <c r="A633" s="1">
        <v>45478</v>
      </c>
      <c r="B633" t="s">
        <v>1529</v>
      </c>
      <c r="C633" t="s">
        <v>1534</v>
      </c>
      <c r="D633">
        <v>50074</v>
      </c>
      <c r="E633">
        <f>MONTH(tblExpense[[#This Row],[Date]])</f>
        <v>7</v>
      </c>
      <c r="F633" t="str">
        <f>TEXT(tblExpense[[#This Row],[Date]],"mmm")</f>
        <v>Jul</v>
      </c>
    </row>
    <row r="634" spans="1:6" x14ac:dyDescent="0.3">
      <c r="A634" s="1">
        <v>45498</v>
      </c>
      <c r="B634" t="s">
        <v>1533</v>
      </c>
      <c r="C634" t="s">
        <v>1534</v>
      </c>
      <c r="D634">
        <v>40673</v>
      </c>
      <c r="E634">
        <f>MONTH(tblExpense[[#This Row],[Date]])</f>
        <v>7</v>
      </c>
      <c r="F634" t="str">
        <f>TEXT(tblExpense[[#This Row],[Date]],"mmm")</f>
        <v>Jul</v>
      </c>
    </row>
    <row r="635" spans="1:6" x14ac:dyDescent="0.3">
      <c r="A635" s="1">
        <v>45493</v>
      </c>
      <c r="B635" t="s">
        <v>1531</v>
      </c>
      <c r="C635" t="s">
        <v>1534</v>
      </c>
      <c r="D635">
        <v>54817</v>
      </c>
      <c r="E635">
        <f>MONTH(tblExpense[[#This Row],[Date]])</f>
        <v>7</v>
      </c>
      <c r="F635" t="str">
        <f>TEXT(tblExpense[[#This Row],[Date]],"mmm")</f>
        <v>Jul</v>
      </c>
    </row>
    <row r="636" spans="1:6" x14ac:dyDescent="0.3">
      <c r="A636" s="1">
        <v>45484</v>
      </c>
      <c r="B636" t="s">
        <v>1538</v>
      </c>
      <c r="C636" t="s">
        <v>1537</v>
      </c>
      <c r="D636">
        <v>20302</v>
      </c>
      <c r="E636">
        <f>MONTH(tblExpense[[#This Row],[Date]])</f>
        <v>7</v>
      </c>
      <c r="F636" t="str">
        <f>TEXT(tblExpense[[#This Row],[Date]],"mmm")</f>
        <v>Jul</v>
      </c>
    </row>
    <row r="637" spans="1:6" x14ac:dyDescent="0.3">
      <c r="A637" s="1">
        <v>45496</v>
      </c>
      <c r="B637" t="s">
        <v>1533</v>
      </c>
      <c r="C637" t="s">
        <v>1530</v>
      </c>
      <c r="D637">
        <v>76655</v>
      </c>
      <c r="E637">
        <f>MONTH(tblExpense[[#This Row],[Date]])</f>
        <v>7</v>
      </c>
      <c r="F637" t="str">
        <f>TEXT(tblExpense[[#This Row],[Date]],"mmm")</f>
        <v>Jul</v>
      </c>
    </row>
    <row r="638" spans="1:6" x14ac:dyDescent="0.3">
      <c r="A638" s="1">
        <v>45485</v>
      </c>
      <c r="B638" t="s">
        <v>1531</v>
      </c>
      <c r="C638" t="s">
        <v>1535</v>
      </c>
      <c r="D638">
        <v>66475</v>
      </c>
      <c r="E638">
        <f>MONTH(tblExpense[[#This Row],[Date]])</f>
        <v>7</v>
      </c>
      <c r="F638" t="str">
        <f>TEXT(tblExpense[[#This Row],[Date]],"mmm")</f>
        <v>Jul</v>
      </c>
    </row>
    <row r="639" spans="1:6" x14ac:dyDescent="0.3">
      <c r="A639" s="1">
        <v>45491</v>
      </c>
      <c r="B639" t="s">
        <v>1538</v>
      </c>
      <c r="C639" t="s">
        <v>1530</v>
      </c>
      <c r="D639">
        <v>81476</v>
      </c>
      <c r="E639">
        <f>MONTH(tblExpense[[#This Row],[Date]])</f>
        <v>7</v>
      </c>
      <c r="F639" t="str">
        <f>TEXT(tblExpense[[#This Row],[Date]],"mmm")</f>
        <v>Jul</v>
      </c>
    </row>
    <row r="640" spans="1:6" x14ac:dyDescent="0.3">
      <c r="A640" s="1">
        <v>45481</v>
      </c>
      <c r="B640" t="s">
        <v>1533</v>
      </c>
      <c r="C640" t="s">
        <v>1532</v>
      </c>
      <c r="D640">
        <v>8084</v>
      </c>
      <c r="E640">
        <f>MONTH(tblExpense[[#This Row],[Date]])</f>
        <v>7</v>
      </c>
      <c r="F640" t="str">
        <f>TEXT(tblExpense[[#This Row],[Date]],"mmm")</f>
        <v>Jul</v>
      </c>
    </row>
    <row r="641" spans="1:6" x14ac:dyDescent="0.3">
      <c r="A641" s="1">
        <v>45480</v>
      </c>
      <c r="B641" t="s">
        <v>1536</v>
      </c>
      <c r="C641" t="s">
        <v>1534</v>
      </c>
      <c r="D641">
        <v>44798</v>
      </c>
      <c r="E641">
        <f>MONTH(tblExpense[[#This Row],[Date]])</f>
        <v>7</v>
      </c>
      <c r="F641" t="str">
        <f>TEXT(tblExpense[[#This Row],[Date]],"mmm")</f>
        <v>Jul</v>
      </c>
    </row>
    <row r="642" spans="1:6" x14ac:dyDescent="0.3">
      <c r="A642" s="1">
        <v>45478</v>
      </c>
      <c r="B642" t="s">
        <v>1531</v>
      </c>
      <c r="C642" t="s">
        <v>1532</v>
      </c>
      <c r="D642">
        <v>61558</v>
      </c>
      <c r="E642">
        <f>MONTH(tblExpense[[#This Row],[Date]])</f>
        <v>7</v>
      </c>
      <c r="F642" t="str">
        <f>TEXT(tblExpense[[#This Row],[Date]],"mmm")</f>
        <v>Jul</v>
      </c>
    </row>
    <row r="643" spans="1:6" x14ac:dyDescent="0.3">
      <c r="A643" s="1">
        <v>45491</v>
      </c>
      <c r="B643" t="s">
        <v>1533</v>
      </c>
      <c r="C643" t="s">
        <v>1535</v>
      </c>
      <c r="D643">
        <v>73972</v>
      </c>
      <c r="E643">
        <f>MONTH(tblExpense[[#This Row],[Date]])</f>
        <v>7</v>
      </c>
      <c r="F643" t="str">
        <f>TEXT(tblExpense[[#This Row],[Date]],"mmm")</f>
        <v>Jul</v>
      </c>
    </row>
    <row r="644" spans="1:6" x14ac:dyDescent="0.3">
      <c r="A644" s="1">
        <v>45478</v>
      </c>
      <c r="B644" t="s">
        <v>1529</v>
      </c>
      <c r="C644" t="s">
        <v>1535</v>
      </c>
      <c r="D644">
        <v>87354</v>
      </c>
      <c r="E644">
        <f>MONTH(tblExpense[[#This Row],[Date]])</f>
        <v>7</v>
      </c>
      <c r="F644" t="str">
        <f>TEXT(tblExpense[[#This Row],[Date]],"mmm")</f>
        <v>Jul</v>
      </c>
    </row>
    <row r="645" spans="1:6" x14ac:dyDescent="0.3">
      <c r="A645" s="1">
        <v>45494</v>
      </c>
      <c r="B645" t="s">
        <v>1533</v>
      </c>
      <c r="C645" t="s">
        <v>1537</v>
      </c>
      <c r="D645">
        <v>36312</v>
      </c>
      <c r="E645">
        <f>MONTH(tblExpense[[#This Row],[Date]])</f>
        <v>7</v>
      </c>
      <c r="F645" t="str">
        <f>TEXT(tblExpense[[#This Row],[Date]],"mmm")</f>
        <v>Jul</v>
      </c>
    </row>
    <row r="646" spans="1:6" x14ac:dyDescent="0.3">
      <c r="A646" s="1">
        <v>45502</v>
      </c>
      <c r="B646" t="s">
        <v>1538</v>
      </c>
      <c r="C646" t="s">
        <v>1532</v>
      </c>
      <c r="D646">
        <v>90775</v>
      </c>
      <c r="E646">
        <f>MONTH(tblExpense[[#This Row],[Date]])</f>
        <v>7</v>
      </c>
      <c r="F646" t="str">
        <f>TEXT(tblExpense[[#This Row],[Date]],"mmm")</f>
        <v>Jul</v>
      </c>
    </row>
    <row r="647" spans="1:6" x14ac:dyDescent="0.3">
      <c r="A647" s="1">
        <v>45491</v>
      </c>
      <c r="B647" t="s">
        <v>1536</v>
      </c>
      <c r="C647" t="s">
        <v>1530</v>
      </c>
      <c r="D647">
        <v>48739</v>
      </c>
      <c r="E647">
        <f>MONTH(tblExpense[[#This Row],[Date]])</f>
        <v>7</v>
      </c>
      <c r="F647" t="str">
        <f>TEXT(tblExpense[[#This Row],[Date]],"mmm")</f>
        <v>Jul</v>
      </c>
    </row>
    <row r="648" spans="1:6" x14ac:dyDescent="0.3">
      <c r="A648" s="1">
        <v>45495</v>
      </c>
      <c r="B648" t="s">
        <v>1538</v>
      </c>
      <c r="C648" t="s">
        <v>1534</v>
      </c>
      <c r="D648">
        <v>64650</v>
      </c>
      <c r="E648">
        <f>MONTH(tblExpense[[#This Row],[Date]])</f>
        <v>7</v>
      </c>
      <c r="F648" t="str">
        <f>TEXT(tblExpense[[#This Row],[Date]],"mmm")</f>
        <v>Jul</v>
      </c>
    </row>
    <row r="649" spans="1:6" x14ac:dyDescent="0.3">
      <c r="A649" s="1">
        <v>45492</v>
      </c>
      <c r="B649" t="s">
        <v>1538</v>
      </c>
      <c r="C649" t="s">
        <v>1537</v>
      </c>
      <c r="D649">
        <v>39535</v>
      </c>
      <c r="E649">
        <f>MONTH(tblExpense[[#This Row],[Date]])</f>
        <v>7</v>
      </c>
      <c r="F649" t="str">
        <f>TEXT(tblExpense[[#This Row],[Date]],"mmm")</f>
        <v>Jul</v>
      </c>
    </row>
    <row r="650" spans="1:6" x14ac:dyDescent="0.3">
      <c r="A650" s="1">
        <v>45475</v>
      </c>
      <c r="B650" t="s">
        <v>1533</v>
      </c>
      <c r="C650" t="s">
        <v>1534</v>
      </c>
      <c r="D650">
        <v>90269</v>
      </c>
      <c r="E650">
        <f>MONTH(tblExpense[[#This Row],[Date]])</f>
        <v>7</v>
      </c>
      <c r="F650" t="str">
        <f>TEXT(tblExpense[[#This Row],[Date]],"mmm")</f>
        <v>Jul</v>
      </c>
    </row>
    <row r="651" spans="1:6" x14ac:dyDescent="0.3">
      <c r="A651" s="1">
        <v>45487</v>
      </c>
      <c r="B651" t="s">
        <v>1538</v>
      </c>
      <c r="C651" t="s">
        <v>1532</v>
      </c>
      <c r="D651">
        <v>85360</v>
      </c>
      <c r="E651">
        <f>MONTH(tblExpense[[#This Row],[Date]])</f>
        <v>7</v>
      </c>
      <c r="F651" t="str">
        <f>TEXT(tblExpense[[#This Row],[Date]],"mmm")</f>
        <v>Jul</v>
      </c>
    </row>
    <row r="652" spans="1:6" x14ac:dyDescent="0.3">
      <c r="A652" s="1">
        <v>45476</v>
      </c>
      <c r="B652" t="s">
        <v>1536</v>
      </c>
      <c r="C652" t="s">
        <v>1532</v>
      </c>
      <c r="D652">
        <v>13978</v>
      </c>
      <c r="E652">
        <f>MONTH(tblExpense[[#This Row],[Date]])</f>
        <v>7</v>
      </c>
      <c r="F652" t="str">
        <f>TEXT(tblExpense[[#This Row],[Date]],"mmm")</f>
        <v>Jul</v>
      </c>
    </row>
    <row r="653" spans="1:6" x14ac:dyDescent="0.3">
      <c r="A653" s="1">
        <v>45480</v>
      </c>
      <c r="B653" t="s">
        <v>1529</v>
      </c>
      <c r="C653" t="s">
        <v>1530</v>
      </c>
      <c r="D653">
        <v>12740</v>
      </c>
      <c r="E653">
        <f>MONTH(tblExpense[[#This Row],[Date]])</f>
        <v>7</v>
      </c>
      <c r="F653" t="str">
        <f>TEXT(tblExpense[[#This Row],[Date]],"mmm")</f>
        <v>Jul</v>
      </c>
    </row>
    <row r="654" spans="1:6" x14ac:dyDescent="0.3">
      <c r="A654" s="1">
        <v>45479</v>
      </c>
      <c r="B654" t="s">
        <v>1531</v>
      </c>
      <c r="C654" t="s">
        <v>1534</v>
      </c>
      <c r="D654">
        <v>24142</v>
      </c>
      <c r="E654">
        <f>MONTH(tblExpense[[#This Row],[Date]])</f>
        <v>7</v>
      </c>
      <c r="F654" t="str">
        <f>TEXT(tblExpense[[#This Row],[Date]],"mmm")</f>
        <v>Jul</v>
      </c>
    </row>
    <row r="655" spans="1:6" x14ac:dyDescent="0.3">
      <c r="A655" s="1">
        <v>45504</v>
      </c>
      <c r="B655" t="s">
        <v>1536</v>
      </c>
      <c r="C655" t="s">
        <v>1534</v>
      </c>
      <c r="D655">
        <v>61612</v>
      </c>
      <c r="E655">
        <f>MONTH(tblExpense[[#This Row],[Date]])</f>
        <v>7</v>
      </c>
      <c r="F655" t="str">
        <f>TEXT(tblExpense[[#This Row],[Date]],"mmm")</f>
        <v>Jul</v>
      </c>
    </row>
    <row r="656" spans="1:6" x14ac:dyDescent="0.3">
      <c r="A656" s="1">
        <v>45476</v>
      </c>
      <c r="B656" t="s">
        <v>1536</v>
      </c>
      <c r="C656" t="s">
        <v>1530</v>
      </c>
      <c r="D656">
        <v>27485</v>
      </c>
      <c r="E656">
        <f>MONTH(tblExpense[[#This Row],[Date]])</f>
        <v>7</v>
      </c>
      <c r="F656" t="str">
        <f>TEXT(tblExpense[[#This Row],[Date]],"mmm")</f>
        <v>Jul</v>
      </c>
    </row>
    <row r="657" spans="1:6" x14ac:dyDescent="0.3">
      <c r="A657" s="1">
        <v>45493</v>
      </c>
      <c r="B657" t="s">
        <v>1538</v>
      </c>
      <c r="C657" t="s">
        <v>1530</v>
      </c>
      <c r="D657">
        <v>53020</v>
      </c>
      <c r="E657">
        <f>MONTH(tblExpense[[#This Row],[Date]])</f>
        <v>7</v>
      </c>
      <c r="F657" t="str">
        <f>TEXT(tblExpense[[#This Row],[Date]],"mmm")</f>
        <v>Jul</v>
      </c>
    </row>
    <row r="658" spans="1:6" x14ac:dyDescent="0.3">
      <c r="A658" s="1">
        <v>45479</v>
      </c>
      <c r="B658" t="s">
        <v>1533</v>
      </c>
      <c r="C658" t="s">
        <v>1537</v>
      </c>
      <c r="D658">
        <v>10843</v>
      </c>
      <c r="E658">
        <f>MONTH(tblExpense[[#This Row],[Date]])</f>
        <v>7</v>
      </c>
      <c r="F658" t="str">
        <f>TEXT(tblExpense[[#This Row],[Date]],"mmm")</f>
        <v>Jul</v>
      </c>
    </row>
    <row r="659" spans="1:6" x14ac:dyDescent="0.3">
      <c r="A659" s="1">
        <v>45487</v>
      </c>
      <c r="B659" t="s">
        <v>1538</v>
      </c>
      <c r="C659" t="s">
        <v>1530</v>
      </c>
      <c r="D659">
        <v>53973</v>
      </c>
      <c r="E659">
        <f>MONTH(tblExpense[[#This Row],[Date]])</f>
        <v>7</v>
      </c>
      <c r="F659" t="str">
        <f>TEXT(tblExpense[[#This Row],[Date]],"mmm")</f>
        <v>Jul</v>
      </c>
    </row>
    <row r="660" spans="1:6" x14ac:dyDescent="0.3">
      <c r="A660" s="1">
        <v>45475</v>
      </c>
      <c r="B660" t="s">
        <v>1536</v>
      </c>
      <c r="C660" t="s">
        <v>1532</v>
      </c>
      <c r="D660">
        <v>73601</v>
      </c>
      <c r="E660">
        <f>MONTH(tblExpense[[#This Row],[Date]])</f>
        <v>7</v>
      </c>
      <c r="F660" t="str">
        <f>TEXT(tblExpense[[#This Row],[Date]],"mmm")</f>
        <v>Jul</v>
      </c>
    </row>
    <row r="661" spans="1:6" x14ac:dyDescent="0.3">
      <c r="A661" s="1">
        <v>45483</v>
      </c>
      <c r="B661" t="s">
        <v>1538</v>
      </c>
      <c r="C661" t="s">
        <v>1537</v>
      </c>
      <c r="D661">
        <v>50126</v>
      </c>
      <c r="E661">
        <f>MONTH(tblExpense[[#This Row],[Date]])</f>
        <v>7</v>
      </c>
      <c r="F661" t="str">
        <f>TEXT(tblExpense[[#This Row],[Date]],"mmm")</f>
        <v>Jul</v>
      </c>
    </row>
    <row r="662" spans="1:6" x14ac:dyDescent="0.3">
      <c r="A662" s="1">
        <v>45494</v>
      </c>
      <c r="B662" t="s">
        <v>1536</v>
      </c>
      <c r="C662" t="s">
        <v>1532</v>
      </c>
      <c r="D662">
        <v>74508</v>
      </c>
      <c r="E662">
        <f>MONTH(tblExpense[[#This Row],[Date]])</f>
        <v>7</v>
      </c>
      <c r="F662" t="str">
        <f>TEXT(tblExpense[[#This Row],[Date]],"mmm")</f>
        <v>Jul</v>
      </c>
    </row>
    <row r="663" spans="1:6" x14ac:dyDescent="0.3">
      <c r="A663" s="1">
        <v>45494</v>
      </c>
      <c r="B663" t="s">
        <v>1536</v>
      </c>
      <c r="C663" t="s">
        <v>1530</v>
      </c>
      <c r="D663">
        <v>94853</v>
      </c>
      <c r="E663">
        <f>MONTH(tblExpense[[#This Row],[Date]])</f>
        <v>7</v>
      </c>
      <c r="F663" t="str">
        <f>TEXT(tblExpense[[#This Row],[Date]],"mmm")</f>
        <v>Jul</v>
      </c>
    </row>
    <row r="664" spans="1:6" x14ac:dyDescent="0.3">
      <c r="A664" s="1">
        <v>45495</v>
      </c>
      <c r="B664" t="s">
        <v>1531</v>
      </c>
      <c r="C664" t="s">
        <v>1530</v>
      </c>
      <c r="D664">
        <v>30126</v>
      </c>
      <c r="E664">
        <f>MONTH(tblExpense[[#This Row],[Date]])</f>
        <v>7</v>
      </c>
      <c r="F664" t="str">
        <f>TEXT(tblExpense[[#This Row],[Date]],"mmm")</f>
        <v>Jul</v>
      </c>
    </row>
    <row r="665" spans="1:6" x14ac:dyDescent="0.3">
      <c r="A665" s="1">
        <v>45479</v>
      </c>
      <c r="B665" t="s">
        <v>1531</v>
      </c>
      <c r="C665" t="s">
        <v>1537</v>
      </c>
      <c r="D665">
        <v>57807</v>
      </c>
      <c r="E665">
        <f>MONTH(tblExpense[[#This Row],[Date]])</f>
        <v>7</v>
      </c>
      <c r="F665" t="str">
        <f>TEXT(tblExpense[[#This Row],[Date]],"mmm")</f>
        <v>Jul</v>
      </c>
    </row>
    <row r="666" spans="1:6" x14ac:dyDescent="0.3">
      <c r="A666" s="1">
        <v>45490</v>
      </c>
      <c r="B666" t="s">
        <v>1538</v>
      </c>
      <c r="C666" t="s">
        <v>1535</v>
      </c>
      <c r="D666">
        <v>26725</v>
      </c>
      <c r="E666">
        <f>MONTH(tblExpense[[#This Row],[Date]])</f>
        <v>7</v>
      </c>
      <c r="F666" t="str">
        <f>TEXT(tblExpense[[#This Row],[Date]],"mmm")</f>
        <v>Jul</v>
      </c>
    </row>
    <row r="667" spans="1:6" x14ac:dyDescent="0.3">
      <c r="A667" s="1">
        <v>45504</v>
      </c>
      <c r="B667" t="s">
        <v>1536</v>
      </c>
      <c r="C667" t="s">
        <v>1534</v>
      </c>
      <c r="D667">
        <v>36099</v>
      </c>
      <c r="E667">
        <f>MONTH(tblExpense[[#This Row],[Date]])</f>
        <v>7</v>
      </c>
      <c r="F667" t="str">
        <f>TEXT(tblExpense[[#This Row],[Date]],"mmm")</f>
        <v>Jul</v>
      </c>
    </row>
    <row r="668" spans="1:6" x14ac:dyDescent="0.3">
      <c r="A668" s="1">
        <v>45476</v>
      </c>
      <c r="B668" t="s">
        <v>1529</v>
      </c>
      <c r="C668" t="s">
        <v>1530</v>
      </c>
      <c r="D668">
        <v>53159</v>
      </c>
      <c r="E668">
        <f>MONTH(tblExpense[[#This Row],[Date]])</f>
        <v>7</v>
      </c>
      <c r="F668" t="str">
        <f>TEXT(tblExpense[[#This Row],[Date]],"mmm")</f>
        <v>Jul</v>
      </c>
    </row>
    <row r="669" spans="1:6" x14ac:dyDescent="0.3">
      <c r="A669" s="1">
        <v>45489</v>
      </c>
      <c r="B669" t="s">
        <v>1536</v>
      </c>
      <c r="C669" t="s">
        <v>1535</v>
      </c>
      <c r="D669">
        <v>77129</v>
      </c>
      <c r="E669">
        <f>MONTH(tblExpense[[#This Row],[Date]])</f>
        <v>7</v>
      </c>
      <c r="F669" t="str">
        <f>TEXT(tblExpense[[#This Row],[Date]],"mmm")</f>
        <v>Jul</v>
      </c>
    </row>
    <row r="670" spans="1:6" x14ac:dyDescent="0.3">
      <c r="A670" s="1">
        <v>45494</v>
      </c>
      <c r="B670" t="s">
        <v>1533</v>
      </c>
      <c r="C670" t="s">
        <v>1530</v>
      </c>
      <c r="D670">
        <v>39974</v>
      </c>
      <c r="E670">
        <f>MONTH(tblExpense[[#This Row],[Date]])</f>
        <v>7</v>
      </c>
      <c r="F670" t="str">
        <f>TEXT(tblExpense[[#This Row],[Date]],"mmm")</f>
        <v>Jul</v>
      </c>
    </row>
    <row r="671" spans="1:6" x14ac:dyDescent="0.3">
      <c r="A671" s="1">
        <v>45486</v>
      </c>
      <c r="B671" t="s">
        <v>1529</v>
      </c>
      <c r="C671" t="s">
        <v>1532</v>
      </c>
      <c r="D671">
        <v>26774</v>
      </c>
      <c r="E671">
        <f>MONTH(tblExpense[[#This Row],[Date]])</f>
        <v>7</v>
      </c>
      <c r="F671" t="str">
        <f>TEXT(tblExpense[[#This Row],[Date]],"mmm")</f>
        <v>Jul</v>
      </c>
    </row>
    <row r="672" spans="1:6" x14ac:dyDescent="0.3">
      <c r="A672" s="1">
        <v>45478</v>
      </c>
      <c r="B672" t="s">
        <v>1533</v>
      </c>
      <c r="C672" t="s">
        <v>1532</v>
      </c>
      <c r="D672">
        <v>46124</v>
      </c>
      <c r="E672">
        <f>MONTH(tblExpense[[#This Row],[Date]])</f>
        <v>7</v>
      </c>
      <c r="F672" t="str">
        <f>TEXT(tblExpense[[#This Row],[Date]],"mmm")</f>
        <v>Jul</v>
      </c>
    </row>
    <row r="673" spans="1:6" x14ac:dyDescent="0.3">
      <c r="A673" s="1">
        <v>45504</v>
      </c>
      <c r="B673" t="s">
        <v>1538</v>
      </c>
      <c r="C673" t="s">
        <v>1535</v>
      </c>
      <c r="D673">
        <v>72604</v>
      </c>
      <c r="E673">
        <f>MONTH(tblExpense[[#This Row],[Date]])</f>
        <v>7</v>
      </c>
      <c r="F673" t="str">
        <f>TEXT(tblExpense[[#This Row],[Date]],"mmm")</f>
        <v>Jul</v>
      </c>
    </row>
    <row r="674" spans="1:6" x14ac:dyDescent="0.3">
      <c r="A674" s="1">
        <v>45503</v>
      </c>
      <c r="B674" t="s">
        <v>1531</v>
      </c>
      <c r="C674" t="s">
        <v>1535</v>
      </c>
      <c r="D674">
        <v>73900</v>
      </c>
      <c r="E674">
        <f>MONTH(tblExpense[[#This Row],[Date]])</f>
        <v>7</v>
      </c>
      <c r="F674" t="str">
        <f>TEXT(tblExpense[[#This Row],[Date]],"mmm")</f>
        <v>Jul</v>
      </c>
    </row>
    <row r="675" spans="1:6" x14ac:dyDescent="0.3">
      <c r="A675" s="1">
        <v>45487</v>
      </c>
      <c r="B675" t="s">
        <v>1538</v>
      </c>
      <c r="C675" t="s">
        <v>1534</v>
      </c>
      <c r="D675">
        <v>50818</v>
      </c>
      <c r="E675">
        <f>MONTH(tblExpense[[#This Row],[Date]])</f>
        <v>7</v>
      </c>
      <c r="F675" t="str">
        <f>TEXT(tblExpense[[#This Row],[Date]],"mmm")</f>
        <v>Jul</v>
      </c>
    </row>
    <row r="676" spans="1:6" x14ac:dyDescent="0.3">
      <c r="A676" s="1">
        <v>45487</v>
      </c>
      <c r="B676" t="s">
        <v>1533</v>
      </c>
      <c r="C676" t="s">
        <v>1537</v>
      </c>
      <c r="D676">
        <v>23526</v>
      </c>
      <c r="E676">
        <f>MONTH(tblExpense[[#This Row],[Date]])</f>
        <v>7</v>
      </c>
      <c r="F676" t="str">
        <f>TEXT(tblExpense[[#This Row],[Date]],"mmm")</f>
        <v>Jul</v>
      </c>
    </row>
    <row r="677" spans="1:6" x14ac:dyDescent="0.3">
      <c r="A677" s="1">
        <v>45486</v>
      </c>
      <c r="B677" t="s">
        <v>1536</v>
      </c>
      <c r="C677" t="s">
        <v>1535</v>
      </c>
      <c r="D677">
        <v>95645</v>
      </c>
      <c r="E677">
        <f>MONTH(tblExpense[[#This Row],[Date]])</f>
        <v>7</v>
      </c>
      <c r="F677" t="str">
        <f>TEXT(tblExpense[[#This Row],[Date]],"mmm")</f>
        <v>Jul</v>
      </c>
    </row>
    <row r="678" spans="1:6" x14ac:dyDescent="0.3">
      <c r="A678" s="1">
        <v>45504</v>
      </c>
      <c r="B678" t="s">
        <v>1531</v>
      </c>
      <c r="C678" t="s">
        <v>1530</v>
      </c>
      <c r="D678">
        <v>79585</v>
      </c>
      <c r="E678">
        <f>MONTH(tblExpense[[#This Row],[Date]])</f>
        <v>7</v>
      </c>
      <c r="F678" t="str">
        <f>TEXT(tblExpense[[#This Row],[Date]],"mmm")</f>
        <v>Jul</v>
      </c>
    </row>
    <row r="679" spans="1:6" x14ac:dyDescent="0.3">
      <c r="A679" s="1">
        <v>45487</v>
      </c>
      <c r="B679" t="s">
        <v>1538</v>
      </c>
      <c r="C679" t="s">
        <v>1537</v>
      </c>
      <c r="D679">
        <v>56413</v>
      </c>
      <c r="E679">
        <f>MONTH(tblExpense[[#This Row],[Date]])</f>
        <v>7</v>
      </c>
      <c r="F679" t="str">
        <f>TEXT(tblExpense[[#This Row],[Date]],"mmm")</f>
        <v>Jul</v>
      </c>
    </row>
    <row r="680" spans="1:6" x14ac:dyDescent="0.3">
      <c r="A680" s="1">
        <v>45489</v>
      </c>
      <c r="B680" t="s">
        <v>1536</v>
      </c>
      <c r="C680" t="s">
        <v>1530</v>
      </c>
      <c r="D680">
        <v>45116</v>
      </c>
      <c r="E680">
        <f>MONTH(tblExpense[[#This Row],[Date]])</f>
        <v>7</v>
      </c>
      <c r="F680" t="str">
        <f>TEXT(tblExpense[[#This Row],[Date]],"mmm")</f>
        <v>Jul</v>
      </c>
    </row>
    <row r="681" spans="1:6" x14ac:dyDescent="0.3">
      <c r="A681" s="1">
        <v>45486</v>
      </c>
      <c r="B681" t="s">
        <v>1529</v>
      </c>
      <c r="C681" t="s">
        <v>1535</v>
      </c>
      <c r="D681">
        <v>28890</v>
      </c>
      <c r="E681">
        <f>MONTH(tblExpense[[#This Row],[Date]])</f>
        <v>7</v>
      </c>
      <c r="F681" t="str">
        <f>TEXT(tblExpense[[#This Row],[Date]],"mmm")</f>
        <v>Jul</v>
      </c>
    </row>
    <row r="682" spans="1:6" x14ac:dyDescent="0.3">
      <c r="A682" s="1">
        <v>45503</v>
      </c>
      <c r="B682" t="s">
        <v>1529</v>
      </c>
      <c r="C682" t="s">
        <v>1534</v>
      </c>
      <c r="D682">
        <v>35890</v>
      </c>
      <c r="E682">
        <f>MONTH(tblExpense[[#This Row],[Date]])</f>
        <v>7</v>
      </c>
      <c r="F682" t="str">
        <f>TEXT(tblExpense[[#This Row],[Date]],"mmm")</f>
        <v>Jul</v>
      </c>
    </row>
    <row r="683" spans="1:6" x14ac:dyDescent="0.3">
      <c r="A683" s="1">
        <v>45493</v>
      </c>
      <c r="B683" t="s">
        <v>1531</v>
      </c>
      <c r="C683" t="s">
        <v>1532</v>
      </c>
      <c r="D683">
        <v>83555</v>
      </c>
      <c r="E683">
        <f>MONTH(tblExpense[[#This Row],[Date]])</f>
        <v>7</v>
      </c>
      <c r="F683" t="str">
        <f>TEXT(tblExpense[[#This Row],[Date]],"mmm")</f>
        <v>Jul</v>
      </c>
    </row>
    <row r="684" spans="1:6" x14ac:dyDescent="0.3">
      <c r="A684" s="1">
        <v>45486</v>
      </c>
      <c r="B684" t="s">
        <v>1529</v>
      </c>
      <c r="C684" t="s">
        <v>1534</v>
      </c>
      <c r="D684">
        <v>41898</v>
      </c>
      <c r="E684">
        <f>MONTH(tblExpense[[#This Row],[Date]])</f>
        <v>7</v>
      </c>
      <c r="F684" t="str">
        <f>TEXT(tblExpense[[#This Row],[Date]],"mmm")</f>
        <v>Jul</v>
      </c>
    </row>
    <row r="685" spans="1:6" x14ac:dyDescent="0.3">
      <c r="A685" s="1">
        <v>45482</v>
      </c>
      <c r="B685" t="s">
        <v>1529</v>
      </c>
      <c r="C685" t="s">
        <v>1535</v>
      </c>
      <c r="D685">
        <v>50832</v>
      </c>
      <c r="E685">
        <f>MONTH(tblExpense[[#This Row],[Date]])</f>
        <v>7</v>
      </c>
      <c r="F685" t="str">
        <f>TEXT(tblExpense[[#This Row],[Date]],"mmm")</f>
        <v>Jul</v>
      </c>
    </row>
    <row r="686" spans="1:6" x14ac:dyDescent="0.3">
      <c r="A686" s="1">
        <v>45524</v>
      </c>
      <c r="B686" t="s">
        <v>1533</v>
      </c>
      <c r="C686" t="s">
        <v>1534</v>
      </c>
      <c r="D686">
        <v>79668</v>
      </c>
      <c r="E686">
        <f>MONTH(tblExpense[[#This Row],[Date]])</f>
        <v>8</v>
      </c>
      <c r="F686" t="str">
        <f>TEXT(tblExpense[[#This Row],[Date]],"mmm")</f>
        <v>Aug</v>
      </c>
    </row>
    <row r="687" spans="1:6" x14ac:dyDescent="0.3">
      <c r="A687" s="1">
        <v>45522</v>
      </c>
      <c r="B687" t="s">
        <v>1536</v>
      </c>
      <c r="C687" t="s">
        <v>1535</v>
      </c>
      <c r="D687">
        <v>59906</v>
      </c>
      <c r="E687">
        <f>MONTH(tblExpense[[#This Row],[Date]])</f>
        <v>8</v>
      </c>
      <c r="F687" t="str">
        <f>TEXT(tblExpense[[#This Row],[Date]],"mmm")</f>
        <v>Aug</v>
      </c>
    </row>
    <row r="688" spans="1:6" x14ac:dyDescent="0.3">
      <c r="A688" s="1">
        <v>45517</v>
      </c>
      <c r="B688" t="s">
        <v>1536</v>
      </c>
      <c r="C688" t="s">
        <v>1530</v>
      </c>
      <c r="D688">
        <v>52847</v>
      </c>
      <c r="E688">
        <f>MONTH(tblExpense[[#This Row],[Date]])</f>
        <v>8</v>
      </c>
      <c r="F688" t="str">
        <f>TEXT(tblExpense[[#This Row],[Date]],"mmm")</f>
        <v>Aug</v>
      </c>
    </row>
    <row r="689" spans="1:6" x14ac:dyDescent="0.3">
      <c r="A689" s="1">
        <v>45520</v>
      </c>
      <c r="B689" t="s">
        <v>1538</v>
      </c>
      <c r="C689" t="s">
        <v>1530</v>
      </c>
      <c r="D689">
        <v>20041</v>
      </c>
      <c r="E689">
        <f>MONTH(tblExpense[[#This Row],[Date]])</f>
        <v>8</v>
      </c>
      <c r="F689" t="str">
        <f>TEXT(tblExpense[[#This Row],[Date]],"mmm")</f>
        <v>Aug</v>
      </c>
    </row>
    <row r="690" spans="1:6" x14ac:dyDescent="0.3">
      <c r="A690" s="1">
        <v>45525</v>
      </c>
      <c r="B690" t="s">
        <v>1536</v>
      </c>
      <c r="C690" t="s">
        <v>1537</v>
      </c>
      <c r="D690">
        <v>43263</v>
      </c>
      <c r="E690">
        <f>MONTH(tblExpense[[#This Row],[Date]])</f>
        <v>8</v>
      </c>
      <c r="F690" t="str">
        <f>TEXT(tblExpense[[#This Row],[Date]],"mmm")</f>
        <v>Aug</v>
      </c>
    </row>
    <row r="691" spans="1:6" x14ac:dyDescent="0.3">
      <c r="A691" s="1">
        <v>45513</v>
      </c>
      <c r="B691" t="s">
        <v>1538</v>
      </c>
      <c r="C691" t="s">
        <v>1530</v>
      </c>
      <c r="D691">
        <v>56501</v>
      </c>
      <c r="E691">
        <f>MONTH(tblExpense[[#This Row],[Date]])</f>
        <v>8</v>
      </c>
      <c r="F691" t="str">
        <f>TEXT(tblExpense[[#This Row],[Date]],"mmm")</f>
        <v>Aug</v>
      </c>
    </row>
    <row r="692" spans="1:6" x14ac:dyDescent="0.3">
      <c r="A692" s="1">
        <v>45515</v>
      </c>
      <c r="B692" t="s">
        <v>1536</v>
      </c>
      <c r="C692" t="s">
        <v>1530</v>
      </c>
      <c r="D692">
        <v>89095</v>
      </c>
      <c r="E692">
        <f>MONTH(tblExpense[[#This Row],[Date]])</f>
        <v>8</v>
      </c>
      <c r="F692" t="str">
        <f>TEXT(tblExpense[[#This Row],[Date]],"mmm")</f>
        <v>Aug</v>
      </c>
    </row>
    <row r="693" spans="1:6" x14ac:dyDescent="0.3">
      <c r="A693" s="1">
        <v>45514</v>
      </c>
      <c r="B693" t="s">
        <v>1533</v>
      </c>
      <c r="C693" t="s">
        <v>1537</v>
      </c>
      <c r="D693">
        <v>74704</v>
      </c>
      <c r="E693">
        <f>MONTH(tblExpense[[#This Row],[Date]])</f>
        <v>8</v>
      </c>
      <c r="F693" t="str">
        <f>TEXT(tblExpense[[#This Row],[Date]],"mmm")</f>
        <v>Aug</v>
      </c>
    </row>
    <row r="694" spans="1:6" x14ac:dyDescent="0.3">
      <c r="A694" s="1">
        <v>45530</v>
      </c>
      <c r="B694" t="s">
        <v>1536</v>
      </c>
      <c r="C694" t="s">
        <v>1534</v>
      </c>
      <c r="D694">
        <v>89042</v>
      </c>
      <c r="E694">
        <f>MONTH(tblExpense[[#This Row],[Date]])</f>
        <v>8</v>
      </c>
      <c r="F694" t="str">
        <f>TEXT(tblExpense[[#This Row],[Date]],"mmm")</f>
        <v>Aug</v>
      </c>
    </row>
    <row r="695" spans="1:6" x14ac:dyDescent="0.3">
      <c r="A695" s="1">
        <v>45522</v>
      </c>
      <c r="B695" t="s">
        <v>1538</v>
      </c>
      <c r="C695" t="s">
        <v>1537</v>
      </c>
      <c r="D695">
        <v>66965</v>
      </c>
      <c r="E695">
        <f>MONTH(tblExpense[[#This Row],[Date]])</f>
        <v>8</v>
      </c>
      <c r="F695" t="str">
        <f>TEXT(tblExpense[[#This Row],[Date]],"mmm")</f>
        <v>Aug</v>
      </c>
    </row>
    <row r="696" spans="1:6" x14ac:dyDescent="0.3">
      <c r="A696" s="1">
        <v>45527</v>
      </c>
      <c r="B696" t="s">
        <v>1536</v>
      </c>
      <c r="C696" t="s">
        <v>1537</v>
      </c>
      <c r="D696">
        <v>42592</v>
      </c>
      <c r="E696">
        <f>MONTH(tblExpense[[#This Row],[Date]])</f>
        <v>8</v>
      </c>
      <c r="F696" t="str">
        <f>TEXT(tblExpense[[#This Row],[Date]],"mmm")</f>
        <v>Aug</v>
      </c>
    </row>
    <row r="697" spans="1:6" x14ac:dyDescent="0.3">
      <c r="A697" s="1">
        <v>45522</v>
      </c>
      <c r="B697" t="s">
        <v>1531</v>
      </c>
      <c r="C697" t="s">
        <v>1537</v>
      </c>
      <c r="D697">
        <v>19483</v>
      </c>
      <c r="E697">
        <f>MONTH(tblExpense[[#This Row],[Date]])</f>
        <v>8</v>
      </c>
      <c r="F697" t="str">
        <f>TEXT(tblExpense[[#This Row],[Date]],"mmm")</f>
        <v>Aug</v>
      </c>
    </row>
    <row r="698" spans="1:6" x14ac:dyDescent="0.3">
      <c r="A698" s="1">
        <v>45521</v>
      </c>
      <c r="B698" t="s">
        <v>1533</v>
      </c>
      <c r="C698" t="s">
        <v>1530</v>
      </c>
      <c r="D698">
        <v>78128</v>
      </c>
      <c r="E698">
        <f>MONTH(tblExpense[[#This Row],[Date]])</f>
        <v>8</v>
      </c>
      <c r="F698" t="str">
        <f>TEXT(tblExpense[[#This Row],[Date]],"mmm")</f>
        <v>Aug</v>
      </c>
    </row>
    <row r="699" spans="1:6" x14ac:dyDescent="0.3">
      <c r="A699" s="1">
        <v>45512</v>
      </c>
      <c r="B699" t="s">
        <v>1531</v>
      </c>
      <c r="C699" t="s">
        <v>1535</v>
      </c>
      <c r="D699">
        <v>86939</v>
      </c>
      <c r="E699">
        <f>MONTH(tblExpense[[#This Row],[Date]])</f>
        <v>8</v>
      </c>
      <c r="F699" t="str">
        <f>TEXT(tblExpense[[#This Row],[Date]],"mmm")</f>
        <v>Aug</v>
      </c>
    </row>
    <row r="700" spans="1:6" x14ac:dyDescent="0.3">
      <c r="A700" s="1">
        <v>45517</v>
      </c>
      <c r="B700" t="s">
        <v>1533</v>
      </c>
      <c r="C700" t="s">
        <v>1534</v>
      </c>
      <c r="D700">
        <v>8195</v>
      </c>
      <c r="E700">
        <f>MONTH(tblExpense[[#This Row],[Date]])</f>
        <v>8</v>
      </c>
      <c r="F700" t="str">
        <f>TEXT(tblExpense[[#This Row],[Date]],"mmm")</f>
        <v>Aug</v>
      </c>
    </row>
    <row r="701" spans="1:6" x14ac:dyDescent="0.3">
      <c r="A701" s="1">
        <v>45507</v>
      </c>
      <c r="B701" t="s">
        <v>1538</v>
      </c>
      <c r="C701" t="s">
        <v>1530</v>
      </c>
      <c r="D701">
        <v>47638</v>
      </c>
      <c r="E701">
        <f>MONTH(tblExpense[[#This Row],[Date]])</f>
        <v>8</v>
      </c>
      <c r="F701" t="str">
        <f>TEXT(tblExpense[[#This Row],[Date]],"mmm")</f>
        <v>Aug</v>
      </c>
    </row>
    <row r="702" spans="1:6" x14ac:dyDescent="0.3">
      <c r="A702" s="1">
        <v>45513</v>
      </c>
      <c r="B702" t="s">
        <v>1529</v>
      </c>
      <c r="C702" t="s">
        <v>1530</v>
      </c>
      <c r="D702">
        <v>61680</v>
      </c>
      <c r="E702">
        <f>MONTH(tblExpense[[#This Row],[Date]])</f>
        <v>8</v>
      </c>
      <c r="F702" t="str">
        <f>TEXT(tblExpense[[#This Row],[Date]],"mmm")</f>
        <v>Aug</v>
      </c>
    </row>
    <row r="703" spans="1:6" x14ac:dyDescent="0.3">
      <c r="A703" s="1">
        <v>45524</v>
      </c>
      <c r="B703" t="s">
        <v>1533</v>
      </c>
      <c r="C703" t="s">
        <v>1535</v>
      </c>
      <c r="D703">
        <v>36492</v>
      </c>
      <c r="E703">
        <f>MONTH(tblExpense[[#This Row],[Date]])</f>
        <v>8</v>
      </c>
      <c r="F703" t="str">
        <f>TEXT(tblExpense[[#This Row],[Date]],"mmm")</f>
        <v>Aug</v>
      </c>
    </row>
    <row r="704" spans="1:6" x14ac:dyDescent="0.3">
      <c r="A704" s="1">
        <v>45510</v>
      </c>
      <c r="B704" t="s">
        <v>1529</v>
      </c>
      <c r="C704" t="s">
        <v>1535</v>
      </c>
      <c r="D704">
        <v>97352</v>
      </c>
      <c r="E704">
        <f>MONTH(tblExpense[[#This Row],[Date]])</f>
        <v>8</v>
      </c>
      <c r="F704" t="str">
        <f>TEXT(tblExpense[[#This Row],[Date]],"mmm")</f>
        <v>Aug</v>
      </c>
    </row>
    <row r="705" spans="1:6" x14ac:dyDescent="0.3">
      <c r="A705" s="1">
        <v>45527</v>
      </c>
      <c r="B705" t="s">
        <v>1536</v>
      </c>
      <c r="C705" t="s">
        <v>1534</v>
      </c>
      <c r="D705">
        <v>79085</v>
      </c>
      <c r="E705">
        <f>MONTH(tblExpense[[#This Row],[Date]])</f>
        <v>8</v>
      </c>
      <c r="F705" t="str">
        <f>TEXT(tblExpense[[#This Row],[Date]],"mmm")</f>
        <v>Aug</v>
      </c>
    </row>
    <row r="706" spans="1:6" x14ac:dyDescent="0.3">
      <c r="A706" s="1">
        <v>45511</v>
      </c>
      <c r="B706" t="s">
        <v>1529</v>
      </c>
      <c r="C706" t="s">
        <v>1537</v>
      </c>
      <c r="D706">
        <v>34593</v>
      </c>
      <c r="E706">
        <f>MONTH(tblExpense[[#This Row],[Date]])</f>
        <v>8</v>
      </c>
      <c r="F706" t="str">
        <f>TEXT(tblExpense[[#This Row],[Date]],"mmm")</f>
        <v>Aug</v>
      </c>
    </row>
    <row r="707" spans="1:6" x14ac:dyDescent="0.3">
      <c r="A707" s="1">
        <v>45517</v>
      </c>
      <c r="B707" t="s">
        <v>1538</v>
      </c>
      <c r="C707" t="s">
        <v>1535</v>
      </c>
      <c r="D707">
        <v>43284</v>
      </c>
      <c r="E707">
        <f>MONTH(tblExpense[[#This Row],[Date]])</f>
        <v>8</v>
      </c>
      <c r="F707" t="str">
        <f>TEXT(tblExpense[[#This Row],[Date]],"mmm")</f>
        <v>Aug</v>
      </c>
    </row>
    <row r="708" spans="1:6" x14ac:dyDescent="0.3">
      <c r="A708" s="1">
        <v>45533</v>
      </c>
      <c r="B708" t="s">
        <v>1531</v>
      </c>
      <c r="C708" t="s">
        <v>1537</v>
      </c>
      <c r="D708">
        <v>93820</v>
      </c>
      <c r="E708">
        <f>MONTH(tblExpense[[#This Row],[Date]])</f>
        <v>8</v>
      </c>
      <c r="F708" t="str">
        <f>TEXT(tblExpense[[#This Row],[Date]],"mmm")</f>
        <v>Aug</v>
      </c>
    </row>
    <row r="709" spans="1:6" x14ac:dyDescent="0.3">
      <c r="A709" s="1">
        <v>45512</v>
      </c>
      <c r="B709" t="s">
        <v>1531</v>
      </c>
      <c r="C709" t="s">
        <v>1532</v>
      </c>
      <c r="D709">
        <v>59352</v>
      </c>
      <c r="E709">
        <f>MONTH(tblExpense[[#This Row],[Date]])</f>
        <v>8</v>
      </c>
      <c r="F709" t="str">
        <f>TEXT(tblExpense[[#This Row],[Date]],"mmm")</f>
        <v>Aug</v>
      </c>
    </row>
    <row r="710" spans="1:6" x14ac:dyDescent="0.3">
      <c r="A710" s="1">
        <v>45533</v>
      </c>
      <c r="B710" t="s">
        <v>1529</v>
      </c>
      <c r="C710" t="s">
        <v>1537</v>
      </c>
      <c r="D710">
        <v>30429</v>
      </c>
      <c r="E710">
        <f>MONTH(tblExpense[[#This Row],[Date]])</f>
        <v>8</v>
      </c>
      <c r="F710" t="str">
        <f>TEXT(tblExpense[[#This Row],[Date]],"mmm")</f>
        <v>Aug</v>
      </c>
    </row>
    <row r="711" spans="1:6" x14ac:dyDescent="0.3">
      <c r="A711" s="1">
        <v>45521</v>
      </c>
      <c r="B711" t="s">
        <v>1536</v>
      </c>
      <c r="C711" t="s">
        <v>1537</v>
      </c>
      <c r="D711">
        <v>71938</v>
      </c>
      <c r="E711">
        <f>MONTH(tblExpense[[#This Row],[Date]])</f>
        <v>8</v>
      </c>
      <c r="F711" t="str">
        <f>TEXT(tblExpense[[#This Row],[Date]],"mmm")</f>
        <v>Aug</v>
      </c>
    </row>
    <row r="712" spans="1:6" x14ac:dyDescent="0.3">
      <c r="A712" s="1">
        <v>45509</v>
      </c>
      <c r="B712" t="s">
        <v>1529</v>
      </c>
      <c r="C712" t="s">
        <v>1530</v>
      </c>
      <c r="D712">
        <v>48983</v>
      </c>
      <c r="E712">
        <f>MONTH(tblExpense[[#This Row],[Date]])</f>
        <v>8</v>
      </c>
      <c r="F712" t="str">
        <f>TEXT(tblExpense[[#This Row],[Date]],"mmm")</f>
        <v>Aug</v>
      </c>
    </row>
    <row r="713" spans="1:6" x14ac:dyDescent="0.3">
      <c r="A713" s="1">
        <v>45528</v>
      </c>
      <c r="B713" t="s">
        <v>1531</v>
      </c>
      <c r="C713" t="s">
        <v>1534</v>
      </c>
      <c r="D713">
        <v>67032</v>
      </c>
      <c r="E713">
        <f>MONTH(tblExpense[[#This Row],[Date]])</f>
        <v>8</v>
      </c>
      <c r="F713" t="str">
        <f>TEXT(tblExpense[[#This Row],[Date]],"mmm")</f>
        <v>Aug</v>
      </c>
    </row>
    <row r="714" spans="1:6" x14ac:dyDescent="0.3">
      <c r="A714" s="1">
        <v>45522</v>
      </c>
      <c r="B714" t="s">
        <v>1529</v>
      </c>
      <c r="C714" t="s">
        <v>1537</v>
      </c>
      <c r="D714">
        <v>13352</v>
      </c>
      <c r="E714">
        <f>MONTH(tblExpense[[#This Row],[Date]])</f>
        <v>8</v>
      </c>
      <c r="F714" t="str">
        <f>TEXT(tblExpense[[#This Row],[Date]],"mmm")</f>
        <v>Aug</v>
      </c>
    </row>
    <row r="715" spans="1:6" x14ac:dyDescent="0.3">
      <c r="A715" s="1">
        <v>45528</v>
      </c>
      <c r="B715" t="s">
        <v>1536</v>
      </c>
      <c r="C715" t="s">
        <v>1532</v>
      </c>
      <c r="D715">
        <v>51917</v>
      </c>
      <c r="E715">
        <f>MONTH(tblExpense[[#This Row],[Date]])</f>
        <v>8</v>
      </c>
      <c r="F715" t="str">
        <f>TEXT(tblExpense[[#This Row],[Date]],"mmm")</f>
        <v>Aug</v>
      </c>
    </row>
    <row r="716" spans="1:6" x14ac:dyDescent="0.3">
      <c r="A716" s="1">
        <v>45508</v>
      </c>
      <c r="B716" t="s">
        <v>1538</v>
      </c>
      <c r="C716" t="s">
        <v>1532</v>
      </c>
      <c r="D716">
        <v>59418</v>
      </c>
      <c r="E716">
        <f>MONTH(tblExpense[[#This Row],[Date]])</f>
        <v>8</v>
      </c>
      <c r="F716" t="str">
        <f>TEXT(tblExpense[[#This Row],[Date]],"mmm")</f>
        <v>Aug</v>
      </c>
    </row>
    <row r="717" spans="1:6" x14ac:dyDescent="0.3">
      <c r="A717" s="1">
        <v>45507</v>
      </c>
      <c r="B717" t="s">
        <v>1536</v>
      </c>
      <c r="C717" t="s">
        <v>1530</v>
      </c>
      <c r="D717">
        <v>71718</v>
      </c>
      <c r="E717">
        <f>MONTH(tblExpense[[#This Row],[Date]])</f>
        <v>8</v>
      </c>
      <c r="F717" t="str">
        <f>TEXT(tblExpense[[#This Row],[Date]],"mmm")</f>
        <v>Aug</v>
      </c>
    </row>
    <row r="718" spans="1:6" x14ac:dyDescent="0.3">
      <c r="A718" s="1">
        <v>45525</v>
      </c>
      <c r="B718" t="s">
        <v>1529</v>
      </c>
      <c r="C718" t="s">
        <v>1534</v>
      </c>
      <c r="D718">
        <v>91132</v>
      </c>
      <c r="E718">
        <f>MONTH(tblExpense[[#This Row],[Date]])</f>
        <v>8</v>
      </c>
      <c r="F718" t="str">
        <f>TEXT(tblExpense[[#This Row],[Date]],"mmm")</f>
        <v>Aug</v>
      </c>
    </row>
    <row r="719" spans="1:6" x14ac:dyDescent="0.3">
      <c r="A719" s="1">
        <v>45518</v>
      </c>
      <c r="B719" t="s">
        <v>1531</v>
      </c>
      <c r="C719" t="s">
        <v>1535</v>
      </c>
      <c r="D719">
        <v>50025</v>
      </c>
      <c r="E719">
        <f>MONTH(tblExpense[[#This Row],[Date]])</f>
        <v>8</v>
      </c>
      <c r="F719" t="str">
        <f>TEXT(tblExpense[[#This Row],[Date]],"mmm")</f>
        <v>Aug</v>
      </c>
    </row>
    <row r="720" spans="1:6" x14ac:dyDescent="0.3">
      <c r="A720" s="1">
        <v>45514</v>
      </c>
      <c r="B720" t="s">
        <v>1531</v>
      </c>
      <c r="C720" t="s">
        <v>1532</v>
      </c>
      <c r="D720">
        <v>40199</v>
      </c>
      <c r="E720">
        <f>MONTH(tblExpense[[#This Row],[Date]])</f>
        <v>8</v>
      </c>
      <c r="F720" t="str">
        <f>TEXT(tblExpense[[#This Row],[Date]],"mmm")</f>
        <v>Aug</v>
      </c>
    </row>
    <row r="721" spans="1:6" x14ac:dyDescent="0.3">
      <c r="A721" s="1">
        <v>45516</v>
      </c>
      <c r="B721" t="s">
        <v>1529</v>
      </c>
      <c r="C721" t="s">
        <v>1532</v>
      </c>
      <c r="D721">
        <v>29535</v>
      </c>
      <c r="E721">
        <f>MONTH(tblExpense[[#This Row],[Date]])</f>
        <v>8</v>
      </c>
      <c r="F721" t="str">
        <f>TEXT(tblExpense[[#This Row],[Date]],"mmm")</f>
        <v>Aug</v>
      </c>
    </row>
    <row r="722" spans="1:6" x14ac:dyDescent="0.3">
      <c r="A722" s="1">
        <v>45513</v>
      </c>
      <c r="B722" t="s">
        <v>1533</v>
      </c>
      <c r="C722" t="s">
        <v>1532</v>
      </c>
      <c r="D722">
        <v>36043</v>
      </c>
      <c r="E722">
        <f>MONTH(tblExpense[[#This Row],[Date]])</f>
        <v>8</v>
      </c>
      <c r="F722" t="str">
        <f>TEXT(tblExpense[[#This Row],[Date]],"mmm")</f>
        <v>Aug</v>
      </c>
    </row>
    <row r="723" spans="1:6" x14ac:dyDescent="0.3">
      <c r="A723" s="1">
        <v>45534</v>
      </c>
      <c r="B723" t="s">
        <v>1533</v>
      </c>
      <c r="C723" t="s">
        <v>1530</v>
      </c>
      <c r="D723">
        <v>69385</v>
      </c>
      <c r="E723">
        <f>MONTH(tblExpense[[#This Row],[Date]])</f>
        <v>8</v>
      </c>
      <c r="F723" t="str">
        <f>TEXT(tblExpense[[#This Row],[Date]],"mmm")</f>
        <v>Aug</v>
      </c>
    </row>
    <row r="724" spans="1:6" x14ac:dyDescent="0.3">
      <c r="A724" s="1">
        <v>45513</v>
      </c>
      <c r="B724" t="s">
        <v>1533</v>
      </c>
      <c r="C724" t="s">
        <v>1530</v>
      </c>
      <c r="D724">
        <v>62398</v>
      </c>
      <c r="E724">
        <f>MONTH(tblExpense[[#This Row],[Date]])</f>
        <v>8</v>
      </c>
      <c r="F724" t="str">
        <f>TEXT(tblExpense[[#This Row],[Date]],"mmm")</f>
        <v>Aug</v>
      </c>
    </row>
    <row r="725" spans="1:6" x14ac:dyDescent="0.3">
      <c r="A725" s="1">
        <v>45535</v>
      </c>
      <c r="B725" t="s">
        <v>1536</v>
      </c>
      <c r="C725" t="s">
        <v>1534</v>
      </c>
      <c r="D725">
        <v>7588</v>
      </c>
      <c r="E725">
        <f>MONTH(tblExpense[[#This Row],[Date]])</f>
        <v>8</v>
      </c>
      <c r="F725" t="str">
        <f>TEXT(tblExpense[[#This Row],[Date]],"mmm")</f>
        <v>Aug</v>
      </c>
    </row>
    <row r="726" spans="1:6" x14ac:dyDescent="0.3">
      <c r="A726" s="1">
        <v>45517</v>
      </c>
      <c r="B726" t="s">
        <v>1536</v>
      </c>
      <c r="C726" t="s">
        <v>1532</v>
      </c>
      <c r="D726">
        <v>14410</v>
      </c>
      <c r="E726">
        <f>MONTH(tblExpense[[#This Row],[Date]])</f>
        <v>8</v>
      </c>
      <c r="F726" t="str">
        <f>TEXT(tblExpense[[#This Row],[Date]],"mmm")</f>
        <v>Aug</v>
      </c>
    </row>
    <row r="727" spans="1:6" x14ac:dyDescent="0.3">
      <c r="A727" s="1">
        <v>45521</v>
      </c>
      <c r="B727" t="s">
        <v>1531</v>
      </c>
      <c r="C727" t="s">
        <v>1534</v>
      </c>
      <c r="D727">
        <v>9766</v>
      </c>
      <c r="E727">
        <f>MONTH(tblExpense[[#This Row],[Date]])</f>
        <v>8</v>
      </c>
      <c r="F727" t="str">
        <f>TEXT(tblExpense[[#This Row],[Date]],"mmm")</f>
        <v>Aug</v>
      </c>
    </row>
    <row r="728" spans="1:6" x14ac:dyDescent="0.3">
      <c r="A728" s="1">
        <v>45516</v>
      </c>
      <c r="B728" t="s">
        <v>1536</v>
      </c>
      <c r="C728" t="s">
        <v>1534</v>
      </c>
      <c r="D728">
        <v>29916</v>
      </c>
      <c r="E728">
        <f>MONTH(tblExpense[[#This Row],[Date]])</f>
        <v>8</v>
      </c>
      <c r="F728" t="str">
        <f>TEXT(tblExpense[[#This Row],[Date]],"mmm")</f>
        <v>Aug</v>
      </c>
    </row>
    <row r="729" spans="1:6" x14ac:dyDescent="0.3">
      <c r="A729" s="1">
        <v>45519</v>
      </c>
      <c r="B729" t="s">
        <v>1538</v>
      </c>
      <c r="C729" t="s">
        <v>1537</v>
      </c>
      <c r="D729">
        <v>33851</v>
      </c>
      <c r="E729">
        <f>MONTH(tblExpense[[#This Row],[Date]])</f>
        <v>8</v>
      </c>
      <c r="F729" t="str">
        <f>TEXT(tblExpense[[#This Row],[Date]],"mmm")</f>
        <v>Aug</v>
      </c>
    </row>
    <row r="730" spans="1:6" x14ac:dyDescent="0.3">
      <c r="A730" s="1">
        <v>45507</v>
      </c>
      <c r="B730" t="s">
        <v>1536</v>
      </c>
      <c r="C730" t="s">
        <v>1530</v>
      </c>
      <c r="D730">
        <v>85402</v>
      </c>
      <c r="E730">
        <f>MONTH(tblExpense[[#This Row],[Date]])</f>
        <v>8</v>
      </c>
      <c r="F730" t="str">
        <f>TEXT(tblExpense[[#This Row],[Date]],"mmm")</f>
        <v>Aug</v>
      </c>
    </row>
    <row r="731" spans="1:6" x14ac:dyDescent="0.3">
      <c r="A731" s="1">
        <v>45510</v>
      </c>
      <c r="B731" t="s">
        <v>1531</v>
      </c>
      <c r="C731" t="s">
        <v>1535</v>
      </c>
      <c r="D731">
        <v>33526</v>
      </c>
      <c r="E731">
        <f>MONTH(tblExpense[[#This Row],[Date]])</f>
        <v>8</v>
      </c>
      <c r="F731" t="str">
        <f>TEXT(tblExpense[[#This Row],[Date]],"mmm")</f>
        <v>Aug</v>
      </c>
    </row>
    <row r="732" spans="1:6" x14ac:dyDescent="0.3">
      <c r="A732" s="1">
        <v>45525</v>
      </c>
      <c r="B732" t="s">
        <v>1531</v>
      </c>
      <c r="C732" t="s">
        <v>1537</v>
      </c>
      <c r="D732">
        <v>91823</v>
      </c>
      <c r="E732">
        <f>MONTH(tblExpense[[#This Row],[Date]])</f>
        <v>8</v>
      </c>
      <c r="F732" t="str">
        <f>TEXT(tblExpense[[#This Row],[Date]],"mmm")</f>
        <v>Aug</v>
      </c>
    </row>
    <row r="733" spans="1:6" x14ac:dyDescent="0.3">
      <c r="A733" s="1">
        <v>45531</v>
      </c>
      <c r="B733" t="s">
        <v>1533</v>
      </c>
      <c r="C733" t="s">
        <v>1537</v>
      </c>
      <c r="D733">
        <v>20556</v>
      </c>
      <c r="E733">
        <f>MONTH(tblExpense[[#This Row],[Date]])</f>
        <v>8</v>
      </c>
      <c r="F733" t="str">
        <f>TEXT(tblExpense[[#This Row],[Date]],"mmm")</f>
        <v>Aug</v>
      </c>
    </row>
    <row r="734" spans="1:6" x14ac:dyDescent="0.3">
      <c r="A734" s="1">
        <v>45511</v>
      </c>
      <c r="B734" t="s">
        <v>1533</v>
      </c>
      <c r="C734" t="s">
        <v>1532</v>
      </c>
      <c r="D734">
        <v>52222</v>
      </c>
      <c r="E734">
        <f>MONTH(tblExpense[[#This Row],[Date]])</f>
        <v>8</v>
      </c>
      <c r="F734" t="str">
        <f>TEXT(tblExpense[[#This Row],[Date]],"mmm")</f>
        <v>Aug</v>
      </c>
    </row>
    <row r="735" spans="1:6" x14ac:dyDescent="0.3">
      <c r="A735" s="1">
        <v>45523</v>
      </c>
      <c r="B735" t="s">
        <v>1536</v>
      </c>
      <c r="C735" t="s">
        <v>1537</v>
      </c>
      <c r="D735">
        <v>47071</v>
      </c>
      <c r="E735">
        <f>MONTH(tblExpense[[#This Row],[Date]])</f>
        <v>8</v>
      </c>
      <c r="F735" t="str">
        <f>TEXT(tblExpense[[#This Row],[Date]],"mmm")</f>
        <v>Aug</v>
      </c>
    </row>
    <row r="736" spans="1:6" x14ac:dyDescent="0.3">
      <c r="A736" s="1">
        <v>45512</v>
      </c>
      <c r="B736" t="s">
        <v>1529</v>
      </c>
      <c r="C736" t="s">
        <v>1535</v>
      </c>
      <c r="D736">
        <v>26566</v>
      </c>
      <c r="E736">
        <f>MONTH(tblExpense[[#This Row],[Date]])</f>
        <v>8</v>
      </c>
      <c r="F736" t="str">
        <f>TEXT(tblExpense[[#This Row],[Date]],"mmm")</f>
        <v>Aug</v>
      </c>
    </row>
    <row r="737" spans="1:6" x14ac:dyDescent="0.3">
      <c r="A737" s="1">
        <v>45510</v>
      </c>
      <c r="B737" t="s">
        <v>1529</v>
      </c>
      <c r="C737" t="s">
        <v>1535</v>
      </c>
      <c r="D737">
        <v>32585</v>
      </c>
      <c r="E737">
        <f>MONTH(tblExpense[[#This Row],[Date]])</f>
        <v>8</v>
      </c>
      <c r="F737" t="str">
        <f>TEXT(tblExpense[[#This Row],[Date]],"mmm")</f>
        <v>Aug</v>
      </c>
    </row>
    <row r="738" spans="1:6" x14ac:dyDescent="0.3">
      <c r="A738" s="1">
        <v>45519</v>
      </c>
      <c r="B738" t="s">
        <v>1538</v>
      </c>
      <c r="C738" t="s">
        <v>1537</v>
      </c>
      <c r="D738">
        <v>93963</v>
      </c>
      <c r="E738">
        <f>MONTH(tblExpense[[#This Row],[Date]])</f>
        <v>8</v>
      </c>
      <c r="F738" t="str">
        <f>TEXT(tblExpense[[#This Row],[Date]],"mmm")</f>
        <v>Aug</v>
      </c>
    </row>
    <row r="739" spans="1:6" x14ac:dyDescent="0.3">
      <c r="A739" s="1">
        <v>45526</v>
      </c>
      <c r="B739" t="s">
        <v>1531</v>
      </c>
      <c r="C739" t="s">
        <v>1537</v>
      </c>
      <c r="D739">
        <v>41591</v>
      </c>
      <c r="E739">
        <f>MONTH(tblExpense[[#This Row],[Date]])</f>
        <v>8</v>
      </c>
      <c r="F739" t="str">
        <f>TEXT(tblExpense[[#This Row],[Date]],"mmm")</f>
        <v>Aug</v>
      </c>
    </row>
    <row r="740" spans="1:6" x14ac:dyDescent="0.3">
      <c r="A740" s="1">
        <v>45519</v>
      </c>
      <c r="B740" t="s">
        <v>1531</v>
      </c>
      <c r="C740" t="s">
        <v>1532</v>
      </c>
      <c r="D740">
        <v>43572</v>
      </c>
      <c r="E740">
        <f>MONTH(tblExpense[[#This Row],[Date]])</f>
        <v>8</v>
      </c>
      <c r="F740" t="str">
        <f>TEXT(tblExpense[[#This Row],[Date]],"mmm")</f>
        <v>Aug</v>
      </c>
    </row>
    <row r="741" spans="1:6" x14ac:dyDescent="0.3">
      <c r="A741" s="1">
        <v>45526</v>
      </c>
      <c r="B741" t="s">
        <v>1533</v>
      </c>
      <c r="C741" t="s">
        <v>1534</v>
      </c>
      <c r="D741">
        <v>83828</v>
      </c>
      <c r="E741">
        <f>MONTH(tblExpense[[#This Row],[Date]])</f>
        <v>8</v>
      </c>
      <c r="F741" t="str">
        <f>TEXT(tblExpense[[#This Row],[Date]],"mmm")</f>
        <v>Aug</v>
      </c>
    </row>
    <row r="742" spans="1:6" x14ac:dyDescent="0.3">
      <c r="A742" s="1">
        <v>45531</v>
      </c>
      <c r="B742" t="s">
        <v>1529</v>
      </c>
      <c r="C742" t="s">
        <v>1532</v>
      </c>
      <c r="D742">
        <v>88434</v>
      </c>
      <c r="E742">
        <f>MONTH(tblExpense[[#This Row],[Date]])</f>
        <v>8</v>
      </c>
      <c r="F742" t="str">
        <f>TEXT(tblExpense[[#This Row],[Date]],"mmm")</f>
        <v>Aug</v>
      </c>
    </row>
    <row r="743" spans="1:6" x14ac:dyDescent="0.3">
      <c r="A743" s="1">
        <v>45520</v>
      </c>
      <c r="B743" t="s">
        <v>1529</v>
      </c>
      <c r="C743" t="s">
        <v>1534</v>
      </c>
      <c r="D743">
        <v>83137</v>
      </c>
      <c r="E743">
        <f>MONTH(tblExpense[[#This Row],[Date]])</f>
        <v>8</v>
      </c>
      <c r="F743" t="str">
        <f>TEXT(tblExpense[[#This Row],[Date]],"mmm")</f>
        <v>Aug</v>
      </c>
    </row>
    <row r="744" spans="1:6" x14ac:dyDescent="0.3">
      <c r="A744" s="1">
        <v>45506</v>
      </c>
      <c r="B744" t="s">
        <v>1533</v>
      </c>
      <c r="C744" t="s">
        <v>1537</v>
      </c>
      <c r="D744">
        <v>72623</v>
      </c>
      <c r="E744">
        <f>MONTH(tblExpense[[#This Row],[Date]])</f>
        <v>8</v>
      </c>
      <c r="F744" t="str">
        <f>TEXT(tblExpense[[#This Row],[Date]],"mmm")</f>
        <v>Aug</v>
      </c>
    </row>
    <row r="745" spans="1:6" x14ac:dyDescent="0.3">
      <c r="A745" s="1">
        <v>45506</v>
      </c>
      <c r="B745" t="s">
        <v>1536</v>
      </c>
      <c r="C745" t="s">
        <v>1532</v>
      </c>
      <c r="D745">
        <v>52433</v>
      </c>
      <c r="E745">
        <f>MONTH(tblExpense[[#This Row],[Date]])</f>
        <v>8</v>
      </c>
      <c r="F745" t="str">
        <f>TEXT(tblExpense[[#This Row],[Date]],"mmm")</f>
        <v>Aug</v>
      </c>
    </row>
    <row r="746" spans="1:6" x14ac:dyDescent="0.3">
      <c r="A746" s="1">
        <v>45529</v>
      </c>
      <c r="B746" t="s">
        <v>1531</v>
      </c>
      <c r="C746" t="s">
        <v>1532</v>
      </c>
      <c r="D746">
        <v>96878</v>
      </c>
      <c r="E746">
        <f>MONTH(tblExpense[[#This Row],[Date]])</f>
        <v>8</v>
      </c>
      <c r="F746" t="str">
        <f>TEXT(tblExpense[[#This Row],[Date]],"mmm")</f>
        <v>Aug</v>
      </c>
    </row>
    <row r="747" spans="1:6" x14ac:dyDescent="0.3">
      <c r="A747" s="1">
        <v>45511</v>
      </c>
      <c r="B747" t="s">
        <v>1536</v>
      </c>
      <c r="C747" t="s">
        <v>1537</v>
      </c>
      <c r="D747">
        <v>90163</v>
      </c>
      <c r="E747">
        <f>MONTH(tblExpense[[#This Row],[Date]])</f>
        <v>8</v>
      </c>
      <c r="F747" t="str">
        <f>TEXT(tblExpense[[#This Row],[Date]],"mmm")</f>
        <v>Aug</v>
      </c>
    </row>
    <row r="748" spans="1:6" x14ac:dyDescent="0.3">
      <c r="A748" s="1">
        <v>45525</v>
      </c>
      <c r="B748" t="s">
        <v>1538</v>
      </c>
      <c r="C748" t="s">
        <v>1535</v>
      </c>
      <c r="D748">
        <v>31358</v>
      </c>
      <c r="E748">
        <f>MONTH(tblExpense[[#This Row],[Date]])</f>
        <v>8</v>
      </c>
      <c r="F748" t="str">
        <f>TEXT(tblExpense[[#This Row],[Date]],"mmm")</f>
        <v>Aug</v>
      </c>
    </row>
    <row r="749" spans="1:6" x14ac:dyDescent="0.3">
      <c r="A749" s="1">
        <v>45527</v>
      </c>
      <c r="B749" t="s">
        <v>1531</v>
      </c>
      <c r="C749" t="s">
        <v>1530</v>
      </c>
      <c r="D749">
        <v>89146</v>
      </c>
      <c r="E749">
        <f>MONTH(tblExpense[[#This Row],[Date]])</f>
        <v>8</v>
      </c>
      <c r="F749" t="str">
        <f>TEXT(tblExpense[[#This Row],[Date]],"mmm")</f>
        <v>Aug</v>
      </c>
    </row>
    <row r="750" spans="1:6" x14ac:dyDescent="0.3">
      <c r="A750" s="1">
        <v>45516</v>
      </c>
      <c r="B750" t="s">
        <v>1529</v>
      </c>
      <c r="C750" t="s">
        <v>1535</v>
      </c>
      <c r="D750">
        <v>30946</v>
      </c>
      <c r="E750">
        <f>MONTH(tblExpense[[#This Row],[Date]])</f>
        <v>8</v>
      </c>
      <c r="F750" t="str">
        <f>TEXT(tblExpense[[#This Row],[Date]],"mmm")</f>
        <v>Aug</v>
      </c>
    </row>
    <row r="751" spans="1:6" x14ac:dyDescent="0.3">
      <c r="A751" s="1">
        <v>45532</v>
      </c>
      <c r="B751" t="s">
        <v>1529</v>
      </c>
      <c r="C751" t="s">
        <v>1530</v>
      </c>
      <c r="D751">
        <v>55865</v>
      </c>
      <c r="E751">
        <f>MONTH(tblExpense[[#This Row],[Date]])</f>
        <v>8</v>
      </c>
      <c r="F751" t="str">
        <f>TEXT(tblExpense[[#This Row],[Date]],"mmm")</f>
        <v>Aug</v>
      </c>
    </row>
    <row r="752" spans="1:6" x14ac:dyDescent="0.3">
      <c r="A752" s="1">
        <v>45531</v>
      </c>
      <c r="B752" t="s">
        <v>1536</v>
      </c>
      <c r="C752" t="s">
        <v>1535</v>
      </c>
      <c r="D752">
        <v>87386</v>
      </c>
      <c r="E752">
        <f>MONTH(tblExpense[[#This Row],[Date]])</f>
        <v>8</v>
      </c>
      <c r="F752" t="str">
        <f>TEXT(tblExpense[[#This Row],[Date]],"mmm")</f>
        <v>Aug</v>
      </c>
    </row>
    <row r="753" spans="1:6" x14ac:dyDescent="0.3">
      <c r="A753" s="1">
        <v>45511</v>
      </c>
      <c r="B753" t="s">
        <v>1533</v>
      </c>
      <c r="C753" t="s">
        <v>1534</v>
      </c>
      <c r="D753">
        <v>62109</v>
      </c>
      <c r="E753">
        <f>MONTH(tblExpense[[#This Row],[Date]])</f>
        <v>8</v>
      </c>
      <c r="F753" t="str">
        <f>TEXT(tblExpense[[#This Row],[Date]],"mmm")</f>
        <v>Aug</v>
      </c>
    </row>
    <row r="754" spans="1:6" x14ac:dyDescent="0.3">
      <c r="A754" s="1">
        <v>45506</v>
      </c>
      <c r="B754" t="s">
        <v>1529</v>
      </c>
      <c r="C754" t="s">
        <v>1532</v>
      </c>
      <c r="D754">
        <v>57014</v>
      </c>
      <c r="E754">
        <f>MONTH(tblExpense[[#This Row],[Date]])</f>
        <v>8</v>
      </c>
      <c r="F754" t="str">
        <f>TEXT(tblExpense[[#This Row],[Date]],"mmm")</f>
        <v>Aug</v>
      </c>
    </row>
    <row r="755" spans="1:6" x14ac:dyDescent="0.3">
      <c r="A755" s="1">
        <v>45532</v>
      </c>
      <c r="B755" t="s">
        <v>1538</v>
      </c>
      <c r="C755" t="s">
        <v>1534</v>
      </c>
      <c r="D755">
        <v>68288</v>
      </c>
      <c r="E755">
        <f>MONTH(tblExpense[[#This Row],[Date]])</f>
        <v>8</v>
      </c>
      <c r="F755" t="str">
        <f>TEXT(tblExpense[[#This Row],[Date]],"mmm")</f>
        <v>Aug</v>
      </c>
    </row>
    <row r="756" spans="1:6" x14ac:dyDescent="0.3">
      <c r="A756" s="1">
        <v>45526</v>
      </c>
      <c r="B756" t="s">
        <v>1538</v>
      </c>
      <c r="C756" t="s">
        <v>1534</v>
      </c>
      <c r="D756">
        <v>76557</v>
      </c>
      <c r="E756">
        <f>MONTH(tblExpense[[#This Row],[Date]])</f>
        <v>8</v>
      </c>
      <c r="F756" t="str">
        <f>TEXT(tblExpense[[#This Row],[Date]],"mmm")</f>
        <v>Aug</v>
      </c>
    </row>
    <row r="757" spans="1:6" x14ac:dyDescent="0.3">
      <c r="A757" s="1">
        <v>45507</v>
      </c>
      <c r="B757" t="s">
        <v>1536</v>
      </c>
      <c r="C757" t="s">
        <v>1537</v>
      </c>
      <c r="D757">
        <v>99703</v>
      </c>
      <c r="E757">
        <f>MONTH(tblExpense[[#This Row],[Date]])</f>
        <v>8</v>
      </c>
      <c r="F757" t="str">
        <f>TEXT(tblExpense[[#This Row],[Date]],"mmm")</f>
        <v>Aug</v>
      </c>
    </row>
    <row r="758" spans="1:6" x14ac:dyDescent="0.3">
      <c r="A758" s="1">
        <v>45522</v>
      </c>
      <c r="B758" t="s">
        <v>1536</v>
      </c>
      <c r="C758" t="s">
        <v>1530</v>
      </c>
      <c r="D758">
        <v>31567</v>
      </c>
      <c r="E758">
        <f>MONTH(tblExpense[[#This Row],[Date]])</f>
        <v>8</v>
      </c>
      <c r="F758" t="str">
        <f>TEXT(tblExpense[[#This Row],[Date]],"mmm")</f>
        <v>Aug</v>
      </c>
    </row>
    <row r="759" spans="1:6" x14ac:dyDescent="0.3">
      <c r="A759" s="1">
        <v>45521</v>
      </c>
      <c r="B759" t="s">
        <v>1536</v>
      </c>
      <c r="C759" t="s">
        <v>1530</v>
      </c>
      <c r="D759">
        <v>86101</v>
      </c>
      <c r="E759">
        <f>MONTH(tblExpense[[#This Row],[Date]])</f>
        <v>8</v>
      </c>
      <c r="F759" t="str">
        <f>TEXT(tblExpense[[#This Row],[Date]],"mmm")</f>
        <v>Aug</v>
      </c>
    </row>
    <row r="760" spans="1:6" x14ac:dyDescent="0.3">
      <c r="A760" s="1">
        <v>45525</v>
      </c>
      <c r="B760" t="s">
        <v>1533</v>
      </c>
      <c r="C760" t="s">
        <v>1530</v>
      </c>
      <c r="D760">
        <v>60965</v>
      </c>
      <c r="E760">
        <f>MONTH(tblExpense[[#This Row],[Date]])</f>
        <v>8</v>
      </c>
      <c r="F760" t="str">
        <f>TEXT(tblExpense[[#This Row],[Date]],"mmm")</f>
        <v>Aug</v>
      </c>
    </row>
    <row r="761" spans="1:6" x14ac:dyDescent="0.3">
      <c r="A761" s="1">
        <v>45506</v>
      </c>
      <c r="B761" t="s">
        <v>1538</v>
      </c>
      <c r="C761" t="s">
        <v>1537</v>
      </c>
      <c r="D761">
        <v>80532</v>
      </c>
      <c r="E761">
        <f>MONTH(tblExpense[[#This Row],[Date]])</f>
        <v>8</v>
      </c>
      <c r="F761" t="str">
        <f>TEXT(tblExpense[[#This Row],[Date]],"mmm")</f>
        <v>Aug</v>
      </c>
    </row>
    <row r="762" spans="1:6" x14ac:dyDescent="0.3">
      <c r="A762" s="1">
        <v>45524</v>
      </c>
      <c r="B762" t="s">
        <v>1533</v>
      </c>
      <c r="C762" t="s">
        <v>1535</v>
      </c>
      <c r="D762">
        <v>40974</v>
      </c>
      <c r="E762">
        <f>MONTH(tblExpense[[#This Row],[Date]])</f>
        <v>8</v>
      </c>
      <c r="F762" t="str">
        <f>TEXT(tblExpense[[#This Row],[Date]],"mmm")</f>
        <v>Aug</v>
      </c>
    </row>
    <row r="763" spans="1:6" x14ac:dyDescent="0.3">
      <c r="A763" s="1">
        <v>45515</v>
      </c>
      <c r="B763" t="s">
        <v>1533</v>
      </c>
      <c r="C763" t="s">
        <v>1532</v>
      </c>
      <c r="D763">
        <v>97914</v>
      </c>
      <c r="E763">
        <f>MONTH(tblExpense[[#This Row],[Date]])</f>
        <v>8</v>
      </c>
      <c r="F763" t="str">
        <f>TEXT(tblExpense[[#This Row],[Date]],"mmm")</f>
        <v>Aug</v>
      </c>
    </row>
    <row r="764" spans="1:6" x14ac:dyDescent="0.3">
      <c r="A764" s="1">
        <v>45526</v>
      </c>
      <c r="B764" t="s">
        <v>1536</v>
      </c>
      <c r="C764" t="s">
        <v>1534</v>
      </c>
      <c r="D764">
        <v>24651</v>
      </c>
      <c r="E764">
        <f>MONTH(tblExpense[[#This Row],[Date]])</f>
        <v>8</v>
      </c>
      <c r="F764" t="str">
        <f>TEXT(tblExpense[[#This Row],[Date]],"mmm")</f>
        <v>Aug</v>
      </c>
    </row>
    <row r="765" spans="1:6" x14ac:dyDescent="0.3">
      <c r="A765" s="1">
        <v>45523</v>
      </c>
      <c r="B765" t="s">
        <v>1529</v>
      </c>
      <c r="C765" t="s">
        <v>1537</v>
      </c>
      <c r="D765">
        <v>38472</v>
      </c>
      <c r="E765">
        <f>MONTH(tblExpense[[#This Row],[Date]])</f>
        <v>8</v>
      </c>
      <c r="F765" t="str">
        <f>TEXT(tblExpense[[#This Row],[Date]],"mmm")</f>
        <v>Aug</v>
      </c>
    </row>
    <row r="766" spans="1:6" x14ac:dyDescent="0.3">
      <c r="A766" s="1">
        <v>45527</v>
      </c>
      <c r="B766" t="s">
        <v>1529</v>
      </c>
      <c r="C766" t="s">
        <v>1534</v>
      </c>
      <c r="D766">
        <v>39817</v>
      </c>
      <c r="E766">
        <f>MONTH(tblExpense[[#This Row],[Date]])</f>
        <v>8</v>
      </c>
      <c r="F766" t="str">
        <f>TEXT(tblExpense[[#This Row],[Date]],"mmm")</f>
        <v>Aug</v>
      </c>
    </row>
    <row r="767" spans="1:6" x14ac:dyDescent="0.3">
      <c r="A767" s="1">
        <v>45519</v>
      </c>
      <c r="B767" t="s">
        <v>1538</v>
      </c>
      <c r="C767" t="s">
        <v>1534</v>
      </c>
      <c r="D767">
        <v>24446</v>
      </c>
      <c r="E767">
        <f>MONTH(tblExpense[[#This Row],[Date]])</f>
        <v>8</v>
      </c>
      <c r="F767" t="str">
        <f>TEXT(tblExpense[[#This Row],[Date]],"mmm")</f>
        <v>Aug</v>
      </c>
    </row>
    <row r="768" spans="1:6" x14ac:dyDescent="0.3">
      <c r="A768" s="1">
        <v>45522</v>
      </c>
      <c r="B768" t="s">
        <v>1538</v>
      </c>
      <c r="C768" t="s">
        <v>1534</v>
      </c>
      <c r="D768">
        <v>88188</v>
      </c>
      <c r="E768">
        <f>MONTH(tblExpense[[#This Row],[Date]])</f>
        <v>8</v>
      </c>
      <c r="F768" t="str">
        <f>TEXT(tblExpense[[#This Row],[Date]],"mmm")</f>
        <v>Aug</v>
      </c>
    </row>
    <row r="769" spans="1:6" x14ac:dyDescent="0.3">
      <c r="A769" s="1">
        <v>45517</v>
      </c>
      <c r="B769" t="s">
        <v>1538</v>
      </c>
      <c r="C769" t="s">
        <v>1530</v>
      </c>
      <c r="D769">
        <v>51839</v>
      </c>
      <c r="E769">
        <f>MONTH(tblExpense[[#This Row],[Date]])</f>
        <v>8</v>
      </c>
      <c r="F769" t="str">
        <f>TEXT(tblExpense[[#This Row],[Date]],"mmm")</f>
        <v>Aug</v>
      </c>
    </row>
    <row r="770" spans="1:6" x14ac:dyDescent="0.3">
      <c r="A770" s="1">
        <v>45532</v>
      </c>
      <c r="B770" t="s">
        <v>1538</v>
      </c>
      <c r="C770" t="s">
        <v>1532</v>
      </c>
      <c r="D770">
        <v>84611</v>
      </c>
      <c r="E770">
        <f>MONTH(tblExpense[[#This Row],[Date]])</f>
        <v>8</v>
      </c>
      <c r="F770" t="str">
        <f>TEXT(tblExpense[[#This Row],[Date]],"mmm")</f>
        <v>Aug</v>
      </c>
    </row>
    <row r="771" spans="1:6" x14ac:dyDescent="0.3">
      <c r="A771" s="1">
        <v>45506</v>
      </c>
      <c r="B771" t="s">
        <v>1538</v>
      </c>
      <c r="C771" t="s">
        <v>1534</v>
      </c>
      <c r="D771">
        <v>72128</v>
      </c>
      <c r="E771">
        <f>MONTH(tblExpense[[#This Row],[Date]])</f>
        <v>8</v>
      </c>
      <c r="F771" t="str">
        <f>TEXT(tblExpense[[#This Row],[Date]],"mmm")</f>
        <v>Aug</v>
      </c>
    </row>
    <row r="772" spans="1:6" x14ac:dyDescent="0.3">
      <c r="A772" s="1">
        <v>45506</v>
      </c>
      <c r="B772" t="s">
        <v>1529</v>
      </c>
      <c r="C772" t="s">
        <v>1530</v>
      </c>
      <c r="D772">
        <v>32872</v>
      </c>
      <c r="E772">
        <f>MONTH(tblExpense[[#This Row],[Date]])</f>
        <v>8</v>
      </c>
      <c r="F772" t="str">
        <f>TEXT(tblExpense[[#This Row],[Date]],"mmm")</f>
        <v>Aug</v>
      </c>
    </row>
    <row r="773" spans="1:6" x14ac:dyDescent="0.3">
      <c r="A773" s="1">
        <v>45506</v>
      </c>
      <c r="B773" t="s">
        <v>1533</v>
      </c>
      <c r="C773" t="s">
        <v>1537</v>
      </c>
      <c r="D773">
        <v>83303</v>
      </c>
      <c r="E773">
        <f>MONTH(tblExpense[[#This Row],[Date]])</f>
        <v>8</v>
      </c>
      <c r="F773" t="str">
        <f>TEXT(tblExpense[[#This Row],[Date]],"mmm")</f>
        <v>Aug</v>
      </c>
    </row>
    <row r="774" spans="1:6" x14ac:dyDescent="0.3">
      <c r="A774" s="1">
        <v>45530</v>
      </c>
      <c r="B774" t="s">
        <v>1538</v>
      </c>
      <c r="C774" t="s">
        <v>1532</v>
      </c>
      <c r="D774">
        <v>68537</v>
      </c>
      <c r="E774">
        <f>MONTH(tblExpense[[#This Row],[Date]])</f>
        <v>8</v>
      </c>
      <c r="F774" t="str">
        <f>TEXT(tblExpense[[#This Row],[Date]],"mmm")</f>
        <v>Aug</v>
      </c>
    </row>
    <row r="775" spans="1:6" x14ac:dyDescent="0.3">
      <c r="A775" s="1">
        <v>45530</v>
      </c>
      <c r="B775" t="s">
        <v>1529</v>
      </c>
      <c r="C775" t="s">
        <v>1535</v>
      </c>
      <c r="D775">
        <v>86198</v>
      </c>
      <c r="E775">
        <f>MONTH(tblExpense[[#This Row],[Date]])</f>
        <v>8</v>
      </c>
      <c r="F775" t="str">
        <f>TEXT(tblExpense[[#This Row],[Date]],"mmm")</f>
        <v>Aug</v>
      </c>
    </row>
    <row r="776" spans="1:6" x14ac:dyDescent="0.3">
      <c r="A776" s="1">
        <v>45533</v>
      </c>
      <c r="B776" t="s">
        <v>1529</v>
      </c>
      <c r="C776" t="s">
        <v>1535</v>
      </c>
      <c r="D776">
        <v>25681</v>
      </c>
      <c r="E776">
        <f>MONTH(tblExpense[[#This Row],[Date]])</f>
        <v>8</v>
      </c>
      <c r="F776" t="str">
        <f>TEXT(tblExpense[[#This Row],[Date]],"mmm")</f>
        <v>Aug</v>
      </c>
    </row>
    <row r="777" spans="1:6" x14ac:dyDescent="0.3">
      <c r="A777" s="1">
        <v>45531</v>
      </c>
      <c r="B777" t="s">
        <v>1538</v>
      </c>
      <c r="C777" t="s">
        <v>1537</v>
      </c>
      <c r="D777">
        <v>13116</v>
      </c>
      <c r="E777">
        <f>MONTH(tblExpense[[#This Row],[Date]])</f>
        <v>8</v>
      </c>
      <c r="F777" t="str">
        <f>TEXT(tblExpense[[#This Row],[Date]],"mmm")</f>
        <v>Aug</v>
      </c>
    </row>
    <row r="778" spans="1:6" x14ac:dyDescent="0.3">
      <c r="A778" s="1">
        <v>45518</v>
      </c>
      <c r="B778" t="s">
        <v>1529</v>
      </c>
      <c r="C778" t="s">
        <v>1535</v>
      </c>
      <c r="D778">
        <v>55652</v>
      </c>
      <c r="E778">
        <f>MONTH(tblExpense[[#This Row],[Date]])</f>
        <v>8</v>
      </c>
      <c r="F778" t="str">
        <f>TEXT(tblExpense[[#This Row],[Date]],"mmm")</f>
        <v>Aug</v>
      </c>
    </row>
    <row r="779" spans="1:6" x14ac:dyDescent="0.3">
      <c r="A779" s="1">
        <v>45531</v>
      </c>
      <c r="B779" t="s">
        <v>1536</v>
      </c>
      <c r="C779" t="s">
        <v>1534</v>
      </c>
      <c r="D779">
        <v>82396</v>
      </c>
      <c r="E779">
        <f>MONTH(tblExpense[[#This Row],[Date]])</f>
        <v>8</v>
      </c>
      <c r="F779" t="str">
        <f>TEXT(tblExpense[[#This Row],[Date]],"mmm")</f>
        <v>Aug</v>
      </c>
    </row>
    <row r="780" spans="1:6" x14ac:dyDescent="0.3">
      <c r="A780" s="1">
        <v>45518</v>
      </c>
      <c r="B780" t="s">
        <v>1533</v>
      </c>
      <c r="C780" t="s">
        <v>1534</v>
      </c>
      <c r="D780">
        <v>6080</v>
      </c>
      <c r="E780">
        <f>MONTH(tblExpense[[#This Row],[Date]])</f>
        <v>8</v>
      </c>
      <c r="F780" t="str">
        <f>TEXT(tblExpense[[#This Row],[Date]],"mmm")</f>
        <v>Aug</v>
      </c>
    </row>
    <row r="781" spans="1:6" x14ac:dyDescent="0.3">
      <c r="A781" s="1">
        <v>45517</v>
      </c>
      <c r="B781" t="s">
        <v>1531</v>
      </c>
      <c r="C781" t="s">
        <v>1532</v>
      </c>
      <c r="D781">
        <v>46884</v>
      </c>
      <c r="E781">
        <f>MONTH(tblExpense[[#This Row],[Date]])</f>
        <v>8</v>
      </c>
      <c r="F781" t="str">
        <f>TEXT(tblExpense[[#This Row],[Date]],"mmm")</f>
        <v>Aug</v>
      </c>
    </row>
    <row r="782" spans="1:6" x14ac:dyDescent="0.3">
      <c r="A782" s="1">
        <v>45511</v>
      </c>
      <c r="B782" t="s">
        <v>1529</v>
      </c>
      <c r="C782" t="s">
        <v>1530</v>
      </c>
      <c r="D782">
        <v>23024</v>
      </c>
      <c r="E782">
        <f>MONTH(tblExpense[[#This Row],[Date]])</f>
        <v>8</v>
      </c>
      <c r="F782" t="str">
        <f>TEXT(tblExpense[[#This Row],[Date]],"mmm")</f>
        <v>Aug</v>
      </c>
    </row>
    <row r="783" spans="1:6" x14ac:dyDescent="0.3">
      <c r="A783" s="1">
        <v>45535</v>
      </c>
      <c r="B783" t="s">
        <v>1533</v>
      </c>
      <c r="C783" t="s">
        <v>1535</v>
      </c>
      <c r="D783">
        <v>34765</v>
      </c>
      <c r="E783">
        <f>MONTH(tblExpense[[#This Row],[Date]])</f>
        <v>8</v>
      </c>
      <c r="F783" t="str">
        <f>TEXT(tblExpense[[#This Row],[Date]],"mmm")</f>
        <v>Aug</v>
      </c>
    </row>
    <row r="784" spans="1:6" x14ac:dyDescent="0.3">
      <c r="A784" s="1">
        <v>45527</v>
      </c>
      <c r="B784" t="s">
        <v>1533</v>
      </c>
      <c r="C784" t="s">
        <v>1532</v>
      </c>
      <c r="D784">
        <v>82127</v>
      </c>
      <c r="E784">
        <f>MONTH(tblExpense[[#This Row],[Date]])</f>
        <v>8</v>
      </c>
      <c r="F784" t="str">
        <f>TEXT(tblExpense[[#This Row],[Date]],"mmm")</f>
        <v>Aug</v>
      </c>
    </row>
    <row r="785" spans="1:6" x14ac:dyDescent="0.3">
      <c r="A785" s="1">
        <v>45509</v>
      </c>
      <c r="B785" t="s">
        <v>1536</v>
      </c>
      <c r="C785" t="s">
        <v>1537</v>
      </c>
      <c r="D785">
        <v>89584</v>
      </c>
      <c r="E785">
        <f>MONTH(tblExpense[[#This Row],[Date]])</f>
        <v>8</v>
      </c>
      <c r="F785" t="str">
        <f>TEXT(tblExpense[[#This Row],[Date]],"mmm")</f>
        <v>Aug</v>
      </c>
    </row>
    <row r="786" spans="1:6" x14ac:dyDescent="0.3">
      <c r="A786" s="1">
        <v>45518</v>
      </c>
      <c r="B786" t="s">
        <v>1531</v>
      </c>
      <c r="C786" t="s">
        <v>1532</v>
      </c>
      <c r="D786">
        <v>64036</v>
      </c>
      <c r="E786">
        <f>MONTH(tblExpense[[#This Row],[Date]])</f>
        <v>8</v>
      </c>
      <c r="F786" t="str">
        <f>TEXT(tblExpense[[#This Row],[Date]],"mmm")</f>
        <v>Aug</v>
      </c>
    </row>
    <row r="787" spans="1:6" x14ac:dyDescent="0.3">
      <c r="A787" s="1">
        <v>45513</v>
      </c>
      <c r="B787" t="s">
        <v>1533</v>
      </c>
      <c r="C787" t="s">
        <v>1532</v>
      </c>
      <c r="D787">
        <v>32790</v>
      </c>
      <c r="E787">
        <f>MONTH(tblExpense[[#This Row],[Date]])</f>
        <v>8</v>
      </c>
      <c r="F787" t="str">
        <f>TEXT(tblExpense[[#This Row],[Date]],"mmm")</f>
        <v>Aug</v>
      </c>
    </row>
    <row r="788" spans="1:6" x14ac:dyDescent="0.3">
      <c r="A788" s="1">
        <v>45562</v>
      </c>
      <c r="B788" t="s">
        <v>1536</v>
      </c>
      <c r="C788" t="s">
        <v>1530</v>
      </c>
      <c r="D788">
        <v>19344</v>
      </c>
      <c r="E788">
        <f>MONTH(tblExpense[[#This Row],[Date]])</f>
        <v>9</v>
      </c>
      <c r="F788" t="str">
        <f>TEXT(tblExpense[[#This Row],[Date]],"mmm")</f>
        <v>Sep</v>
      </c>
    </row>
    <row r="789" spans="1:6" x14ac:dyDescent="0.3">
      <c r="A789" s="1">
        <v>45540</v>
      </c>
      <c r="B789" t="s">
        <v>1538</v>
      </c>
      <c r="C789" t="s">
        <v>1537</v>
      </c>
      <c r="D789">
        <v>44850</v>
      </c>
      <c r="E789">
        <f>MONTH(tblExpense[[#This Row],[Date]])</f>
        <v>9</v>
      </c>
      <c r="F789" t="str">
        <f>TEXT(tblExpense[[#This Row],[Date]],"mmm")</f>
        <v>Sep</v>
      </c>
    </row>
    <row r="790" spans="1:6" x14ac:dyDescent="0.3">
      <c r="A790" s="1">
        <v>45543</v>
      </c>
      <c r="B790" t="s">
        <v>1536</v>
      </c>
      <c r="C790" t="s">
        <v>1535</v>
      </c>
      <c r="D790">
        <v>77829</v>
      </c>
      <c r="E790">
        <f>MONTH(tblExpense[[#This Row],[Date]])</f>
        <v>9</v>
      </c>
      <c r="F790" t="str">
        <f>TEXT(tblExpense[[#This Row],[Date]],"mmm")</f>
        <v>Sep</v>
      </c>
    </row>
    <row r="791" spans="1:6" x14ac:dyDescent="0.3">
      <c r="A791" s="1">
        <v>45555</v>
      </c>
      <c r="B791" t="s">
        <v>1533</v>
      </c>
      <c r="C791" t="s">
        <v>1532</v>
      </c>
      <c r="D791">
        <v>23974</v>
      </c>
      <c r="E791">
        <f>MONTH(tblExpense[[#This Row],[Date]])</f>
        <v>9</v>
      </c>
      <c r="F791" t="str">
        <f>TEXT(tblExpense[[#This Row],[Date]],"mmm")</f>
        <v>Sep</v>
      </c>
    </row>
    <row r="792" spans="1:6" x14ac:dyDescent="0.3">
      <c r="A792" s="1">
        <v>45554</v>
      </c>
      <c r="B792" t="s">
        <v>1529</v>
      </c>
      <c r="C792" t="s">
        <v>1535</v>
      </c>
      <c r="D792">
        <v>32959</v>
      </c>
      <c r="E792">
        <f>MONTH(tblExpense[[#This Row],[Date]])</f>
        <v>9</v>
      </c>
      <c r="F792" t="str">
        <f>TEXT(tblExpense[[#This Row],[Date]],"mmm")</f>
        <v>Sep</v>
      </c>
    </row>
    <row r="793" spans="1:6" x14ac:dyDescent="0.3">
      <c r="A793" s="1">
        <v>45559</v>
      </c>
      <c r="B793" t="s">
        <v>1533</v>
      </c>
      <c r="C793" t="s">
        <v>1530</v>
      </c>
      <c r="D793">
        <v>92161</v>
      </c>
      <c r="E793">
        <f>MONTH(tblExpense[[#This Row],[Date]])</f>
        <v>9</v>
      </c>
      <c r="F793" t="str">
        <f>TEXT(tblExpense[[#This Row],[Date]],"mmm")</f>
        <v>Sep</v>
      </c>
    </row>
    <row r="794" spans="1:6" x14ac:dyDescent="0.3">
      <c r="A794" s="1">
        <v>45544</v>
      </c>
      <c r="B794" t="s">
        <v>1529</v>
      </c>
      <c r="C794" t="s">
        <v>1530</v>
      </c>
      <c r="D794">
        <v>34828</v>
      </c>
      <c r="E794">
        <f>MONTH(tblExpense[[#This Row],[Date]])</f>
        <v>9</v>
      </c>
      <c r="F794" t="str">
        <f>TEXT(tblExpense[[#This Row],[Date]],"mmm")</f>
        <v>Sep</v>
      </c>
    </row>
    <row r="795" spans="1:6" x14ac:dyDescent="0.3">
      <c r="A795" s="1">
        <v>45553</v>
      </c>
      <c r="B795" t="s">
        <v>1536</v>
      </c>
      <c r="C795" t="s">
        <v>1535</v>
      </c>
      <c r="D795">
        <v>27433</v>
      </c>
      <c r="E795">
        <f>MONTH(tblExpense[[#This Row],[Date]])</f>
        <v>9</v>
      </c>
      <c r="F795" t="str">
        <f>TEXT(tblExpense[[#This Row],[Date]],"mmm")</f>
        <v>Sep</v>
      </c>
    </row>
    <row r="796" spans="1:6" x14ac:dyDescent="0.3">
      <c r="A796" s="1">
        <v>45541</v>
      </c>
      <c r="B796" t="s">
        <v>1538</v>
      </c>
      <c r="C796" t="s">
        <v>1534</v>
      </c>
      <c r="D796">
        <v>30132</v>
      </c>
      <c r="E796">
        <f>MONTH(tblExpense[[#This Row],[Date]])</f>
        <v>9</v>
      </c>
      <c r="F796" t="str">
        <f>TEXT(tblExpense[[#This Row],[Date]],"mmm")</f>
        <v>Sep</v>
      </c>
    </row>
    <row r="797" spans="1:6" x14ac:dyDescent="0.3">
      <c r="A797" s="1">
        <v>45552</v>
      </c>
      <c r="B797" t="s">
        <v>1531</v>
      </c>
      <c r="C797" t="s">
        <v>1534</v>
      </c>
      <c r="D797">
        <v>44768</v>
      </c>
      <c r="E797">
        <f>MONTH(tblExpense[[#This Row],[Date]])</f>
        <v>9</v>
      </c>
      <c r="F797" t="str">
        <f>TEXT(tblExpense[[#This Row],[Date]],"mmm")</f>
        <v>Sep</v>
      </c>
    </row>
    <row r="798" spans="1:6" x14ac:dyDescent="0.3">
      <c r="A798" s="1">
        <v>45552</v>
      </c>
      <c r="B798" t="s">
        <v>1538</v>
      </c>
      <c r="C798" t="s">
        <v>1534</v>
      </c>
      <c r="D798">
        <v>41623</v>
      </c>
      <c r="E798">
        <f>MONTH(tblExpense[[#This Row],[Date]])</f>
        <v>9</v>
      </c>
      <c r="F798" t="str">
        <f>TEXT(tblExpense[[#This Row],[Date]],"mmm")</f>
        <v>Sep</v>
      </c>
    </row>
    <row r="799" spans="1:6" x14ac:dyDescent="0.3">
      <c r="A799" s="1">
        <v>45543</v>
      </c>
      <c r="B799" t="s">
        <v>1531</v>
      </c>
      <c r="C799" t="s">
        <v>1530</v>
      </c>
      <c r="D799">
        <v>77393</v>
      </c>
      <c r="E799">
        <f>MONTH(tblExpense[[#This Row],[Date]])</f>
        <v>9</v>
      </c>
      <c r="F799" t="str">
        <f>TEXT(tblExpense[[#This Row],[Date]],"mmm")</f>
        <v>Sep</v>
      </c>
    </row>
    <row r="800" spans="1:6" x14ac:dyDescent="0.3">
      <c r="A800" s="1">
        <v>45560</v>
      </c>
      <c r="B800" t="s">
        <v>1536</v>
      </c>
      <c r="C800" t="s">
        <v>1535</v>
      </c>
      <c r="D800">
        <v>34560</v>
      </c>
      <c r="E800">
        <f>MONTH(tblExpense[[#This Row],[Date]])</f>
        <v>9</v>
      </c>
      <c r="F800" t="str">
        <f>TEXT(tblExpense[[#This Row],[Date]],"mmm")</f>
        <v>Sep</v>
      </c>
    </row>
    <row r="801" spans="1:6" x14ac:dyDescent="0.3">
      <c r="A801" s="1">
        <v>45563</v>
      </c>
      <c r="B801" t="s">
        <v>1533</v>
      </c>
      <c r="C801" t="s">
        <v>1535</v>
      </c>
      <c r="D801">
        <v>28922</v>
      </c>
      <c r="E801">
        <f>MONTH(tblExpense[[#This Row],[Date]])</f>
        <v>9</v>
      </c>
      <c r="F801" t="str">
        <f>TEXT(tblExpense[[#This Row],[Date]],"mmm")</f>
        <v>Sep</v>
      </c>
    </row>
    <row r="802" spans="1:6" x14ac:dyDescent="0.3">
      <c r="A802" s="1">
        <v>45542</v>
      </c>
      <c r="B802" t="s">
        <v>1536</v>
      </c>
      <c r="C802" t="s">
        <v>1532</v>
      </c>
      <c r="D802">
        <v>57812</v>
      </c>
      <c r="E802">
        <f>MONTH(tblExpense[[#This Row],[Date]])</f>
        <v>9</v>
      </c>
      <c r="F802" t="str">
        <f>TEXT(tblExpense[[#This Row],[Date]],"mmm")</f>
        <v>Sep</v>
      </c>
    </row>
    <row r="803" spans="1:6" x14ac:dyDescent="0.3">
      <c r="A803" s="1">
        <v>45537</v>
      </c>
      <c r="B803" t="s">
        <v>1536</v>
      </c>
      <c r="C803" t="s">
        <v>1534</v>
      </c>
      <c r="D803">
        <v>36371</v>
      </c>
      <c r="E803">
        <f>MONTH(tblExpense[[#This Row],[Date]])</f>
        <v>9</v>
      </c>
      <c r="F803" t="str">
        <f>TEXT(tblExpense[[#This Row],[Date]],"mmm")</f>
        <v>Sep</v>
      </c>
    </row>
    <row r="804" spans="1:6" x14ac:dyDescent="0.3">
      <c r="A804" s="1">
        <v>45564</v>
      </c>
      <c r="B804" t="s">
        <v>1531</v>
      </c>
      <c r="C804" t="s">
        <v>1537</v>
      </c>
      <c r="D804">
        <v>61877</v>
      </c>
      <c r="E804">
        <f>MONTH(tblExpense[[#This Row],[Date]])</f>
        <v>9</v>
      </c>
      <c r="F804" t="str">
        <f>TEXT(tblExpense[[#This Row],[Date]],"mmm")</f>
        <v>Sep</v>
      </c>
    </row>
    <row r="805" spans="1:6" x14ac:dyDescent="0.3">
      <c r="A805" s="1">
        <v>45544</v>
      </c>
      <c r="B805" t="s">
        <v>1536</v>
      </c>
      <c r="C805" t="s">
        <v>1530</v>
      </c>
      <c r="D805">
        <v>80117</v>
      </c>
      <c r="E805">
        <f>MONTH(tblExpense[[#This Row],[Date]])</f>
        <v>9</v>
      </c>
      <c r="F805" t="str">
        <f>TEXT(tblExpense[[#This Row],[Date]],"mmm")</f>
        <v>Sep</v>
      </c>
    </row>
    <row r="806" spans="1:6" x14ac:dyDescent="0.3">
      <c r="A806" s="1">
        <v>45557</v>
      </c>
      <c r="B806" t="s">
        <v>1538</v>
      </c>
      <c r="C806" t="s">
        <v>1535</v>
      </c>
      <c r="D806">
        <v>12354</v>
      </c>
      <c r="E806">
        <f>MONTH(tblExpense[[#This Row],[Date]])</f>
        <v>9</v>
      </c>
      <c r="F806" t="str">
        <f>TEXT(tblExpense[[#This Row],[Date]],"mmm")</f>
        <v>Sep</v>
      </c>
    </row>
    <row r="807" spans="1:6" x14ac:dyDescent="0.3">
      <c r="A807" s="1">
        <v>45557</v>
      </c>
      <c r="B807" t="s">
        <v>1536</v>
      </c>
      <c r="C807" t="s">
        <v>1532</v>
      </c>
      <c r="D807">
        <v>30508</v>
      </c>
      <c r="E807">
        <f>MONTH(tblExpense[[#This Row],[Date]])</f>
        <v>9</v>
      </c>
      <c r="F807" t="str">
        <f>TEXT(tblExpense[[#This Row],[Date]],"mmm")</f>
        <v>Sep</v>
      </c>
    </row>
    <row r="808" spans="1:6" x14ac:dyDescent="0.3">
      <c r="A808" s="1">
        <v>45546</v>
      </c>
      <c r="B808" t="s">
        <v>1538</v>
      </c>
      <c r="C808" t="s">
        <v>1532</v>
      </c>
      <c r="D808">
        <v>9374</v>
      </c>
      <c r="E808">
        <f>MONTH(tblExpense[[#This Row],[Date]])</f>
        <v>9</v>
      </c>
      <c r="F808" t="str">
        <f>TEXT(tblExpense[[#This Row],[Date]],"mmm")</f>
        <v>Sep</v>
      </c>
    </row>
    <row r="809" spans="1:6" x14ac:dyDescent="0.3">
      <c r="A809" s="1">
        <v>45557</v>
      </c>
      <c r="B809" t="s">
        <v>1533</v>
      </c>
      <c r="C809" t="s">
        <v>1535</v>
      </c>
      <c r="D809">
        <v>89685</v>
      </c>
      <c r="E809">
        <f>MONTH(tblExpense[[#This Row],[Date]])</f>
        <v>9</v>
      </c>
      <c r="F809" t="str">
        <f>TEXT(tblExpense[[#This Row],[Date]],"mmm")</f>
        <v>Sep</v>
      </c>
    </row>
    <row r="810" spans="1:6" x14ac:dyDescent="0.3">
      <c r="A810" s="1">
        <v>45546</v>
      </c>
      <c r="B810" t="s">
        <v>1533</v>
      </c>
      <c r="C810" t="s">
        <v>1537</v>
      </c>
      <c r="D810">
        <v>40860</v>
      </c>
      <c r="E810">
        <f>MONTH(tblExpense[[#This Row],[Date]])</f>
        <v>9</v>
      </c>
      <c r="F810" t="str">
        <f>TEXT(tblExpense[[#This Row],[Date]],"mmm")</f>
        <v>Sep</v>
      </c>
    </row>
    <row r="811" spans="1:6" x14ac:dyDescent="0.3">
      <c r="A811" s="1">
        <v>45552</v>
      </c>
      <c r="B811" t="s">
        <v>1538</v>
      </c>
      <c r="C811" t="s">
        <v>1530</v>
      </c>
      <c r="D811">
        <v>31036</v>
      </c>
      <c r="E811">
        <f>MONTH(tblExpense[[#This Row],[Date]])</f>
        <v>9</v>
      </c>
      <c r="F811" t="str">
        <f>TEXT(tblExpense[[#This Row],[Date]],"mmm")</f>
        <v>Sep</v>
      </c>
    </row>
    <row r="812" spans="1:6" x14ac:dyDescent="0.3">
      <c r="A812" s="1">
        <v>45538</v>
      </c>
      <c r="B812" t="s">
        <v>1533</v>
      </c>
      <c r="C812" t="s">
        <v>1530</v>
      </c>
      <c r="D812">
        <v>16996</v>
      </c>
      <c r="E812">
        <f>MONTH(tblExpense[[#This Row],[Date]])</f>
        <v>9</v>
      </c>
      <c r="F812" t="str">
        <f>TEXT(tblExpense[[#This Row],[Date]],"mmm")</f>
        <v>Sep</v>
      </c>
    </row>
    <row r="813" spans="1:6" x14ac:dyDescent="0.3">
      <c r="A813" s="1">
        <v>45560</v>
      </c>
      <c r="B813" t="s">
        <v>1536</v>
      </c>
      <c r="C813" t="s">
        <v>1535</v>
      </c>
      <c r="D813">
        <v>35050</v>
      </c>
      <c r="E813">
        <f>MONTH(tblExpense[[#This Row],[Date]])</f>
        <v>9</v>
      </c>
      <c r="F813" t="str">
        <f>TEXT(tblExpense[[#This Row],[Date]],"mmm")</f>
        <v>Sep</v>
      </c>
    </row>
    <row r="814" spans="1:6" x14ac:dyDescent="0.3">
      <c r="A814" s="1">
        <v>45547</v>
      </c>
      <c r="B814" t="s">
        <v>1536</v>
      </c>
      <c r="C814" t="s">
        <v>1537</v>
      </c>
      <c r="D814">
        <v>30200</v>
      </c>
      <c r="E814">
        <f>MONTH(tblExpense[[#This Row],[Date]])</f>
        <v>9</v>
      </c>
      <c r="F814" t="str">
        <f>TEXT(tblExpense[[#This Row],[Date]],"mmm")</f>
        <v>Sep</v>
      </c>
    </row>
    <row r="815" spans="1:6" x14ac:dyDescent="0.3">
      <c r="A815" s="1">
        <v>45557</v>
      </c>
      <c r="B815" t="s">
        <v>1531</v>
      </c>
      <c r="C815" t="s">
        <v>1532</v>
      </c>
      <c r="D815">
        <v>60755</v>
      </c>
      <c r="E815">
        <f>MONTH(tblExpense[[#This Row],[Date]])</f>
        <v>9</v>
      </c>
      <c r="F815" t="str">
        <f>TEXT(tblExpense[[#This Row],[Date]],"mmm")</f>
        <v>Sep</v>
      </c>
    </row>
    <row r="816" spans="1:6" x14ac:dyDescent="0.3">
      <c r="A816" s="1">
        <v>45551</v>
      </c>
      <c r="B816" t="s">
        <v>1536</v>
      </c>
      <c r="C816" t="s">
        <v>1530</v>
      </c>
      <c r="D816">
        <v>74662</v>
      </c>
      <c r="E816">
        <f>MONTH(tblExpense[[#This Row],[Date]])</f>
        <v>9</v>
      </c>
      <c r="F816" t="str">
        <f>TEXT(tblExpense[[#This Row],[Date]],"mmm")</f>
        <v>Sep</v>
      </c>
    </row>
    <row r="817" spans="1:6" x14ac:dyDescent="0.3">
      <c r="A817" s="1">
        <v>45554</v>
      </c>
      <c r="B817" t="s">
        <v>1529</v>
      </c>
      <c r="C817" t="s">
        <v>1535</v>
      </c>
      <c r="D817">
        <v>91372</v>
      </c>
      <c r="E817">
        <f>MONTH(tblExpense[[#This Row],[Date]])</f>
        <v>9</v>
      </c>
      <c r="F817" t="str">
        <f>TEXT(tblExpense[[#This Row],[Date]],"mmm")</f>
        <v>Sep</v>
      </c>
    </row>
    <row r="818" spans="1:6" x14ac:dyDescent="0.3">
      <c r="A818" s="1">
        <v>45552</v>
      </c>
      <c r="B818" t="s">
        <v>1531</v>
      </c>
      <c r="C818" t="s">
        <v>1534</v>
      </c>
      <c r="D818">
        <v>34253</v>
      </c>
      <c r="E818">
        <f>MONTH(tblExpense[[#This Row],[Date]])</f>
        <v>9</v>
      </c>
      <c r="F818" t="str">
        <f>TEXT(tblExpense[[#This Row],[Date]],"mmm")</f>
        <v>Sep</v>
      </c>
    </row>
    <row r="819" spans="1:6" x14ac:dyDescent="0.3">
      <c r="A819" s="1">
        <v>45558</v>
      </c>
      <c r="B819" t="s">
        <v>1536</v>
      </c>
      <c r="C819" t="s">
        <v>1535</v>
      </c>
      <c r="D819">
        <v>7401</v>
      </c>
      <c r="E819">
        <f>MONTH(tblExpense[[#This Row],[Date]])</f>
        <v>9</v>
      </c>
      <c r="F819" t="str">
        <f>TEXT(tblExpense[[#This Row],[Date]],"mmm")</f>
        <v>Sep</v>
      </c>
    </row>
    <row r="820" spans="1:6" x14ac:dyDescent="0.3">
      <c r="A820" s="1">
        <v>45545</v>
      </c>
      <c r="B820" t="s">
        <v>1538</v>
      </c>
      <c r="C820" t="s">
        <v>1537</v>
      </c>
      <c r="D820">
        <v>73255</v>
      </c>
      <c r="E820">
        <f>MONTH(tblExpense[[#This Row],[Date]])</f>
        <v>9</v>
      </c>
      <c r="F820" t="str">
        <f>TEXT(tblExpense[[#This Row],[Date]],"mmm")</f>
        <v>Sep</v>
      </c>
    </row>
    <row r="821" spans="1:6" x14ac:dyDescent="0.3">
      <c r="A821" s="1">
        <v>45549</v>
      </c>
      <c r="B821" t="s">
        <v>1536</v>
      </c>
      <c r="C821" t="s">
        <v>1534</v>
      </c>
      <c r="D821">
        <v>23016</v>
      </c>
      <c r="E821">
        <f>MONTH(tblExpense[[#This Row],[Date]])</f>
        <v>9</v>
      </c>
      <c r="F821" t="str">
        <f>TEXT(tblExpense[[#This Row],[Date]],"mmm")</f>
        <v>Sep</v>
      </c>
    </row>
    <row r="822" spans="1:6" x14ac:dyDescent="0.3">
      <c r="A822" s="1">
        <v>45552</v>
      </c>
      <c r="B822" t="s">
        <v>1536</v>
      </c>
      <c r="C822" t="s">
        <v>1534</v>
      </c>
      <c r="D822">
        <v>76885</v>
      </c>
      <c r="E822">
        <f>MONTH(tblExpense[[#This Row],[Date]])</f>
        <v>9</v>
      </c>
      <c r="F822" t="str">
        <f>TEXT(tblExpense[[#This Row],[Date]],"mmm")</f>
        <v>Sep</v>
      </c>
    </row>
    <row r="823" spans="1:6" x14ac:dyDescent="0.3">
      <c r="A823" s="1">
        <v>45547</v>
      </c>
      <c r="B823" t="s">
        <v>1531</v>
      </c>
      <c r="C823" t="s">
        <v>1530</v>
      </c>
      <c r="D823">
        <v>67067</v>
      </c>
      <c r="E823">
        <f>MONTH(tblExpense[[#This Row],[Date]])</f>
        <v>9</v>
      </c>
      <c r="F823" t="str">
        <f>TEXT(tblExpense[[#This Row],[Date]],"mmm")</f>
        <v>Sep</v>
      </c>
    </row>
    <row r="824" spans="1:6" x14ac:dyDescent="0.3">
      <c r="A824" s="1">
        <v>45560</v>
      </c>
      <c r="B824" t="s">
        <v>1531</v>
      </c>
      <c r="C824" t="s">
        <v>1534</v>
      </c>
      <c r="D824">
        <v>67498</v>
      </c>
      <c r="E824">
        <f>MONTH(tblExpense[[#This Row],[Date]])</f>
        <v>9</v>
      </c>
      <c r="F824" t="str">
        <f>TEXT(tblExpense[[#This Row],[Date]],"mmm")</f>
        <v>Sep</v>
      </c>
    </row>
    <row r="825" spans="1:6" x14ac:dyDescent="0.3">
      <c r="A825" s="1">
        <v>45547</v>
      </c>
      <c r="B825" t="s">
        <v>1536</v>
      </c>
      <c r="C825" t="s">
        <v>1532</v>
      </c>
      <c r="D825">
        <v>97019</v>
      </c>
      <c r="E825">
        <f>MONTH(tblExpense[[#This Row],[Date]])</f>
        <v>9</v>
      </c>
      <c r="F825" t="str">
        <f>TEXT(tblExpense[[#This Row],[Date]],"mmm")</f>
        <v>Sep</v>
      </c>
    </row>
    <row r="826" spans="1:6" x14ac:dyDescent="0.3">
      <c r="A826" s="1">
        <v>45544</v>
      </c>
      <c r="B826" t="s">
        <v>1533</v>
      </c>
      <c r="C826" t="s">
        <v>1535</v>
      </c>
      <c r="D826">
        <v>35217</v>
      </c>
      <c r="E826">
        <f>MONTH(tblExpense[[#This Row],[Date]])</f>
        <v>9</v>
      </c>
      <c r="F826" t="str">
        <f>TEXT(tblExpense[[#This Row],[Date]],"mmm")</f>
        <v>Sep</v>
      </c>
    </row>
    <row r="827" spans="1:6" x14ac:dyDescent="0.3">
      <c r="A827" s="1">
        <v>45549</v>
      </c>
      <c r="B827" t="s">
        <v>1533</v>
      </c>
      <c r="C827" t="s">
        <v>1532</v>
      </c>
      <c r="D827">
        <v>12116</v>
      </c>
      <c r="E827">
        <f>MONTH(tblExpense[[#This Row],[Date]])</f>
        <v>9</v>
      </c>
      <c r="F827" t="str">
        <f>TEXT(tblExpense[[#This Row],[Date]],"mmm")</f>
        <v>Sep</v>
      </c>
    </row>
    <row r="828" spans="1:6" x14ac:dyDescent="0.3">
      <c r="A828" s="1">
        <v>45551</v>
      </c>
      <c r="B828" t="s">
        <v>1533</v>
      </c>
      <c r="C828" t="s">
        <v>1537</v>
      </c>
      <c r="D828">
        <v>67488</v>
      </c>
      <c r="E828">
        <f>MONTH(tblExpense[[#This Row],[Date]])</f>
        <v>9</v>
      </c>
      <c r="F828" t="str">
        <f>TEXT(tblExpense[[#This Row],[Date]],"mmm")</f>
        <v>Sep</v>
      </c>
    </row>
    <row r="829" spans="1:6" x14ac:dyDescent="0.3">
      <c r="A829" s="1">
        <v>45564</v>
      </c>
      <c r="B829" t="s">
        <v>1529</v>
      </c>
      <c r="C829" t="s">
        <v>1534</v>
      </c>
      <c r="D829">
        <v>43804</v>
      </c>
      <c r="E829">
        <f>MONTH(tblExpense[[#This Row],[Date]])</f>
        <v>9</v>
      </c>
      <c r="F829" t="str">
        <f>TEXT(tblExpense[[#This Row],[Date]],"mmm")</f>
        <v>Sep</v>
      </c>
    </row>
    <row r="830" spans="1:6" x14ac:dyDescent="0.3">
      <c r="A830" s="1">
        <v>45553</v>
      </c>
      <c r="B830" t="s">
        <v>1533</v>
      </c>
      <c r="C830" t="s">
        <v>1537</v>
      </c>
      <c r="D830">
        <v>33845</v>
      </c>
      <c r="E830">
        <f>MONTH(tblExpense[[#This Row],[Date]])</f>
        <v>9</v>
      </c>
      <c r="F830" t="str">
        <f>TEXT(tblExpense[[#This Row],[Date]],"mmm")</f>
        <v>Sep</v>
      </c>
    </row>
    <row r="831" spans="1:6" x14ac:dyDescent="0.3">
      <c r="A831" s="1">
        <v>45548</v>
      </c>
      <c r="B831" t="s">
        <v>1531</v>
      </c>
      <c r="C831" t="s">
        <v>1537</v>
      </c>
      <c r="D831">
        <v>32668</v>
      </c>
      <c r="E831">
        <f>MONTH(tblExpense[[#This Row],[Date]])</f>
        <v>9</v>
      </c>
      <c r="F831" t="str">
        <f>TEXT(tblExpense[[#This Row],[Date]],"mmm")</f>
        <v>Sep</v>
      </c>
    </row>
    <row r="832" spans="1:6" x14ac:dyDescent="0.3">
      <c r="A832" s="1">
        <v>45557</v>
      </c>
      <c r="B832" t="s">
        <v>1536</v>
      </c>
      <c r="C832" t="s">
        <v>1530</v>
      </c>
      <c r="D832">
        <v>29853</v>
      </c>
      <c r="E832">
        <f>MONTH(tblExpense[[#This Row],[Date]])</f>
        <v>9</v>
      </c>
      <c r="F832" t="str">
        <f>TEXT(tblExpense[[#This Row],[Date]],"mmm")</f>
        <v>Sep</v>
      </c>
    </row>
    <row r="833" spans="1:6" x14ac:dyDescent="0.3">
      <c r="A833" s="1">
        <v>45537</v>
      </c>
      <c r="B833" t="s">
        <v>1538</v>
      </c>
      <c r="C833" t="s">
        <v>1534</v>
      </c>
      <c r="D833">
        <v>35524</v>
      </c>
      <c r="E833">
        <f>MONTH(tblExpense[[#This Row],[Date]])</f>
        <v>9</v>
      </c>
      <c r="F833" t="str">
        <f>TEXT(tblExpense[[#This Row],[Date]],"mmm")</f>
        <v>Sep</v>
      </c>
    </row>
    <row r="834" spans="1:6" x14ac:dyDescent="0.3">
      <c r="A834" s="1">
        <v>45564</v>
      </c>
      <c r="B834" t="s">
        <v>1531</v>
      </c>
      <c r="C834" t="s">
        <v>1535</v>
      </c>
      <c r="D834">
        <v>87058</v>
      </c>
      <c r="E834">
        <f>MONTH(tblExpense[[#This Row],[Date]])</f>
        <v>9</v>
      </c>
      <c r="F834" t="str">
        <f>TEXT(tblExpense[[#This Row],[Date]],"mmm")</f>
        <v>Sep</v>
      </c>
    </row>
    <row r="835" spans="1:6" x14ac:dyDescent="0.3">
      <c r="A835" s="1">
        <v>45561</v>
      </c>
      <c r="B835" t="s">
        <v>1538</v>
      </c>
      <c r="C835" t="s">
        <v>1532</v>
      </c>
      <c r="D835">
        <v>42583</v>
      </c>
      <c r="E835">
        <f>MONTH(tblExpense[[#This Row],[Date]])</f>
        <v>9</v>
      </c>
      <c r="F835" t="str">
        <f>TEXT(tblExpense[[#This Row],[Date]],"mmm")</f>
        <v>Sep</v>
      </c>
    </row>
    <row r="836" spans="1:6" x14ac:dyDescent="0.3">
      <c r="A836" s="1">
        <v>45564</v>
      </c>
      <c r="B836" t="s">
        <v>1533</v>
      </c>
      <c r="C836" t="s">
        <v>1535</v>
      </c>
      <c r="D836">
        <v>27271</v>
      </c>
      <c r="E836">
        <f>MONTH(tblExpense[[#This Row],[Date]])</f>
        <v>9</v>
      </c>
      <c r="F836" t="str">
        <f>TEXT(tblExpense[[#This Row],[Date]],"mmm")</f>
        <v>Sep</v>
      </c>
    </row>
    <row r="837" spans="1:6" x14ac:dyDescent="0.3">
      <c r="A837" s="1">
        <v>45552</v>
      </c>
      <c r="B837" t="s">
        <v>1538</v>
      </c>
      <c r="C837" t="s">
        <v>1534</v>
      </c>
      <c r="D837">
        <v>40915</v>
      </c>
      <c r="E837">
        <f>MONTH(tblExpense[[#This Row],[Date]])</f>
        <v>9</v>
      </c>
      <c r="F837" t="str">
        <f>TEXT(tblExpense[[#This Row],[Date]],"mmm")</f>
        <v>Sep</v>
      </c>
    </row>
    <row r="838" spans="1:6" x14ac:dyDescent="0.3">
      <c r="A838" s="1">
        <v>45556</v>
      </c>
      <c r="B838" t="s">
        <v>1531</v>
      </c>
      <c r="C838" t="s">
        <v>1534</v>
      </c>
      <c r="D838">
        <v>23213</v>
      </c>
      <c r="E838">
        <f>MONTH(tblExpense[[#This Row],[Date]])</f>
        <v>9</v>
      </c>
      <c r="F838" t="str">
        <f>TEXT(tblExpense[[#This Row],[Date]],"mmm")</f>
        <v>Sep</v>
      </c>
    </row>
    <row r="839" spans="1:6" x14ac:dyDescent="0.3">
      <c r="A839" s="1">
        <v>45550</v>
      </c>
      <c r="B839" t="s">
        <v>1531</v>
      </c>
      <c r="C839" t="s">
        <v>1535</v>
      </c>
      <c r="D839">
        <v>58547</v>
      </c>
      <c r="E839">
        <f>MONTH(tblExpense[[#This Row],[Date]])</f>
        <v>9</v>
      </c>
      <c r="F839" t="str">
        <f>TEXT(tblExpense[[#This Row],[Date]],"mmm")</f>
        <v>Sep</v>
      </c>
    </row>
    <row r="840" spans="1:6" x14ac:dyDescent="0.3">
      <c r="A840" s="1">
        <v>45549</v>
      </c>
      <c r="B840" t="s">
        <v>1533</v>
      </c>
      <c r="C840" t="s">
        <v>1537</v>
      </c>
      <c r="D840">
        <v>31689</v>
      </c>
      <c r="E840">
        <f>MONTH(tblExpense[[#This Row],[Date]])</f>
        <v>9</v>
      </c>
      <c r="F840" t="str">
        <f>TEXT(tblExpense[[#This Row],[Date]],"mmm")</f>
        <v>Sep</v>
      </c>
    </row>
    <row r="841" spans="1:6" x14ac:dyDescent="0.3">
      <c r="A841" s="1">
        <v>45547</v>
      </c>
      <c r="B841" t="s">
        <v>1538</v>
      </c>
      <c r="C841" t="s">
        <v>1534</v>
      </c>
      <c r="D841">
        <v>16194</v>
      </c>
      <c r="E841">
        <f>MONTH(tblExpense[[#This Row],[Date]])</f>
        <v>9</v>
      </c>
      <c r="F841" t="str">
        <f>TEXT(tblExpense[[#This Row],[Date]],"mmm")</f>
        <v>Sep</v>
      </c>
    </row>
    <row r="842" spans="1:6" x14ac:dyDescent="0.3">
      <c r="A842" s="1">
        <v>45545</v>
      </c>
      <c r="B842" t="s">
        <v>1533</v>
      </c>
      <c r="C842" t="s">
        <v>1537</v>
      </c>
      <c r="D842">
        <v>68730</v>
      </c>
      <c r="E842">
        <f>MONTH(tblExpense[[#This Row],[Date]])</f>
        <v>9</v>
      </c>
      <c r="F842" t="str">
        <f>TEXT(tblExpense[[#This Row],[Date]],"mmm")</f>
        <v>Sep</v>
      </c>
    </row>
    <row r="843" spans="1:6" x14ac:dyDescent="0.3">
      <c r="A843" s="1">
        <v>45550</v>
      </c>
      <c r="B843" t="s">
        <v>1536</v>
      </c>
      <c r="C843" t="s">
        <v>1537</v>
      </c>
      <c r="D843">
        <v>21811</v>
      </c>
      <c r="E843">
        <f>MONTH(tblExpense[[#This Row],[Date]])</f>
        <v>9</v>
      </c>
      <c r="F843" t="str">
        <f>TEXT(tblExpense[[#This Row],[Date]],"mmm")</f>
        <v>Sep</v>
      </c>
    </row>
    <row r="844" spans="1:6" x14ac:dyDescent="0.3">
      <c r="A844" s="1">
        <v>45562</v>
      </c>
      <c r="B844" t="s">
        <v>1529</v>
      </c>
      <c r="C844" t="s">
        <v>1537</v>
      </c>
      <c r="D844">
        <v>88779</v>
      </c>
      <c r="E844">
        <f>MONTH(tblExpense[[#This Row],[Date]])</f>
        <v>9</v>
      </c>
      <c r="F844" t="str">
        <f>TEXT(tblExpense[[#This Row],[Date]],"mmm")</f>
        <v>Sep</v>
      </c>
    </row>
    <row r="845" spans="1:6" x14ac:dyDescent="0.3">
      <c r="A845" s="1">
        <v>45544</v>
      </c>
      <c r="B845" t="s">
        <v>1531</v>
      </c>
      <c r="C845" t="s">
        <v>1535</v>
      </c>
      <c r="D845">
        <v>44379</v>
      </c>
      <c r="E845">
        <f>MONTH(tblExpense[[#This Row],[Date]])</f>
        <v>9</v>
      </c>
      <c r="F845" t="str">
        <f>TEXT(tblExpense[[#This Row],[Date]],"mmm")</f>
        <v>Sep</v>
      </c>
    </row>
    <row r="846" spans="1:6" x14ac:dyDescent="0.3">
      <c r="A846" s="1">
        <v>45546</v>
      </c>
      <c r="B846" t="s">
        <v>1531</v>
      </c>
      <c r="C846" t="s">
        <v>1535</v>
      </c>
      <c r="D846">
        <v>95551</v>
      </c>
      <c r="E846">
        <f>MONTH(tblExpense[[#This Row],[Date]])</f>
        <v>9</v>
      </c>
      <c r="F846" t="str">
        <f>TEXT(tblExpense[[#This Row],[Date]],"mmm")</f>
        <v>Sep</v>
      </c>
    </row>
    <row r="847" spans="1:6" x14ac:dyDescent="0.3">
      <c r="A847" s="1">
        <v>45558</v>
      </c>
      <c r="B847" t="s">
        <v>1536</v>
      </c>
      <c r="C847" t="s">
        <v>1532</v>
      </c>
      <c r="D847">
        <v>70669</v>
      </c>
      <c r="E847">
        <f>MONTH(tblExpense[[#This Row],[Date]])</f>
        <v>9</v>
      </c>
      <c r="F847" t="str">
        <f>TEXT(tblExpense[[#This Row],[Date]],"mmm")</f>
        <v>Sep</v>
      </c>
    </row>
    <row r="848" spans="1:6" x14ac:dyDescent="0.3">
      <c r="A848" s="1">
        <v>45540</v>
      </c>
      <c r="B848" t="s">
        <v>1533</v>
      </c>
      <c r="C848" t="s">
        <v>1534</v>
      </c>
      <c r="D848">
        <v>70276</v>
      </c>
      <c r="E848">
        <f>MONTH(tblExpense[[#This Row],[Date]])</f>
        <v>9</v>
      </c>
      <c r="F848" t="str">
        <f>TEXT(tblExpense[[#This Row],[Date]],"mmm")</f>
        <v>Sep</v>
      </c>
    </row>
    <row r="849" spans="1:6" x14ac:dyDescent="0.3">
      <c r="A849" s="1">
        <v>45562</v>
      </c>
      <c r="B849" t="s">
        <v>1538</v>
      </c>
      <c r="C849" t="s">
        <v>1535</v>
      </c>
      <c r="D849">
        <v>69031</v>
      </c>
      <c r="E849">
        <f>MONTH(tblExpense[[#This Row],[Date]])</f>
        <v>9</v>
      </c>
      <c r="F849" t="str">
        <f>TEXT(tblExpense[[#This Row],[Date]],"mmm")</f>
        <v>Sep</v>
      </c>
    </row>
    <row r="850" spans="1:6" x14ac:dyDescent="0.3">
      <c r="A850" s="1">
        <v>45541</v>
      </c>
      <c r="B850" t="s">
        <v>1538</v>
      </c>
      <c r="C850" t="s">
        <v>1530</v>
      </c>
      <c r="D850">
        <v>45594</v>
      </c>
      <c r="E850">
        <f>MONTH(tblExpense[[#This Row],[Date]])</f>
        <v>9</v>
      </c>
      <c r="F850" t="str">
        <f>TEXT(tblExpense[[#This Row],[Date]],"mmm")</f>
        <v>Sep</v>
      </c>
    </row>
    <row r="851" spans="1:6" x14ac:dyDescent="0.3">
      <c r="A851" s="1">
        <v>45554</v>
      </c>
      <c r="B851" t="s">
        <v>1538</v>
      </c>
      <c r="C851" t="s">
        <v>1530</v>
      </c>
      <c r="D851">
        <v>88705</v>
      </c>
      <c r="E851">
        <f>MONTH(tblExpense[[#This Row],[Date]])</f>
        <v>9</v>
      </c>
      <c r="F851" t="str">
        <f>TEXT(tblExpense[[#This Row],[Date]],"mmm")</f>
        <v>Sep</v>
      </c>
    </row>
    <row r="852" spans="1:6" x14ac:dyDescent="0.3">
      <c r="A852" s="1">
        <v>45550</v>
      </c>
      <c r="B852" t="s">
        <v>1538</v>
      </c>
      <c r="C852" t="s">
        <v>1534</v>
      </c>
      <c r="D852">
        <v>55518</v>
      </c>
      <c r="E852">
        <f>MONTH(tblExpense[[#This Row],[Date]])</f>
        <v>9</v>
      </c>
      <c r="F852" t="str">
        <f>TEXT(tblExpense[[#This Row],[Date]],"mmm")</f>
        <v>Sep</v>
      </c>
    </row>
    <row r="853" spans="1:6" x14ac:dyDescent="0.3">
      <c r="A853" s="1">
        <v>45560</v>
      </c>
      <c r="B853" t="s">
        <v>1538</v>
      </c>
      <c r="C853" t="s">
        <v>1537</v>
      </c>
      <c r="D853">
        <v>56530</v>
      </c>
      <c r="E853">
        <f>MONTH(tblExpense[[#This Row],[Date]])</f>
        <v>9</v>
      </c>
      <c r="F853" t="str">
        <f>TEXT(tblExpense[[#This Row],[Date]],"mmm")</f>
        <v>Sep</v>
      </c>
    </row>
    <row r="854" spans="1:6" x14ac:dyDescent="0.3">
      <c r="A854" s="1">
        <v>45557</v>
      </c>
      <c r="B854" t="s">
        <v>1536</v>
      </c>
      <c r="C854" t="s">
        <v>1532</v>
      </c>
      <c r="D854">
        <v>75715</v>
      </c>
      <c r="E854">
        <f>MONTH(tblExpense[[#This Row],[Date]])</f>
        <v>9</v>
      </c>
      <c r="F854" t="str">
        <f>TEXT(tblExpense[[#This Row],[Date]],"mmm")</f>
        <v>Sep</v>
      </c>
    </row>
    <row r="855" spans="1:6" x14ac:dyDescent="0.3">
      <c r="A855" s="1">
        <v>45554</v>
      </c>
      <c r="B855" t="s">
        <v>1531</v>
      </c>
      <c r="C855" t="s">
        <v>1532</v>
      </c>
      <c r="D855">
        <v>93964</v>
      </c>
      <c r="E855">
        <f>MONTH(tblExpense[[#This Row],[Date]])</f>
        <v>9</v>
      </c>
      <c r="F855" t="str">
        <f>TEXT(tblExpense[[#This Row],[Date]],"mmm")</f>
        <v>Sep</v>
      </c>
    </row>
    <row r="856" spans="1:6" x14ac:dyDescent="0.3">
      <c r="A856" s="1">
        <v>45540</v>
      </c>
      <c r="B856" t="s">
        <v>1536</v>
      </c>
      <c r="C856" t="s">
        <v>1534</v>
      </c>
      <c r="D856">
        <v>58881</v>
      </c>
      <c r="E856">
        <f>MONTH(tblExpense[[#This Row],[Date]])</f>
        <v>9</v>
      </c>
      <c r="F856" t="str">
        <f>TEXT(tblExpense[[#This Row],[Date]],"mmm")</f>
        <v>Sep</v>
      </c>
    </row>
    <row r="857" spans="1:6" x14ac:dyDescent="0.3">
      <c r="A857" s="1">
        <v>45546</v>
      </c>
      <c r="B857" t="s">
        <v>1533</v>
      </c>
      <c r="C857" t="s">
        <v>1532</v>
      </c>
      <c r="D857">
        <v>10123</v>
      </c>
      <c r="E857">
        <f>MONTH(tblExpense[[#This Row],[Date]])</f>
        <v>9</v>
      </c>
      <c r="F857" t="str">
        <f>TEXT(tblExpense[[#This Row],[Date]],"mmm")</f>
        <v>Sep</v>
      </c>
    </row>
    <row r="858" spans="1:6" x14ac:dyDescent="0.3">
      <c r="A858" s="1">
        <v>45552</v>
      </c>
      <c r="B858" t="s">
        <v>1538</v>
      </c>
      <c r="C858" t="s">
        <v>1534</v>
      </c>
      <c r="D858">
        <v>22236</v>
      </c>
      <c r="E858">
        <f>MONTH(tblExpense[[#This Row],[Date]])</f>
        <v>9</v>
      </c>
      <c r="F858" t="str">
        <f>TEXT(tblExpense[[#This Row],[Date]],"mmm")</f>
        <v>Sep</v>
      </c>
    </row>
    <row r="859" spans="1:6" x14ac:dyDescent="0.3">
      <c r="A859" s="1">
        <v>45542</v>
      </c>
      <c r="B859" t="s">
        <v>1536</v>
      </c>
      <c r="C859" t="s">
        <v>1530</v>
      </c>
      <c r="D859">
        <v>38259</v>
      </c>
      <c r="E859">
        <f>MONTH(tblExpense[[#This Row],[Date]])</f>
        <v>9</v>
      </c>
      <c r="F859" t="str">
        <f>TEXT(tblExpense[[#This Row],[Date]],"mmm")</f>
        <v>Sep</v>
      </c>
    </row>
    <row r="860" spans="1:6" x14ac:dyDescent="0.3">
      <c r="A860" s="1">
        <v>45562</v>
      </c>
      <c r="B860" t="s">
        <v>1538</v>
      </c>
      <c r="C860" t="s">
        <v>1534</v>
      </c>
      <c r="D860">
        <v>34597</v>
      </c>
      <c r="E860">
        <f>MONTH(tblExpense[[#This Row],[Date]])</f>
        <v>9</v>
      </c>
      <c r="F860" t="str">
        <f>TEXT(tblExpense[[#This Row],[Date]],"mmm")</f>
        <v>Sep</v>
      </c>
    </row>
    <row r="861" spans="1:6" x14ac:dyDescent="0.3">
      <c r="A861" s="1">
        <v>45547</v>
      </c>
      <c r="B861" t="s">
        <v>1531</v>
      </c>
      <c r="C861" t="s">
        <v>1534</v>
      </c>
      <c r="D861">
        <v>41012</v>
      </c>
      <c r="E861">
        <f>MONTH(tblExpense[[#This Row],[Date]])</f>
        <v>9</v>
      </c>
      <c r="F861" t="str">
        <f>TEXT(tblExpense[[#This Row],[Date]],"mmm")</f>
        <v>Sep</v>
      </c>
    </row>
    <row r="862" spans="1:6" x14ac:dyDescent="0.3">
      <c r="A862" s="1">
        <v>45546</v>
      </c>
      <c r="B862" t="s">
        <v>1536</v>
      </c>
      <c r="C862" t="s">
        <v>1535</v>
      </c>
      <c r="D862">
        <v>43909</v>
      </c>
      <c r="E862">
        <f>MONTH(tblExpense[[#This Row],[Date]])</f>
        <v>9</v>
      </c>
      <c r="F862" t="str">
        <f>TEXT(tblExpense[[#This Row],[Date]],"mmm")</f>
        <v>Sep</v>
      </c>
    </row>
    <row r="863" spans="1:6" x14ac:dyDescent="0.3">
      <c r="A863" s="1">
        <v>45538</v>
      </c>
      <c r="B863" t="s">
        <v>1529</v>
      </c>
      <c r="C863" t="s">
        <v>1537</v>
      </c>
      <c r="D863">
        <v>72438</v>
      </c>
      <c r="E863">
        <f>MONTH(tblExpense[[#This Row],[Date]])</f>
        <v>9</v>
      </c>
      <c r="F863" t="str">
        <f>TEXT(tblExpense[[#This Row],[Date]],"mmm")</f>
        <v>Sep</v>
      </c>
    </row>
    <row r="864" spans="1:6" x14ac:dyDescent="0.3">
      <c r="A864" s="1">
        <v>45540</v>
      </c>
      <c r="B864" t="s">
        <v>1536</v>
      </c>
      <c r="C864" t="s">
        <v>1537</v>
      </c>
      <c r="D864">
        <v>22928</v>
      </c>
      <c r="E864">
        <f>MONTH(tblExpense[[#This Row],[Date]])</f>
        <v>9</v>
      </c>
      <c r="F864" t="str">
        <f>TEXT(tblExpense[[#This Row],[Date]],"mmm")</f>
        <v>Sep</v>
      </c>
    </row>
    <row r="865" spans="1:6" x14ac:dyDescent="0.3">
      <c r="A865" s="1">
        <v>45551</v>
      </c>
      <c r="B865" t="s">
        <v>1536</v>
      </c>
      <c r="C865" t="s">
        <v>1532</v>
      </c>
      <c r="D865">
        <v>56447</v>
      </c>
      <c r="E865">
        <f>MONTH(tblExpense[[#This Row],[Date]])</f>
        <v>9</v>
      </c>
      <c r="F865" t="str">
        <f>TEXT(tblExpense[[#This Row],[Date]],"mmm")</f>
        <v>Sep</v>
      </c>
    </row>
    <row r="866" spans="1:6" x14ac:dyDescent="0.3">
      <c r="A866" s="1">
        <v>45549</v>
      </c>
      <c r="B866" t="s">
        <v>1529</v>
      </c>
      <c r="C866" t="s">
        <v>1532</v>
      </c>
      <c r="D866">
        <v>84114</v>
      </c>
      <c r="E866">
        <f>MONTH(tblExpense[[#This Row],[Date]])</f>
        <v>9</v>
      </c>
      <c r="F866" t="str">
        <f>TEXT(tblExpense[[#This Row],[Date]],"mmm")</f>
        <v>Sep</v>
      </c>
    </row>
    <row r="867" spans="1:6" x14ac:dyDescent="0.3">
      <c r="A867" s="1">
        <v>45560</v>
      </c>
      <c r="B867" t="s">
        <v>1538</v>
      </c>
      <c r="C867" t="s">
        <v>1530</v>
      </c>
      <c r="D867">
        <v>19725</v>
      </c>
      <c r="E867">
        <f>MONTH(tblExpense[[#This Row],[Date]])</f>
        <v>9</v>
      </c>
      <c r="F867" t="str">
        <f>TEXT(tblExpense[[#This Row],[Date]],"mmm")</f>
        <v>Sep</v>
      </c>
    </row>
    <row r="868" spans="1:6" x14ac:dyDescent="0.3">
      <c r="A868" s="1">
        <v>45559</v>
      </c>
      <c r="B868" t="s">
        <v>1531</v>
      </c>
      <c r="C868" t="s">
        <v>1530</v>
      </c>
      <c r="D868">
        <v>30185</v>
      </c>
      <c r="E868">
        <f>MONTH(tblExpense[[#This Row],[Date]])</f>
        <v>9</v>
      </c>
      <c r="F868" t="str">
        <f>TEXT(tblExpense[[#This Row],[Date]],"mmm")</f>
        <v>Sep</v>
      </c>
    </row>
    <row r="869" spans="1:6" x14ac:dyDescent="0.3">
      <c r="A869" s="1">
        <v>45540</v>
      </c>
      <c r="B869" t="s">
        <v>1533</v>
      </c>
      <c r="C869" t="s">
        <v>1537</v>
      </c>
      <c r="D869">
        <v>44822</v>
      </c>
      <c r="E869">
        <f>MONTH(tblExpense[[#This Row],[Date]])</f>
        <v>9</v>
      </c>
      <c r="F869" t="str">
        <f>TEXT(tblExpense[[#This Row],[Date]],"mmm")</f>
        <v>Sep</v>
      </c>
    </row>
    <row r="870" spans="1:6" x14ac:dyDescent="0.3">
      <c r="A870" s="1">
        <v>45545</v>
      </c>
      <c r="B870" t="s">
        <v>1529</v>
      </c>
      <c r="C870" t="s">
        <v>1535</v>
      </c>
      <c r="D870">
        <v>65788</v>
      </c>
      <c r="E870">
        <f>MONTH(tblExpense[[#This Row],[Date]])</f>
        <v>9</v>
      </c>
      <c r="F870" t="str">
        <f>TEXT(tblExpense[[#This Row],[Date]],"mmm")</f>
        <v>Sep</v>
      </c>
    </row>
    <row r="871" spans="1:6" x14ac:dyDescent="0.3">
      <c r="A871" s="1">
        <v>45539</v>
      </c>
      <c r="B871" t="s">
        <v>1529</v>
      </c>
      <c r="C871" t="s">
        <v>1537</v>
      </c>
      <c r="D871">
        <v>97984</v>
      </c>
      <c r="E871">
        <f>MONTH(tblExpense[[#This Row],[Date]])</f>
        <v>9</v>
      </c>
      <c r="F871" t="str">
        <f>TEXT(tblExpense[[#This Row],[Date]],"mmm")</f>
        <v>Sep</v>
      </c>
    </row>
    <row r="872" spans="1:6" x14ac:dyDescent="0.3">
      <c r="A872" s="1">
        <v>45560</v>
      </c>
      <c r="B872" t="s">
        <v>1531</v>
      </c>
      <c r="C872" t="s">
        <v>1530</v>
      </c>
      <c r="D872">
        <v>82264</v>
      </c>
      <c r="E872">
        <f>MONTH(tblExpense[[#This Row],[Date]])</f>
        <v>9</v>
      </c>
      <c r="F872" t="str">
        <f>TEXT(tblExpense[[#This Row],[Date]],"mmm")</f>
        <v>Sep</v>
      </c>
    </row>
    <row r="873" spans="1:6" x14ac:dyDescent="0.3">
      <c r="A873" s="1">
        <v>45544</v>
      </c>
      <c r="B873" t="s">
        <v>1533</v>
      </c>
      <c r="C873" t="s">
        <v>1532</v>
      </c>
      <c r="D873">
        <v>60969</v>
      </c>
      <c r="E873">
        <f>MONTH(tblExpense[[#This Row],[Date]])</f>
        <v>9</v>
      </c>
      <c r="F873" t="str">
        <f>TEXT(tblExpense[[#This Row],[Date]],"mmm")</f>
        <v>Sep</v>
      </c>
    </row>
    <row r="874" spans="1:6" x14ac:dyDescent="0.3">
      <c r="A874" s="1">
        <v>45546</v>
      </c>
      <c r="B874" t="s">
        <v>1536</v>
      </c>
      <c r="C874" t="s">
        <v>1532</v>
      </c>
      <c r="D874">
        <v>91841</v>
      </c>
      <c r="E874">
        <f>MONTH(tblExpense[[#This Row],[Date]])</f>
        <v>9</v>
      </c>
      <c r="F874" t="str">
        <f>TEXT(tblExpense[[#This Row],[Date]],"mmm")</f>
        <v>Sep</v>
      </c>
    </row>
    <row r="875" spans="1:6" x14ac:dyDescent="0.3">
      <c r="A875" s="1">
        <v>45562</v>
      </c>
      <c r="B875" t="s">
        <v>1531</v>
      </c>
      <c r="C875" t="s">
        <v>1532</v>
      </c>
      <c r="D875">
        <v>9508</v>
      </c>
      <c r="E875">
        <f>MONTH(tblExpense[[#This Row],[Date]])</f>
        <v>9</v>
      </c>
      <c r="F875" t="str">
        <f>TEXT(tblExpense[[#This Row],[Date]],"mmm")</f>
        <v>Sep</v>
      </c>
    </row>
    <row r="876" spans="1:6" x14ac:dyDescent="0.3">
      <c r="A876" s="1">
        <v>45565</v>
      </c>
      <c r="B876" t="s">
        <v>1529</v>
      </c>
      <c r="C876" t="s">
        <v>1534</v>
      </c>
      <c r="D876">
        <v>57985</v>
      </c>
      <c r="E876">
        <f>MONTH(tblExpense[[#This Row],[Date]])</f>
        <v>9</v>
      </c>
      <c r="F876" t="str">
        <f>TEXT(tblExpense[[#This Row],[Date]],"mmm")</f>
        <v>Sep</v>
      </c>
    </row>
    <row r="877" spans="1:6" x14ac:dyDescent="0.3">
      <c r="A877" s="1">
        <v>45539</v>
      </c>
      <c r="B877" t="s">
        <v>1529</v>
      </c>
      <c r="C877" t="s">
        <v>1535</v>
      </c>
      <c r="D877">
        <v>7124</v>
      </c>
      <c r="E877">
        <f>MONTH(tblExpense[[#This Row],[Date]])</f>
        <v>9</v>
      </c>
      <c r="F877" t="str">
        <f>TEXT(tblExpense[[#This Row],[Date]],"mmm")</f>
        <v>Sep</v>
      </c>
    </row>
    <row r="878" spans="1:6" x14ac:dyDescent="0.3">
      <c r="A878" s="1">
        <v>45558</v>
      </c>
      <c r="B878" t="s">
        <v>1531</v>
      </c>
      <c r="C878" t="s">
        <v>1537</v>
      </c>
      <c r="D878">
        <v>81400</v>
      </c>
      <c r="E878">
        <f>MONTH(tblExpense[[#This Row],[Date]])</f>
        <v>9</v>
      </c>
      <c r="F878" t="str">
        <f>TEXT(tblExpense[[#This Row],[Date]],"mmm")</f>
        <v>Sep</v>
      </c>
    </row>
    <row r="879" spans="1:6" x14ac:dyDescent="0.3">
      <c r="A879" s="1">
        <v>45544</v>
      </c>
      <c r="B879" t="s">
        <v>1529</v>
      </c>
      <c r="C879" t="s">
        <v>1532</v>
      </c>
      <c r="D879">
        <v>40082</v>
      </c>
      <c r="E879">
        <f>MONTH(tblExpense[[#This Row],[Date]])</f>
        <v>9</v>
      </c>
      <c r="F879" t="str">
        <f>TEXT(tblExpense[[#This Row],[Date]],"mmm")</f>
        <v>Sep</v>
      </c>
    </row>
    <row r="880" spans="1:6" x14ac:dyDescent="0.3">
      <c r="A880" s="1">
        <v>45547</v>
      </c>
      <c r="B880" t="s">
        <v>1531</v>
      </c>
      <c r="C880" t="s">
        <v>1535</v>
      </c>
      <c r="D880">
        <v>19515</v>
      </c>
      <c r="E880">
        <f>MONTH(tblExpense[[#This Row],[Date]])</f>
        <v>9</v>
      </c>
      <c r="F880" t="str">
        <f>TEXT(tblExpense[[#This Row],[Date]],"mmm")</f>
        <v>Sep</v>
      </c>
    </row>
    <row r="881" spans="1:6" x14ac:dyDescent="0.3">
      <c r="A881" s="1">
        <v>45538</v>
      </c>
      <c r="B881" t="s">
        <v>1529</v>
      </c>
      <c r="C881" t="s">
        <v>1530</v>
      </c>
      <c r="D881">
        <v>79306</v>
      </c>
      <c r="E881">
        <f>MONTH(tblExpense[[#This Row],[Date]])</f>
        <v>9</v>
      </c>
      <c r="F881" t="str">
        <f>TEXT(tblExpense[[#This Row],[Date]],"mmm")</f>
        <v>Sep</v>
      </c>
    </row>
    <row r="882" spans="1:6" x14ac:dyDescent="0.3">
      <c r="A882" s="1">
        <v>45542</v>
      </c>
      <c r="B882" t="s">
        <v>1529</v>
      </c>
      <c r="C882" t="s">
        <v>1534</v>
      </c>
      <c r="D882">
        <v>43882</v>
      </c>
      <c r="E882">
        <f>MONTH(tblExpense[[#This Row],[Date]])</f>
        <v>9</v>
      </c>
      <c r="F882" t="str">
        <f>TEXT(tblExpense[[#This Row],[Date]],"mmm")</f>
        <v>Sep</v>
      </c>
    </row>
    <row r="883" spans="1:6" x14ac:dyDescent="0.3">
      <c r="A883" s="1">
        <v>45563</v>
      </c>
      <c r="B883" t="s">
        <v>1538</v>
      </c>
      <c r="C883" t="s">
        <v>1535</v>
      </c>
      <c r="D883">
        <v>89283</v>
      </c>
      <c r="E883">
        <f>MONTH(tblExpense[[#This Row],[Date]])</f>
        <v>9</v>
      </c>
      <c r="F883" t="str">
        <f>TEXT(tblExpense[[#This Row],[Date]],"mmm")</f>
        <v>Sep</v>
      </c>
    </row>
    <row r="884" spans="1:6" x14ac:dyDescent="0.3">
      <c r="A884" s="1">
        <v>45565</v>
      </c>
      <c r="B884" t="s">
        <v>1529</v>
      </c>
      <c r="C884" t="s">
        <v>1535</v>
      </c>
      <c r="D884">
        <v>79553</v>
      </c>
      <c r="E884">
        <f>MONTH(tblExpense[[#This Row],[Date]])</f>
        <v>9</v>
      </c>
      <c r="F884" t="str">
        <f>TEXT(tblExpense[[#This Row],[Date]],"mmm")</f>
        <v>Sep</v>
      </c>
    </row>
    <row r="885" spans="1:6" x14ac:dyDescent="0.3">
      <c r="A885" s="1">
        <v>45569</v>
      </c>
      <c r="B885" t="s">
        <v>1529</v>
      </c>
      <c r="C885" t="s">
        <v>1530</v>
      </c>
      <c r="D885">
        <v>37138</v>
      </c>
      <c r="E885">
        <f>MONTH(tblExpense[[#This Row],[Date]])</f>
        <v>10</v>
      </c>
      <c r="F885" t="str">
        <f>TEXT(tblExpense[[#This Row],[Date]],"mmm")</f>
        <v>Oct</v>
      </c>
    </row>
    <row r="886" spans="1:6" x14ac:dyDescent="0.3">
      <c r="A886" s="1">
        <v>45580</v>
      </c>
      <c r="B886" t="s">
        <v>1531</v>
      </c>
      <c r="C886" t="s">
        <v>1535</v>
      </c>
      <c r="D886">
        <v>36908</v>
      </c>
      <c r="E886">
        <f>MONTH(tblExpense[[#This Row],[Date]])</f>
        <v>10</v>
      </c>
      <c r="F886" t="str">
        <f>TEXT(tblExpense[[#This Row],[Date]],"mmm")</f>
        <v>Oct</v>
      </c>
    </row>
    <row r="887" spans="1:6" x14ac:dyDescent="0.3">
      <c r="A887" s="1">
        <v>45579</v>
      </c>
      <c r="B887" t="s">
        <v>1536</v>
      </c>
      <c r="C887" t="s">
        <v>1535</v>
      </c>
      <c r="D887">
        <v>64185</v>
      </c>
      <c r="E887">
        <f>MONTH(tblExpense[[#This Row],[Date]])</f>
        <v>10</v>
      </c>
      <c r="F887" t="str">
        <f>TEXT(tblExpense[[#This Row],[Date]],"mmm")</f>
        <v>Oct</v>
      </c>
    </row>
    <row r="888" spans="1:6" x14ac:dyDescent="0.3">
      <c r="A888" s="1">
        <v>45583</v>
      </c>
      <c r="B888" t="s">
        <v>1533</v>
      </c>
      <c r="C888" t="s">
        <v>1537</v>
      </c>
      <c r="D888">
        <v>46318</v>
      </c>
      <c r="E888">
        <f>MONTH(tblExpense[[#This Row],[Date]])</f>
        <v>10</v>
      </c>
      <c r="F888" t="str">
        <f>TEXT(tblExpense[[#This Row],[Date]],"mmm")</f>
        <v>Oct</v>
      </c>
    </row>
    <row r="889" spans="1:6" x14ac:dyDescent="0.3">
      <c r="A889" s="1">
        <v>45582</v>
      </c>
      <c r="B889" t="s">
        <v>1536</v>
      </c>
      <c r="C889" t="s">
        <v>1537</v>
      </c>
      <c r="D889">
        <v>23190</v>
      </c>
      <c r="E889">
        <f>MONTH(tblExpense[[#This Row],[Date]])</f>
        <v>10</v>
      </c>
      <c r="F889" t="str">
        <f>TEXT(tblExpense[[#This Row],[Date]],"mmm")</f>
        <v>Oct</v>
      </c>
    </row>
    <row r="890" spans="1:6" x14ac:dyDescent="0.3">
      <c r="A890" s="1">
        <v>45584</v>
      </c>
      <c r="B890" t="s">
        <v>1538</v>
      </c>
      <c r="C890" t="s">
        <v>1534</v>
      </c>
      <c r="D890">
        <v>31419</v>
      </c>
      <c r="E890">
        <f>MONTH(tblExpense[[#This Row],[Date]])</f>
        <v>10</v>
      </c>
      <c r="F890" t="str">
        <f>TEXT(tblExpense[[#This Row],[Date]],"mmm")</f>
        <v>Oct</v>
      </c>
    </row>
    <row r="891" spans="1:6" x14ac:dyDescent="0.3">
      <c r="A891" s="1">
        <v>45573</v>
      </c>
      <c r="B891" t="s">
        <v>1529</v>
      </c>
      <c r="C891" t="s">
        <v>1534</v>
      </c>
      <c r="D891">
        <v>37322</v>
      </c>
      <c r="E891">
        <f>MONTH(tblExpense[[#This Row],[Date]])</f>
        <v>10</v>
      </c>
      <c r="F891" t="str">
        <f>TEXT(tblExpense[[#This Row],[Date]],"mmm")</f>
        <v>Oct</v>
      </c>
    </row>
    <row r="892" spans="1:6" x14ac:dyDescent="0.3">
      <c r="A892" s="1">
        <v>45566</v>
      </c>
      <c r="B892" t="s">
        <v>1538</v>
      </c>
      <c r="C892" t="s">
        <v>1532</v>
      </c>
      <c r="D892">
        <v>68877</v>
      </c>
      <c r="E892">
        <f>MONTH(tblExpense[[#This Row],[Date]])</f>
        <v>10</v>
      </c>
      <c r="F892" t="str">
        <f>TEXT(tblExpense[[#This Row],[Date]],"mmm")</f>
        <v>Oct</v>
      </c>
    </row>
    <row r="893" spans="1:6" x14ac:dyDescent="0.3">
      <c r="A893" s="1">
        <v>45586</v>
      </c>
      <c r="B893" t="s">
        <v>1536</v>
      </c>
      <c r="C893" t="s">
        <v>1530</v>
      </c>
      <c r="D893">
        <v>13679</v>
      </c>
      <c r="E893">
        <f>MONTH(tblExpense[[#This Row],[Date]])</f>
        <v>10</v>
      </c>
      <c r="F893" t="str">
        <f>TEXT(tblExpense[[#This Row],[Date]],"mmm")</f>
        <v>Oct</v>
      </c>
    </row>
    <row r="894" spans="1:6" x14ac:dyDescent="0.3">
      <c r="A894" s="1">
        <v>45573</v>
      </c>
      <c r="B894" t="s">
        <v>1533</v>
      </c>
      <c r="C894" t="s">
        <v>1535</v>
      </c>
      <c r="D894">
        <v>73834</v>
      </c>
      <c r="E894">
        <f>MONTH(tblExpense[[#This Row],[Date]])</f>
        <v>10</v>
      </c>
      <c r="F894" t="str">
        <f>TEXT(tblExpense[[#This Row],[Date]],"mmm")</f>
        <v>Oct</v>
      </c>
    </row>
    <row r="895" spans="1:6" x14ac:dyDescent="0.3">
      <c r="A895" s="1">
        <v>45576</v>
      </c>
      <c r="B895" t="s">
        <v>1536</v>
      </c>
      <c r="C895" t="s">
        <v>1535</v>
      </c>
      <c r="D895">
        <v>24203</v>
      </c>
      <c r="E895">
        <f>MONTH(tblExpense[[#This Row],[Date]])</f>
        <v>10</v>
      </c>
      <c r="F895" t="str">
        <f>TEXT(tblExpense[[#This Row],[Date]],"mmm")</f>
        <v>Oct</v>
      </c>
    </row>
    <row r="896" spans="1:6" x14ac:dyDescent="0.3">
      <c r="A896" s="1">
        <v>45567</v>
      </c>
      <c r="B896" t="s">
        <v>1529</v>
      </c>
      <c r="C896" t="s">
        <v>1535</v>
      </c>
      <c r="D896">
        <v>92121</v>
      </c>
      <c r="E896">
        <f>MONTH(tblExpense[[#This Row],[Date]])</f>
        <v>10</v>
      </c>
      <c r="F896" t="str">
        <f>TEXT(tblExpense[[#This Row],[Date]],"mmm")</f>
        <v>Oct</v>
      </c>
    </row>
    <row r="897" spans="1:6" x14ac:dyDescent="0.3">
      <c r="A897" s="1">
        <v>45576</v>
      </c>
      <c r="B897" t="s">
        <v>1538</v>
      </c>
      <c r="C897" t="s">
        <v>1534</v>
      </c>
      <c r="D897">
        <v>23693</v>
      </c>
      <c r="E897">
        <f>MONTH(tblExpense[[#This Row],[Date]])</f>
        <v>10</v>
      </c>
      <c r="F897" t="str">
        <f>TEXT(tblExpense[[#This Row],[Date]],"mmm")</f>
        <v>Oct</v>
      </c>
    </row>
    <row r="898" spans="1:6" x14ac:dyDescent="0.3">
      <c r="A898" s="1">
        <v>45595</v>
      </c>
      <c r="B898" t="s">
        <v>1531</v>
      </c>
      <c r="C898" t="s">
        <v>1532</v>
      </c>
      <c r="D898">
        <v>21701</v>
      </c>
      <c r="E898">
        <f>MONTH(tblExpense[[#This Row],[Date]])</f>
        <v>10</v>
      </c>
      <c r="F898" t="str">
        <f>TEXT(tblExpense[[#This Row],[Date]],"mmm")</f>
        <v>Oct</v>
      </c>
    </row>
    <row r="899" spans="1:6" x14ac:dyDescent="0.3">
      <c r="A899" s="1">
        <v>45575</v>
      </c>
      <c r="B899" t="s">
        <v>1529</v>
      </c>
      <c r="C899" t="s">
        <v>1535</v>
      </c>
      <c r="D899">
        <v>50150</v>
      </c>
      <c r="E899">
        <f>MONTH(tblExpense[[#This Row],[Date]])</f>
        <v>10</v>
      </c>
      <c r="F899" t="str">
        <f>TEXT(tblExpense[[#This Row],[Date]],"mmm")</f>
        <v>Oct</v>
      </c>
    </row>
    <row r="900" spans="1:6" x14ac:dyDescent="0.3">
      <c r="A900" s="1">
        <v>45583</v>
      </c>
      <c r="B900" t="s">
        <v>1538</v>
      </c>
      <c r="C900" t="s">
        <v>1537</v>
      </c>
      <c r="D900">
        <v>11795</v>
      </c>
      <c r="E900">
        <f>MONTH(tblExpense[[#This Row],[Date]])</f>
        <v>10</v>
      </c>
      <c r="F900" t="str">
        <f>TEXT(tblExpense[[#This Row],[Date]],"mmm")</f>
        <v>Oct</v>
      </c>
    </row>
    <row r="901" spans="1:6" x14ac:dyDescent="0.3">
      <c r="A901" s="1">
        <v>45566</v>
      </c>
      <c r="B901" t="s">
        <v>1536</v>
      </c>
      <c r="C901" t="s">
        <v>1530</v>
      </c>
      <c r="D901">
        <v>14633</v>
      </c>
      <c r="E901">
        <f>MONTH(tblExpense[[#This Row],[Date]])</f>
        <v>10</v>
      </c>
      <c r="F901" t="str">
        <f>TEXT(tblExpense[[#This Row],[Date]],"mmm")</f>
        <v>Oct</v>
      </c>
    </row>
    <row r="902" spans="1:6" x14ac:dyDescent="0.3">
      <c r="A902" s="1">
        <v>45566</v>
      </c>
      <c r="B902" t="s">
        <v>1533</v>
      </c>
      <c r="C902" t="s">
        <v>1537</v>
      </c>
      <c r="D902">
        <v>5111</v>
      </c>
      <c r="E902">
        <f>MONTH(tblExpense[[#This Row],[Date]])</f>
        <v>10</v>
      </c>
      <c r="F902" t="str">
        <f>TEXT(tblExpense[[#This Row],[Date]],"mmm")</f>
        <v>Oct</v>
      </c>
    </row>
    <row r="903" spans="1:6" x14ac:dyDescent="0.3">
      <c r="A903" s="1">
        <v>45583</v>
      </c>
      <c r="B903" t="s">
        <v>1533</v>
      </c>
      <c r="C903" t="s">
        <v>1537</v>
      </c>
      <c r="D903">
        <v>62591</v>
      </c>
      <c r="E903">
        <f>MONTH(tblExpense[[#This Row],[Date]])</f>
        <v>10</v>
      </c>
      <c r="F903" t="str">
        <f>TEXT(tblExpense[[#This Row],[Date]],"mmm")</f>
        <v>Oct</v>
      </c>
    </row>
    <row r="904" spans="1:6" x14ac:dyDescent="0.3">
      <c r="A904" s="1">
        <v>45574</v>
      </c>
      <c r="B904" t="s">
        <v>1533</v>
      </c>
      <c r="C904" t="s">
        <v>1535</v>
      </c>
      <c r="D904">
        <v>70183</v>
      </c>
      <c r="E904">
        <f>MONTH(tblExpense[[#This Row],[Date]])</f>
        <v>10</v>
      </c>
      <c r="F904" t="str">
        <f>TEXT(tblExpense[[#This Row],[Date]],"mmm")</f>
        <v>Oct</v>
      </c>
    </row>
    <row r="905" spans="1:6" x14ac:dyDescent="0.3">
      <c r="A905" s="1">
        <v>45596</v>
      </c>
      <c r="B905" t="s">
        <v>1529</v>
      </c>
      <c r="C905" t="s">
        <v>1532</v>
      </c>
      <c r="D905">
        <v>12275</v>
      </c>
      <c r="E905">
        <f>MONTH(tblExpense[[#This Row],[Date]])</f>
        <v>10</v>
      </c>
      <c r="F905" t="str">
        <f>TEXT(tblExpense[[#This Row],[Date]],"mmm")</f>
        <v>Oct</v>
      </c>
    </row>
    <row r="906" spans="1:6" x14ac:dyDescent="0.3">
      <c r="A906" s="1">
        <v>45594</v>
      </c>
      <c r="B906" t="s">
        <v>1531</v>
      </c>
      <c r="C906" t="s">
        <v>1534</v>
      </c>
      <c r="D906">
        <v>22278</v>
      </c>
      <c r="E906">
        <f>MONTH(tblExpense[[#This Row],[Date]])</f>
        <v>10</v>
      </c>
      <c r="F906" t="str">
        <f>TEXT(tblExpense[[#This Row],[Date]],"mmm")</f>
        <v>Oct</v>
      </c>
    </row>
    <row r="907" spans="1:6" x14ac:dyDescent="0.3">
      <c r="A907" s="1">
        <v>45571</v>
      </c>
      <c r="B907" t="s">
        <v>1533</v>
      </c>
      <c r="C907" t="s">
        <v>1532</v>
      </c>
      <c r="D907">
        <v>31622</v>
      </c>
      <c r="E907">
        <f>MONTH(tblExpense[[#This Row],[Date]])</f>
        <v>10</v>
      </c>
      <c r="F907" t="str">
        <f>TEXT(tblExpense[[#This Row],[Date]],"mmm")</f>
        <v>Oct</v>
      </c>
    </row>
    <row r="908" spans="1:6" x14ac:dyDescent="0.3">
      <c r="A908" s="1">
        <v>45581</v>
      </c>
      <c r="B908" t="s">
        <v>1531</v>
      </c>
      <c r="C908" t="s">
        <v>1534</v>
      </c>
      <c r="D908">
        <v>20607</v>
      </c>
      <c r="E908">
        <f>MONTH(tblExpense[[#This Row],[Date]])</f>
        <v>10</v>
      </c>
      <c r="F908" t="str">
        <f>TEXT(tblExpense[[#This Row],[Date]],"mmm")</f>
        <v>Oct</v>
      </c>
    </row>
    <row r="909" spans="1:6" x14ac:dyDescent="0.3">
      <c r="A909" s="1">
        <v>45586</v>
      </c>
      <c r="B909" t="s">
        <v>1536</v>
      </c>
      <c r="C909" t="s">
        <v>1534</v>
      </c>
      <c r="D909">
        <v>59331</v>
      </c>
      <c r="E909">
        <f>MONTH(tblExpense[[#This Row],[Date]])</f>
        <v>10</v>
      </c>
      <c r="F909" t="str">
        <f>TEXT(tblExpense[[#This Row],[Date]],"mmm")</f>
        <v>Oct</v>
      </c>
    </row>
    <row r="910" spans="1:6" x14ac:dyDescent="0.3">
      <c r="A910" s="1">
        <v>45592</v>
      </c>
      <c r="B910" t="s">
        <v>1533</v>
      </c>
      <c r="C910" t="s">
        <v>1537</v>
      </c>
      <c r="D910">
        <v>77740</v>
      </c>
      <c r="E910">
        <f>MONTH(tblExpense[[#This Row],[Date]])</f>
        <v>10</v>
      </c>
      <c r="F910" t="str">
        <f>TEXT(tblExpense[[#This Row],[Date]],"mmm")</f>
        <v>Oct</v>
      </c>
    </row>
    <row r="911" spans="1:6" x14ac:dyDescent="0.3">
      <c r="A911" s="1">
        <v>45574</v>
      </c>
      <c r="B911" t="s">
        <v>1529</v>
      </c>
      <c r="C911" t="s">
        <v>1534</v>
      </c>
      <c r="D911">
        <v>8612</v>
      </c>
      <c r="E911">
        <f>MONTH(tblExpense[[#This Row],[Date]])</f>
        <v>10</v>
      </c>
      <c r="F911" t="str">
        <f>TEXT(tblExpense[[#This Row],[Date]],"mmm")</f>
        <v>Oct</v>
      </c>
    </row>
    <row r="912" spans="1:6" x14ac:dyDescent="0.3">
      <c r="A912" s="1">
        <v>45567</v>
      </c>
      <c r="B912" t="s">
        <v>1536</v>
      </c>
      <c r="C912" t="s">
        <v>1532</v>
      </c>
      <c r="D912">
        <v>36036</v>
      </c>
      <c r="E912">
        <f>MONTH(tblExpense[[#This Row],[Date]])</f>
        <v>10</v>
      </c>
      <c r="F912" t="str">
        <f>TEXT(tblExpense[[#This Row],[Date]],"mmm")</f>
        <v>Oct</v>
      </c>
    </row>
    <row r="913" spans="1:6" x14ac:dyDescent="0.3">
      <c r="A913" s="1">
        <v>45586</v>
      </c>
      <c r="B913" t="s">
        <v>1536</v>
      </c>
      <c r="C913" t="s">
        <v>1534</v>
      </c>
      <c r="D913">
        <v>19714</v>
      </c>
      <c r="E913">
        <f>MONTH(tblExpense[[#This Row],[Date]])</f>
        <v>10</v>
      </c>
      <c r="F913" t="str">
        <f>TEXT(tblExpense[[#This Row],[Date]],"mmm")</f>
        <v>Oct</v>
      </c>
    </row>
    <row r="914" spans="1:6" x14ac:dyDescent="0.3">
      <c r="A914" s="1">
        <v>45574</v>
      </c>
      <c r="B914" t="s">
        <v>1531</v>
      </c>
      <c r="C914" t="s">
        <v>1532</v>
      </c>
      <c r="D914">
        <v>36519</v>
      </c>
      <c r="E914">
        <f>MONTH(tblExpense[[#This Row],[Date]])</f>
        <v>10</v>
      </c>
      <c r="F914" t="str">
        <f>TEXT(tblExpense[[#This Row],[Date]],"mmm")</f>
        <v>Oct</v>
      </c>
    </row>
    <row r="915" spans="1:6" x14ac:dyDescent="0.3">
      <c r="A915" s="1">
        <v>45593</v>
      </c>
      <c r="B915" t="s">
        <v>1531</v>
      </c>
      <c r="C915" t="s">
        <v>1537</v>
      </c>
      <c r="D915">
        <v>73549</v>
      </c>
      <c r="E915">
        <f>MONTH(tblExpense[[#This Row],[Date]])</f>
        <v>10</v>
      </c>
      <c r="F915" t="str">
        <f>TEXT(tblExpense[[#This Row],[Date]],"mmm")</f>
        <v>Oct</v>
      </c>
    </row>
    <row r="916" spans="1:6" x14ac:dyDescent="0.3">
      <c r="A916" s="1">
        <v>45593</v>
      </c>
      <c r="B916" t="s">
        <v>1533</v>
      </c>
      <c r="C916" t="s">
        <v>1537</v>
      </c>
      <c r="D916">
        <v>73298</v>
      </c>
      <c r="E916">
        <f>MONTH(tblExpense[[#This Row],[Date]])</f>
        <v>10</v>
      </c>
      <c r="F916" t="str">
        <f>TEXT(tblExpense[[#This Row],[Date]],"mmm")</f>
        <v>Oct</v>
      </c>
    </row>
    <row r="917" spans="1:6" x14ac:dyDescent="0.3">
      <c r="A917" s="1">
        <v>45587</v>
      </c>
      <c r="B917" t="s">
        <v>1536</v>
      </c>
      <c r="C917" t="s">
        <v>1534</v>
      </c>
      <c r="D917">
        <v>68765</v>
      </c>
      <c r="E917">
        <f>MONTH(tblExpense[[#This Row],[Date]])</f>
        <v>10</v>
      </c>
      <c r="F917" t="str">
        <f>TEXT(tblExpense[[#This Row],[Date]],"mmm")</f>
        <v>Oct</v>
      </c>
    </row>
    <row r="918" spans="1:6" x14ac:dyDescent="0.3">
      <c r="A918" s="1">
        <v>45587</v>
      </c>
      <c r="B918" t="s">
        <v>1529</v>
      </c>
      <c r="C918" t="s">
        <v>1532</v>
      </c>
      <c r="D918">
        <v>27992</v>
      </c>
      <c r="E918">
        <f>MONTH(tblExpense[[#This Row],[Date]])</f>
        <v>10</v>
      </c>
      <c r="F918" t="str">
        <f>TEXT(tblExpense[[#This Row],[Date]],"mmm")</f>
        <v>Oct</v>
      </c>
    </row>
    <row r="919" spans="1:6" x14ac:dyDescent="0.3">
      <c r="A919" s="1">
        <v>45595</v>
      </c>
      <c r="B919" t="s">
        <v>1529</v>
      </c>
      <c r="C919" t="s">
        <v>1534</v>
      </c>
      <c r="D919">
        <v>23666</v>
      </c>
      <c r="E919">
        <f>MONTH(tblExpense[[#This Row],[Date]])</f>
        <v>10</v>
      </c>
      <c r="F919" t="str">
        <f>TEXT(tblExpense[[#This Row],[Date]],"mmm")</f>
        <v>Oct</v>
      </c>
    </row>
    <row r="920" spans="1:6" x14ac:dyDescent="0.3">
      <c r="A920" s="1">
        <v>45570</v>
      </c>
      <c r="B920" t="s">
        <v>1536</v>
      </c>
      <c r="C920" t="s">
        <v>1535</v>
      </c>
      <c r="D920">
        <v>58330</v>
      </c>
      <c r="E920">
        <f>MONTH(tblExpense[[#This Row],[Date]])</f>
        <v>10</v>
      </c>
      <c r="F920" t="str">
        <f>TEXT(tblExpense[[#This Row],[Date]],"mmm")</f>
        <v>Oct</v>
      </c>
    </row>
    <row r="921" spans="1:6" x14ac:dyDescent="0.3">
      <c r="A921" s="1">
        <v>45592</v>
      </c>
      <c r="B921" t="s">
        <v>1536</v>
      </c>
      <c r="C921" t="s">
        <v>1532</v>
      </c>
      <c r="D921">
        <v>56087</v>
      </c>
      <c r="E921">
        <f>MONTH(tblExpense[[#This Row],[Date]])</f>
        <v>10</v>
      </c>
      <c r="F921" t="str">
        <f>TEXT(tblExpense[[#This Row],[Date]],"mmm")</f>
        <v>Oct</v>
      </c>
    </row>
    <row r="922" spans="1:6" x14ac:dyDescent="0.3">
      <c r="A922" s="1">
        <v>45575</v>
      </c>
      <c r="B922" t="s">
        <v>1533</v>
      </c>
      <c r="C922" t="s">
        <v>1537</v>
      </c>
      <c r="D922">
        <v>83206</v>
      </c>
      <c r="E922">
        <f>MONTH(tblExpense[[#This Row],[Date]])</f>
        <v>10</v>
      </c>
      <c r="F922" t="str">
        <f>TEXT(tblExpense[[#This Row],[Date]],"mmm")</f>
        <v>Oct</v>
      </c>
    </row>
    <row r="923" spans="1:6" x14ac:dyDescent="0.3">
      <c r="A923" s="1">
        <v>45588</v>
      </c>
      <c r="B923" t="s">
        <v>1536</v>
      </c>
      <c r="C923" t="s">
        <v>1530</v>
      </c>
      <c r="D923">
        <v>53646</v>
      </c>
      <c r="E923">
        <f>MONTH(tblExpense[[#This Row],[Date]])</f>
        <v>10</v>
      </c>
      <c r="F923" t="str">
        <f>TEXT(tblExpense[[#This Row],[Date]],"mmm")</f>
        <v>Oct</v>
      </c>
    </row>
    <row r="924" spans="1:6" x14ac:dyDescent="0.3">
      <c r="A924" s="1">
        <v>45585</v>
      </c>
      <c r="B924" t="s">
        <v>1536</v>
      </c>
      <c r="C924" t="s">
        <v>1532</v>
      </c>
      <c r="D924">
        <v>82497</v>
      </c>
      <c r="E924">
        <f>MONTH(tblExpense[[#This Row],[Date]])</f>
        <v>10</v>
      </c>
      <c r="F924" t="str">
        <f>TEXT(tblExpense[[#This Row],[Date]],"mmm")</f>
        <v>Oct</v>
      </c>
    </row>
    <row r="925" spans="1:6" x14ac:dyDescent="0.3">
      <c r="A925" s="1">
        <v>45577</v>
      </c>
      <c r="B925" t="s">
        <v>1536</v>
      </c>
      <c r="C925" t="s">
        <v>1534</v>
      </c>
      <c r="D925">
        <v>70640</v>
      </c>
      <c r="E925">
        <f>MONTH(tblExpense[[#This Row],[Date]])</f>
        <v>10</v>
      </c>
      <c r="F925" t="str">
        <f>TEXT(tblExpense[[#This Row],[Date]],"mmm")</f>
        <v>Oct</v>
      </c>
    </row>
    <row r="926" spans="1:6" x14ac:dyDescent="0.3">
      <c r="A926" s="1">
        <v>45590</v>
      </c>
      <c r="B926" t="s">
        <v>1531</v>
      </c>
      <c r="C926" t="s">
        <v>1537</v>
      </c>
      <c r="D926">
        <v>71064</v>
      </c>
      <c r="E926">
        <f>MONTH(tblExpense[[#This Row],[Date]])</f>
        <v>10</v>
      </c>
      <c r="F926" t="str">
        <f>TEXT(tblExpense[[#This Row],[Date]],"mmm")</f>
        <v>Oct</v>
      </c>
    </row>
    <row r="927" spans="1:6" x14ac:dyDescent="0.3">
      <c r="A927" s="1">
        <v>45566</v>
      </c>
      <c r="B927" t="s">
        <v>1536</v>
      </c>
      <c r="C927" t="s">
        <v>1537</v>
      </c>
      <c r="D927">
        <v>86596</v>
      </c>
      <c r="E927">
        <f>MONTH(tblExpense[[#This Row],[Date]])</f>
        <v>10</v>
      </c>
      <c r="F927" t="str">
        <f>TEXT(tblExpense[[#This Row],[Date]],"mmm")</f>
        <v>Oct</v>
      </c>
    </row>
    <row r="928" spans="1:6" x14ac:dyDescent="0.3">
      <c r="A928" s="1">
        <v>45576</v>
      </c>
      <c r="B928" t="s">
        <v>1533</v>
      </c>
      <c r="C928" t="s">
        <v>1535</v>
      </c>
      <c r="D928">
        <v>29800</v>
      </c>
      <c r="E928">
        <f>MONTH(tblExpense[[#This Row],[Date]])</f>
        <v>10</v>
      </c>
      <c r="F928" t="str">
        <f>TEXT(tblExpense[[#This Row],[Date]],"mmm")</f>
        <v>Oct</v>
      </c>
    </row>
    <row r="929" spans="1:6" x14ac:dyDescent="0.3">
      <c r="A929" s="1">
        <v>45595</v>
      </c>
      <c r="B929" t="s">
        <v>1531</v>
      </c>
      <c r="C929" t="s">
        <v>1537</v>
      </c>
      <c r="D929">
        <v>16349</v>
      </c>
      <c r="E929">
        <f>MONTH(tblExpense[[#This Row],[Date]])</f>
        <v>10</v>
      </c>
      <c r="F929" t="str">
        <f>TEXT(tblExpense[[#This Row],[Date]],"mmm")</f>
        <v>Oct</v>
      </c>
    </row>
    <row r="930" spans="1:6" x14ac:dyDescent="0.3">
      <c r="A930" s="1">
        <v>45579</v>
      </c>
      <c r="B930" t="s">
        <v>1533</v>
      </c>
      <c r="C930" t="s">
        <v>1534</v>
      </c>
      <c r="D930">
        <v>97817</v>
      </c>
      <c r="E930">
        <f>MONTH(tblExpense[[#This Row],[Date]])</f>
        <v>10</v>
      </c>
      <c r="F930" t="str">
        <f>TEXT(tblExpense[[#This Row],[Date]],"mmm")</f>
        <v>Oct</v>
      </c>
    </row>
    <row r="931" spans="1:6" x14ac:dyDescent="0.3">
      <c r="A931" s="1">
        <v>45579</v>
      </c>
      <c r="B931" t="s">
        <v>1531</v>
      </c>
      <c r="C931" t="s">
        <v>1537</v>
      </c>
      <c r="D931">
        <v>75917</v>
      </c>
      <c r="E931">
        <f>MONTH(tblExpense[[#This Row],[Date]])</f>
        <v>10</v>
      </c>
      <c r="F931" t="str">
        <f>TEXT(tblExpense[[#This Row],[Date]],"mmm")</f>
        <v>Oct</v>
      </c>
    </row>
    <row r="932" spans="1:6" x14ac:dyDescent="0.3">
      <c r="A932" s="1">
        <v>45568</v>
      </c>
      <c r="B932" t="s">
        <v>1536</v>
      </c>
      <c r="C932" t="s">
        <v>1532</v>
      </c>
      <c r="D932">
        <v>20504</v>
      </c>
      <c r="E932">
        <f>MONTH(tblExpense[[#This Row],[Date]])</f>
        <v>10</v>
      </c>
      <c r="F932" t="str">
        <f>TEXT(tblExpense[[#This Row],[Date]],"mmm")</f>
        <v>Oct</v>
      </c>
    </row>
    <row r="933" spans="1:6" x14ac:dyDescent="0.3">
      <c r="A933" s="1">
        <v>45584</v>
      </c>
      <c r="B933" t="s">
        <v>1536</v>
      </c>
      <c r="C933" t="s">
        <v>1534</v>
      </c>
      <c r="D933">
        <v>35869</v>
      </c>
      <c r="E933">
        <f>MONTH(tblExpense[[#This Row],[Date]])</f>
        <v>10</v>
      </c>
      <c r="F933" t="str">
        <f>TEXT(tblExpense[[#This Row],[Date]],"mmm")</f>
        <v>Oct</v>
      </c>
    </row>
    <row r="934" spans="1:6" x14ac:dyDescent="0.3">
      <c r="A934" s="1">
        <v>45589</v>
      </c>
      <c r="B934" t="s">
        <v>1538</v>
      </c>
      <c r="C934" t="s">
        <v>1537</v>
      </c>
      <c r="D934">
        <v>36122</v>
      </c>
      <c r="E934">
        <f>MONTH(tblExpense[[#This Row],[Date]])</f>
        <v>10</v>
      </c>
      <c r="F934" t="str">
        <f>TEXT(tblExpense[[#This Row],[Date]],"mmm")</f>
        <v>Oct</v>
      </c>
    </row>
    <row r="935" spans="1:6" x14ac:dyDescent="0.3">
      <c r="A935" s="1">
        <v>45595</v>
      </c>
      <c r="B935" t="s">
        <v>1533</v>
      </c>
      <c r="C935" t="s">
        <v>1532</v>
      </c>
      <c r="D935">
        <v>23918</v>
      </c>
      <c r="E935">
        <f>MONTH(tblExpense[[#This Row],[Date]])</f>
        <v>10</v>
      </c>
      <c r="F935" t="str">
        <f>TEXT(tblExpense[[#This Row],[Date]],"mmm")</f>
        <v>Oct</v>
      </c>
    </row>
    <row r="936" spans="1:6" x14ac:dyDescent="0.3">
      <c r="A936" s="1">
        <v>45570</v>
      </c>
      <c r="B936" t="s">
        <v>1538</v>
      </c>
      <c r="C936" t="s">
        <v>1530</v>
      </c>
      <c r="D936">
        <v>13588</v>
      </c>
      <c r="E936">
        <f>MONTH(tblExpense[[#This Row],[Date]])</f>
        <v>10</v>
      </c>
      <c r="F936" t="str">
        <f>TEXT(tblExpense[[#This Row],[Date]],"mmm")</f>
        <v>Oct</v>
      </c>
    </row>
    <row r="937" spans="1:6" x14ac:dyDescent="0.3">
      <c r="A937" s="1">
        <v>45578</v>
      </c>
      <c r="B937" t="s">
        <v>1538</v>
      </c>
      <c r="C937" t="s">
        <v>1537</v>
      </c>
      <c r="D937">
        <v>79811</v>
      </c>
      <c r="E937">
        <f>MONTH(tblExpense[[#This Row],[Date]])</f>
        <v>10</v>
      </c>
      <c r="F937" t="str">
        <f>TEXT(tblExpense[[#This Row],[Date]],"mmm")</f>
        <v>Oct</v>
      </c>
    </row>
    <row r="938" spans="1:6" x14ac:dyDescent="0.3">
      <c r="A938" s="1">
        <v>45586</v>
      </c>
      <c r="B938" t="s">
        <v>1533</v>
      </c>
      <c r="C938" t="s">
        <v>1535</v>
      </c>
      <c r="D938">
        <v>76617</v>
      </c>
      <c r="E938">
        <f>MONTH(tblExpense[[#This Row],[Date]])</f>
        <v>10</v>
      </c>
      <c r="F938" t="str">
        <f>TEXT(tblExpense[[#This Row],[Date]],"mmm")</f>
        <v>Oct</v>
      </c>
    </row>
    <row r="939" spans="1:6" x14ac:dyDescent="0.3">
      <c r="A939" s="1">
        <v>45586</v>
      </c>
      <c r="B939" t="s">
        <v>1531</v>
      </c>
      <c r="C939" t="s">
        <v>1535</v>
      </c>
      <c r="D939">
        <v>46251</v>
      </c>
      <c r="E939">
        <f>MONTH(tblExpense[[#This Row],[Date]])</f>
        <v>10</v>
      </c>
      <c r="F939" t="str">
        <f>TEXT(tblExpense[[#This Row],[Date]],"mmm")</f>
        <v>Oct</v>
      </c>
    </row>
    <row r="940" spans="1:6" x14ac:dyDescent="0.3">
      <c r="A940" s="1">
        <v>45573</v>
      </c>
      <c r="B940" t="s">
        <v>1538</v>
      </c>
      <c r="C940" t="s">
        <v>1530</v>
      </c>
      <c r="D940">
        <v>61616</v>
      </c>
      <c r="E940">
        <f>MONTH(tblExpense[[#This Row],[Date]])</f>
        <v>10</v>
      </c>
      <c r="F940" t="str">
        <f>TEXT(tblExpense[[#This Row],[Date]],"mmm")</f>
        <v>Oct</v>
      </c>
    </row>
    <row r="941" spans="1:6" x14ac:dyDescent="0.3">
      <c r="A941" s="1">
        <v>45567</v>
      </c>
      <c r="B941" t="s">
        <v>1531</v>
      </c>
      <c r="C941" t="s">
        <v>1534</v>
      </c>
      <c r="D941">
        <v>27523</v>
      </c>
      <c r="E941">
        <f>MONTH(tblExpense[[#This Row],[Date]])</f>
        <v>10</v>
      </c>
      <c r="F941" t="str">
        <f>TEXT(tblExpense[[#This Row],[Date]],"mmm")</f>
        <v>Oct</v>
      </c>
    </row>
    <row r="942" spans="1:6" x14ac:dyDescent="0.3">
      <c r="A942" s="1">
        <v>45591</v>
      </c>
      <c r="B942" t="s">
        <v>1533</v>
      </c>
      <c r="C942" t="s">
        <v>1537</v>
      </c>
      <c r="D942">
        <v>86256</v>
      </c>
      <c r="E942">
        <f>MONTH(tblExpense[[#This Row],[Date]])</f>
        <v>10</v>
      </c>
      <c r="F942" t="str">
        <f>TEXT(tblExpense[[#This Row],[Date]],"mmm")</f>
        <v>Oct</v>
      </c>
    </row>
    <row r="943" spans="1:6" x14ac:dyDescent="0.3">
      <c r="A943" s="1">
        <v>45585</v>
      </c>
      <c r="B943" t="s">
        <v>1531</v>
      </c>
      <c r="C943" t="s">
        <v>1532</v>
      </c>
      <c r="D943">
        <v>40931</v>
      </c>
      <c r="E943">
        <f>MONTH(tblExpense[[#This Row],[Date]])</f>
        <v>10</v>
      </c>
      <c r="F943" t="str">
        <f>TEXT(tblExpense[[#This Row],[Date]],"mmm")</f>
        <v>Oct</v>
      </c>
    </row>
    <row r="944" spans="1:6" x14ac:dyDescent="0.3">
      <c r="A944" s="1">
        <v>45580</v>
      </c>
      <c r="B944" t="s">
        <v>1531</v>
      </c>
      <c r="C944" t="s">
        <v>1535</v>
      </c>
      <c r="D944">
        <v>70117</v>
      </c>
      <c r="E944">
        <f>MONTH(tblExpense[[#This Row],[Date]])</f>
        <v>10</v>
      </c>
      <c r="F944" t="str">
        <f>TEXT(tblExpense[[#This Row],[Date]],"mmm")</f>
        <v>Oct</v>
      </c>
    </row>
    <row r="945" spans="1:6" x14ac:dyDescent="0.3">
      <c r="A945" s="1">
        <v>45594</v>
      </c>
      <c r="B945" t="s">
        <v>1536</v>
      </c>
      <c r="C945" t="s">
        <v>1530</v>
      </c>
      <c r="D945">
        <v>28435</v>
      </c>
      <c r="E945">
        <f>MONTH(tblExpense[[#This Row],[Date]])</f>
        <v>10</v>
      </c>
      <c r="F945" t="str">
        <f>TEXT(tblExpense[[#This Row],[Date]],"mmm")</f>
        <v>Oct</v>
      </c>
    </row>
    <row r="946" spans="1:6" x14ac:dyDescent="0.3">
      <c r="A946" s="1">
        <v>45580</v>
      </c>
      <c r="B946" t="s">
        <v>1533</v>
      </c>
      <c r="C946" t="s">
        <v>1534</v>
      </c>
      <c r="D946">
        <v>73693</v>
      </c>
      <c r="E946">
        <f>MONTH(tblExpense[[#This Row],[Date]])</f>
        <v>10</v>
      </c>
      <c r="F946" t="str">
        <f>TEXT(tblExpense[[#This Row],[Date]],"mmm")</f>
        <v>Oct</v>
      </c>
    </row>
    <row r="947" spans="1:6" x14ac:dyDescent="0.3">
      <c r="A947" s="1">
        <v>45575</v>
      </c>
      <c r="B947" t="s">
        <v>1536</v>
      </c>
      <c r="C947" t="s">
        <v>1537</v>
      </c>
      <c r="D947">
        <v>44467</v>
      </c>
      <c r="E947">
        <f>MONTH(tblExpense[[#This Row],[Date]])</f>
        <v>10</v>
      </c>
      <c r="F947" t="str">
        <f>TEXT(tblExpense[[#This Row],[Date]],"mmm")</f>
        <v>Oct</v>
      </c>
    </row>
    <row r="948" spans="1:6" x14ac:dyDescent="0.3">
      <c r="A948" s="1">
        <v>45583</v>
      </c>
      <c r="B948" t="s">
        <v>1533</v>
      </c>
      <c r="C948" t="s">
        <v>1532</v>
      </c>
      <c r="D948">
        <v>11267</v>
      </c>
      <c r="E948">
        <f>MONTH(tblExpense[[#This Row],[Date]])</f>
        <v>10</v>
      </c>
      <c r="F948" t="str">
        <f>TEXT(tblExpense[[#This Row],[Date]],"mmm")</f>
        <v>Oct</v>
      </c>
    </row>
    <row r="949" spans="1:6" x14ac:dyDescent="0.3">
      <c r="A949" s="1">
        <v>45580</v>
      </c>
      <c r="B949" t="s">
        <v>1531</v>
      </c>
      <c r="C949" t="s">
        <v>1530</v>
      </c>
      <c r="D949">
        <v>27665</v>
      </c>
      <c r="E949">
        <f>MONTH(tblExpense[[#This Row],[Date]])</f>
        <v>10</v>
      </c>
      <c r="F949" t="str">
        <f>TEXT(tblExpense[[#This Row],[Date]],"mmm")</f>
        <v>Oct</v>
      </c>
    </row>
    <row r="950" spans="1:6" x14ac:dyDescent="0.3">
      <c r="A950" s="1">
        <v>45575</v>
      </c>
      <c r="B950" t="s">
        <v>1536</v>
      </c>
      <c r="C950" t="s">
        <v>1535</v>
      </c>
      <c r="D950">
        <v>77782</v>
      </c>
      <c r="E950">
        <f>MONTH(tblExpense[[#This Row],[Date]])</f>
        <v>10</v>
      </c>
      <c r="F950" t="str">
        <f>TEXT(tblExpense[[#This Row],[Date]],"mmm")</f>
        <v>Oct</v>
      </c>
    </row>
    <row r="951" spans="1:6" x14ac:dyDescent="0.3">
      <c r="A951" s="1">
        <v>45591</v>
      </c>
      <c r="B951" t="s">
        <v>1529</v>
      </c>
      <c r="C951" t="s">
        <v>1537</v>
      </c>
      <c r="D951">
        <v>40120</v>
      </c>
      <c r="E951">
        <f>MONTH(tblExpense[[#This Row],[Date]])</f>
        <v>10</v>
      </c>
      <c r="F951" t="str">
        <f>TEXT(tblExpense[[#This Row],[Date]],"mmm")</f>
        <v>Oct</v>
      </c>
    </row>
    <row r="952" spans="1:6" x14ac:dyDescent="0.3">
      <c r="A952" s="1">
        <v>45575</v>
      </c>
      <c r="B952" t="s">
        <v>1529</v>
      </c>
      <c r="C952" t="s">
        <v>1530</v>
      </c>
      <c r="D952">
        <v>93571</v>
      </c>
      <c r="E952">
        <f>MONTH(tblExpense[[#This Row],[Date]])</f>
        <v>10</v>
      </c>
      <c r="F952" t="str">
        <f>TEXT(tblExpense[[#This Row],[Date]],"mmm")</f>
        <v>Oct</v>
      </c>
    </row>
    <row r="953" spans="1:6" x14ac:dyDescent="0.3">
      <c r="A953" s="1">
        <v>45572</v>
      </c>
      <c r="B953" t="s">
        <v>1531</v>
      </c>
      <c r="C953" t="s">
        <v>1532</v>
      </c>
      <c r="D953">
        <v>73055</v>
      </c>
      <c r="E953">
        <f>MONTH(tblExpense[[#This Row],[Date]])</f>
        <v>10</v>
      </c>
      <c r="F953" t="str">
        <f>TEXT(tblExpense[[#This Row],[Date]],"mmm")</f>
        <v>Oct</v>
      </c>
    </row>
    <row r="954" spans="1:6" x14ac:dyDescent="0.3">
      <c r="A954" s="1">
        <v>45580</v>
      </c>
      <c r="B954" t="s">
        <v>1531</v>
      </c>
      <c r="C954" t="s">
        <v>1534</v>
      </c>
      <c r="D954">
        <v>88134</v>
      </c>
      <c r="E954">
        <f>MONTH(tblExpense[[#This Row],[Date]])</f>
        <v>10</v>
      </c>
      <c r="F954" t="str">
        <f>TEXT(tblExpense[[#This Row],[Date]],"mmm")</f>
        <v>Oct</v>
      </c>
    </row>
    <row r="955" spans="1:6" x14ac:dyDescent="0.3">
      <c r="A955" s="1">
        <v>45586</v>
      </c>
      <c r="B955" t="s">
        <v>1531</v>
      </c>
      <c r="C955" t="s">
        <v>1530</v>
      </c>
      <c r="D955">
        <v>34642</v>
      </c>
      <c r="E955">
        <f>MONTH(tblExpense[[#This Row],[Date]])</f>
        <v>10</v>
      </c>
      <c r="F955" t="str">
        <f>TEXT(tblExpense[[#This Row],[Date]],"mmm")</f>
        <v>Oct</v>
      </c>
    </row>
    <row r="956" spans="1:6" x14ac:dyDescent="0.3">
      <c r="A956" s="1">
        <v>45568</v>
      </c>
      <c r="B956" t="s">
        <v>1529</v>
      </c>
      <c r="C956" t="s">
        <v>1530</v>
      </c>
      <c r="D956">
        <v>11803</v>
      </c>
      <c r="E956">
        <f>MONTH(tblExpense[[#This Row],[Date]])</f>
        <v>10</v>
      </c>
      <c r="F956" t="str">
        <f>TEXT(tblExpense[[#This Row],[Date]],"mmm")</f>
        <v>Oct</v>
      </c>
    </row>
    <row r="957" spans="1:6" x14ac:dyDescent="0.3">
      <c r="A957" s="1">
        <v>45587</v>
      </c>
      <c r="B957" t="s">
        <v>1533</v>
      </c>
      <c r="C957" t="s">
        <v>1535</v>
      </c>
      <c r="D957">
        <v>75770</v>
      </c>
      <c r="E957">
        <f>MONTH(tblExpense[[#This Row],[Date]])</f>
        <v>10</v>
      </c>
      <c r="F957" t="str">
        <f>TEXT(tblExpense[[#This Row],[Date]],"mmm")</f>
        <v>Oct</v>
      </c>
    </row>
    <row r="958" spans="1:6" x14ac:dyDescent="0.3">
      <c r="A958" s="1">
        <v>45593</v>
      </c>
      <c r="B958" t="s">
        <v>1536</v>
      </c>
      <c r="C958" t="s">
        <v>1534</v>
      </c>
      <c r="D958">
        <v>50209</v>
      </c>
      <c r="E958">
        <f>MONTH(tblExpense[[#This Row],[Date]])</f>
        <v>10</v>
      </c>
      <c r="F958" t="str">
        <f>TEXT(tblExpense[[#This Row],[Date]],"mmm")</f>
        <v>Oct</v>
      </c>
    </row>
    <row r="959" spans="1:6" x14ac:dyDescent="0.3">
      <c r="A959" s="1">
        <v>45588</v>
      </c>
      <c r="B959" t="s">
        <v>1538</v>
      </c>
      <c r="C959" t="s">
        <v>1535</v>
      </c>
      <c r="D959">
        <v>20234</v>
      </c>
      <c r="E959">
        <f>MONTH(tblExpense[[#This Row],[Date]])</f>
        <v>10</v>
      </c>
      <c r="F959" t="str">
        <f>TEXT(tblExpense[[#This Row],[Date]],"mmm")</f>
        <v>Oct</v>
      </c>
    </row>
    <row r="960" spans="1:6" x14ac:dyDescent="0.3">
      <c r="A960" s="1">
        <v>45586</v>
      </c>
      <c r="B960" t="s">
        <v>1536</v>
      </c>
      <c r="C960" t="s">
        <v>1537</v>
      </c>
      <c r="D960">
        <v>80334</v>
      </c>
      <c r="E960">
        <f>MONTH(tblExpense[[#This Row],[Date]])</f>
        <v>10</v>
      </c>
      <c r="F960" t="str">
        <f>TEXT(tblExpense[[#This Row],[Date]],"mmm")</f>
        <v>Oct</v>
      </c>
    </row>
    <row r="961" spans="1:6" x14ac:dyDescent="0.3">
      <c r="A961" s="1">
        <v>45576</v>
      </c>
      <c r="B961" t="s">
        <v>1531</v>
      </c>
      <c r="C961" t="s">
        <v>1534</v>
      </c>
      <c r="D961">
        <v>24858</v>
      </c>
      <c r="E961">
        <f>MONTH(tblExpense[[#This Row],[Date]])</f>
        <v>10</v>
      </c>
      <c r="F961" t="str">
        <f>TEXT(tblExpense[[#This Row],[Date]],"mmm")</f>
        <v>Oct</v>
      </c>
    </row>
    <row r="962" spans="1:6" x14ac:dyDescent="0.3">
      <c r="A962" s="1">
        <v>45595</v>
      </c>
      <c r="B962" t="s">
        <v>1529</v>
      </c>
      <c r="C962" t="s">
        <v>1535</v>
      </c>
      <c r="D962">
        <v>75129</v>
      </c>
      <c r="E962">
        <f>MONTH(tblExpense[[#This Row],[Date]])</f>
        <v>10</v>
      </c>
      <c r="F962" t="str">
        <f>TEXT(tblExpense[[#This Row],[Date]],"mmm")</f>
        <v>Oct</v>
      </c>
    </row>
    <row r="963" spans="1:6" x14ac:dyDescent="0.3">
      <c r="A963" s="1">
        <v>45593</v>
      </c>
      <c r="B963" t="s">
        <v>1538</v>
      </c>
      <c r="C963" t="s">
        <v>1537</v>
      </c>
      <c r="D963">
        <v>66883</v>
      </c>
      <c r="E963">
        <f>MONTH(tblExpense[[#This Row],[Date]])</f>
        <v>10</v>
      </c>
      <c r="F963" t="str">
        <f>TEXT(tblExpense[[#This Row],[Date]],"mmm")</f>
        <v>Oct</v>
      </c>
    </row>
    <row r="964" spans="1:6" x14ac:dyDescent="0.3">
      <c r="A964" s="1">
        <v>45589</v>
      </c>
      <c r="B964" t="s">
        <v>1538</v>
      </c>
      <c r="C964" t="s">
        <v>1535</v>
      </c>
      <c r="D964">
        <v>25881</v>
      </c>
      <c r="E964">
        <f>MONTH(tblExpense[[#This Row],[Date]])</f>
        <v>10</v>
      </c>
      <c r="F964" t="str">
        <f>TEXT(tblExpense[[#This Row],[Date]],"mmm")</f>
        <v>Oct</v>
      </c>
    </row>
    <row r="965" spans="1:6" x14ac:dyDescent="0.3">
      <c r="A965" s="1">
        <v>45567</v>
      </c>
      <c r="B965" t="s">
        <v>1536</v>
      </c>
      <c r="C965" t="s">
        <v>1532</v>
      </c>
      <c r="D965">
        <v>69093</v>
      </c>
      <c r="E965">
        <f>MONTH(tblExpense[[#This Row],[Date]])</f>
        <v>10</v>
      </c>
      <c r="F965" t="str">
        <f>TEXT(tblExpense[[#This Row],[Date]],"mmm")</f>
        <v>Oct</v>
      </c>
    </row>
    <row r="966" spans="1:6" x14ac:dyDescent="0.3">
      <c r="A966" s="1">
        <v>45587</v>
      </c>
      <c r="B966" t="s">
        <v>1536</v>
      </c>
      <c r="C966" t="s">
        <v>1535</v>
      </c>
      <c r="D966">
        <v>84748</v>
      </c>
      <c r="E966">
        <f>MONTH(tblExpense[[#This Row],[Date]])</f>
        <v>10</v>
      </c>
      <c r="F966" t="str">
        <f>TEXT(tblExpense[[#This Row],[Date]],"mmm")</f>
        <v>Oct</v>
      </c>
    </row>
    <row r="967" spans="1:6" x14ac:dyDescent="0.3">
      <c r="A967" s="1">
        <v>45580</v>
      </c>
      <c r="B967" t="s">
        <v>1538</v>
      </c>
      <c r="C967" t="s">
        <v>1537</v>
      </c>
      <c r="D967">
        <v>20208</v>
      </c>
      <c r="E967">
        <f>MONTH(tblExpense[[#This Row],[Date]])</f>
        <v>10</v>
      </c>
      <c r="F967" t="str">
        <f>TEXT(tblExpense[[#This Row],[Date]],"mmm")</f>
        <v>Oct</v>
      </c>
    </row>
    <row r="968" spans="1:6" x14ac:dyDescent="0.3">
      <c r="A968" s="1">
        <v>45572</v>
      </c>
      <c r="B968" t="s">
        <v>1533</v>
      </c>
      <c r="C968" t="s">
        <v>1530</v>
      </c>
      <c r="D968">
        <v>54649</v>
      </c>
      <c r="E968">
        <f>MONTH(tblExpense[[#This Row],[Date]])</f>
        <v>10</v>
      </c>
      <c r="F968" t="str">
        <f>TEXT(tblExpense[[#This Row],[Date]],"mmm")</f>
        <v>Oct</v>
      </c>
    </row>
    <row r="969" spans="1:6" x14ac:dyDescent="0.3">
      <c r="A969" s="1">
        <v>45570</v>
      </c>
      <c r="B969" t="s">
        <v>1533</v>
      </c>
      <c r="C969" t="s">
        <v>1532</v>
      </c>
      <c r="D969">
        <v>11578</v>
      </c>
      <c r="E969">
        <f>MONTH(tblExpense[[#This Row],[Date]])</f>
        <v>10</v>
      </c>
      <c r="F969" t="str">
        <f>TEXT(tblExpense[[#This Row],[Date]],"mmm")</f>
        <v>Oct</v>
      </c>
    </row>
    <row r="970" spans="1:6" x14ac:dyDescent="0.3">
      <c r="A970" s="1">
        <v>45589</v>
      </c>
      <c r="B970" t="s">
        <v>1536</v>
      </c>
      <c r="C970" t="s">
        <v>1535</v>
      </c>
      <c r="D970">
        <v>21399</v>
      </c>
      <c r="E970">
        <f>MONTH(tblExpense[[#This Row],[Date]])</f>
        <v>10</v>
      </c>
      <c r="F970" t="str">
        <f>TEXT(tblExpense[[#This Row],[Date]],"mmm")</f>
        <v>Oct</v>
      </c>
    </row>
    <row r="971" spans="1:6" x14ac:dyDescent="0.3">
      <c r="A971" s="1">
        <v>45571</v>
      </c>
      <c r="B971" t="s">
        <v>1529</v>
      </c>
      <c r="C971" t="s">
        <v>1530</v>
      </c>
      <c r="D971">
        <v>88235</v>
      </c>
      <c r="E971">
        <f>MONTH(tblExpense[[#This Row],[Date]])</f>
        <v>10</v>
      </c>
      <c r="F971" t="str">
        <f>TEXT(tblExpense[[#This Row],[Date]],"mmm")</f>
        <v>Oct</v>
      </c>
    </row>
    <row r="972" spans="1:6" x14ac:dyDescent="0.3">
      <c r="A972" s="1">
        <v>45566</v>
      </c>
      <c r="B972" t="s">
        <v>1533</v>
      </c>
      <c r="C972" t="s">
        <v>1534</v>
      </c>
      <c r="D972">
        <v>75020</v>
      </c>
      <c r="E972">
        <f>MONTH(tblExpense[[#This Row],[Date]])</f>
        <v>10</v>
      </c>
      <c r="F972" t="str">
        <f>TEXT(tblExpense[[#This Row],[Date]],"mmm")</f>
        <v>Oct</v>
      </c>
    </row>
    <row r="973" spans="1:6" x14ac:dyDescent="0.3">
      <c r="A973" s="1">
        <v>45584</v>
      </c>
      <c r="B973" t="s">
        <v>1533</v>
      </c>
      <c r="C973" t="s">
        <v>1530</v>
      </c>
      <c r="D973">
        <v>63650</v>
      </c>
      <c r="E973">
        <f>MONTH(tblExpense[[#This Row],[Date]])</f>
        <v>10</v>
      </c>
      <c r="F973" t="str">
        <f>TEXT(tblExpense[[#This Row],[Date]],"mmm")</f>
        <v>Oct</v>
      </c>
    </row>
    <row r="974" spans="1:6" x14ac:dyDescent="0.3">
      <c r="A974" s="1">
        <v>45589</v>
      </c>
      <c r="B974" t="s">
        <v>1531</v>
      </c>
      <c r="C974" t="s">
        <v>1532</v>
      </c>
      <c r="D974">
        <v>75037</v>
      </c>
      <c r="E974">
        <f>MONTH(tblExpense[[#This Row],[Date]])</f>
        <v>10</v>
      </c>
      <c r="F974" t="str">
        <f>TEXT(tblExpense[[#This Row],[Date]],"mmm")</f>
        <v>Oct</v>
      </c>
    </row>
    <row r="975" spans="1:6" x14ac:dyDescent="0.3">
      <c r="A975" s="1">
        <v>45593</v>
      </c>
      <c r="B975" t="s">
        <v>1533</v>
      </c>
      <c r="C975" t="s">
        <v>1535</v>
      </c>
      <c r="D975">
        <v>98642</v>
      </c>
      <c r="E975">
        <f>MONTH(tblExpense[[#This Row],[Date]])</f>
        <v>10</v>
      </c>
      <c r="F975" t="str">
        <f>TEXT(tblExpense[[#This Row],[Date]],"mmm")</f>
        <v>Oct</v>
      </c>
    </row>
    <row r="976" spans="1:6" x14ac:dyDescent="0.3">
      <c r="A976" s="1">
        <v>45570</v>
      </c>
      <c r="B976" t="s">
        <v>1531</v>
      </c>
      <c r="C976" t="s">
        <v>1537</v>
      </c>
      <c r="D976">
        <v>93821</v>
      </c>
      <c r="E976">
        <f>MONTH(tblExpense[[#This Row],[Date]])</f>
        <v>10</v>
      </c>
      <c r="F976" t="str">
        <f>TEXT(tblExpense[[#This Row],[Date]],"mmm")</f>
        <v>Oct</v>
      </c>
    </row>
    <row r="977" spans="1:6" x14ac:dyDescent="0.3">
      <c r="A977" s="1">
        <v>45575</v>
      </c>
      <c r="B977" t="s">
        <v>1538</v>
      </c>
      <c r="C977" t="s">
        <v>1537</v>
      </c>
      <c r="D977">
        <v>62709</v>
      </c>
      <c r="E977">
        <f>MONTH(tblExpense[[#This Row],[Date]])</f>
        <v>10</v>
      </c>
      <c r="F977" t="str">
        <f>TEXT(tblExpense[[#This Row],[Date]],"mmm")</f>
        <v>Oct</v>
      </c>
    </row>
    <row r="978" spans="1:6" x14ac:dyDescent="0.3">
      <c r="A978" s="1">
        <v>45577</v>
      </c>
      <c r="B978" t="s">
        <v>1538</v>
      </c>
      <c r="C978" t="s">
        <v>1532</v>
      </c>
      <c r="D978">
        <v>31396</v>
      </c>
      <c r="E978">
        <f>MONTH(tblExpense[[#This Row],[Date]])</f>
        <v>10</v>
      </c>
      <c r="F978" t="str">
        <f>TEXT(tblExpense[[#This Row],[Date]],"mmm")</f>
        <v>Oct</v>
      </c>
    </row>
    <row r="979" spans="1:6" x14ac:dyDescent="0.3">
      <c r="A979" s="1">
        <v>45572</v>
      </c>
      <c r="B979" t="s">
        <v>1531</v>
      </c>
      <c r="C979" t="s">
        <v>1537</v>
      </c>
      <c r="D979">
        <v>55278</v>
      </c>
      <c r="E979">
        <f>MONTH(tblExpense[[#This Row],[Date]])</f>
        <v>10</v>
      </c>
      <c r="F979" t="str">
        <f>TEXT(tblExpense[[#This Row],[Date]],"mmm")</f>
        <v>Oct</v>
      </c>
    </row>
    <row r="980" spans="1:6" x14ac:dyDescent="0.3">
      <c r="A980" s="1">
        <v>45588</v>
      </c>
      <c r="B980" t="s">
        <v>1536</v>
      </c>
      <c r="C980" t="s">
        <v>1534</v>
      </c>
      <c r="D980">
        <v>85332</v>
      </c>
      <c r="E980">
        <f>MONTH(tblExpense[[#This Row],[Date]])</f>
        <v>10</v>
      </c>
      <c r="F980" t="str">
        <f>TEXT(tblExpense[[#This Row],[Date]],"mmm")</f>
        <v>Oct</v>
      </c>
    </row>
    <row r="981" spans="1:6" x14ac:dyDescent="0.3">
      <c r="A981" s="1">
        <v>45593</v>
      </c>
      <c r="B981" t="s">
        <v>1536</v>
      </c>
      <c r="C981" t="s">
        <v>1534</v>
      </c>
      <c r="D981">
        <v>98000</v>
      </c>
      <c r="E981">
        <f>MONTH(tblExpense[[#This Row],[Date]])</f>
        <v>10</v>
      </c>
      <c r="F981" t="str">
        <f>TEXT(tblExpense[[#This Row],[Date]],"mmm")</f>
        <v>Oct</v>
      </c>
    </row>
    <row r="982" spans="1:6" x14ac:dyDescent="0.3">
      <c r="A982" s="1">
        <v>45577</v>
      </c>
      <c r="B982" t="s">
        <v>1536</v>
      </c>
      <c r="C982" t="s">
        <v>1532</v>
      </c>
      <c r="D982">
        <v>25621</v>
      </c>
      <c r="E982">
        <f>MONTH(tblExpense[[#This Row],[Date]])</f>
        <v>10</v>
      </c>
      <c r="F982" t="str">
        <f>TEXT(tblExpense[[#This Row],[Date]],"mmm")</f>
        <v>Oct</v>
      </c>
    </row>
    <row r="983" spans="1:6" x14ac:dyDescent="0.3">
      <c r="A983" s="1">
        <v>45578</v>
      </c>
      <c r="B983" t="s">
        <v>1538</v>
      </c>
      <c r="C983" t="s">
        <v>1534</v>
      </c>
      <c r="D983">
        <v>51039</v>
      </c>
      <c r="E983">
        <f>MONTH(tblExpense[[#This Row],[Date]])</f>
        <v>10</v>
      </c>
      <c r="F983" t="str">
        <f>TEXT(tblExpense[[#This Row],[Date]],"mmm")</f>
        <v>Oct</v>
      </c>
    </row>
    <row r="984" spans="1:6" x14ac:dyDescent="0.3">
      <c r="A984" s="1">
        <v>45589</v>
      </c>
      <c r="B984" t="s">
        <v>1531</v>
      </c>
      <c r="C984" t="s">
        <v>1535</v>
      </c>
      <c r="D984">
        <v>10828</v>
      </c>
      <c r="E984">
        <f>MONTH(tblExpense[[#This Row],[Date]])</f>
        <v>10</v>
      </c>
      <c r="F984" t="str">
        <f>TEXT(tblExpense[[#This Row],[Date]],"mmm")</f>
        <v>Oct</v>
      </c>
    </row>
    <row r="985" spans="1:6" x14ac:dyDescent="0.3">
      <c r="A985" s="1">
        <v>45596</v>
      </c>
      <c r="B985" t="s">
        <v>1531</v>
      </c>
      <c r="C985" t="s">
        <v>1537</v>
      </c>
      <c r="D985">
        <v>22877</v>
      </c>
      <c r="E985">
        <f>MONTH(tblExpense[[#This Row],[Date]])</f>
        <v>10</v>
      </c>
      <c r="F985" t="str">
        <f>TEXT(tblExpense[[#This Row],[Date]],"mmm")</f>
        <v>Oct</v>
      </c>
    </row>
    <row r="986" spans="1:6" x14ac:dyDescent="0.3">
      <c r="A986" s="1">
        <v>45596</v>
      </c>
      <c r="B986" t="s">
        <v>1538</v>
      </c>
      <c r="C986" t="s">
        <v>1530</v>
      </c>
      <c r="D986">
        <v>30371</v>
      </c>
      <c r="E986">
        <f>MONTH(tblExpense[[#This Row],[Date]])</f>
        <v>10</v>
      </c>
      <c r="F986" t="str">
        <f>TEXT(tblExpense[[#This Row],[Date]],"mmm")</f>
        <v>Oct</v>
      </c>
    </row>
    <row r="987" spans="1:6" x14ac:dyDescent="0.3">
      <c r="A987" s="1">
        <v>45573</v>
      </c>
      <c r="B987" t="s">
        <v>1533</v>
      </c>
      <c r="C987" t="s">
        <v>1532</v>
      </c>
      <c r="D987">
        <v>81929</v>
      </c>
      <c r="E987">
        <f>MONTH(tblExpense[[#This Row],[Date]])</f>
        <v>10</v>
      </c>
      <c r="F987" t="str">
        <f>TEXT(tblExpense[[#This Row],[Date]],"mmm")</f>
        <v>Oct</v>
      </c>
    </row>
    <row r="988" spans="1:6" x14ac:dyDescent="0.3">
      <c r="A988" s="1">
        <v>45578</v>
      </c>
      <c r="B988" t="s">
        <v>1536</v>
      </c>
      <c r="C988" t="s">
        <v>1534</v>
      </c>
      <c r="D988">
        <v>83610</v>
      </c>
      <c r="E988">
        <f>MONTH(tblExpense[[#This Row],[Date]])</f>
        <v>10</v>
      </c>
      <c r="F988" t="str">
        <f>TEXT(tblExpense[[#This Row],[Date]],"mmm")</f>
        <v>Oct</v>
      </c>
    </row>
    <row r="989" spans="1:6" x14ac:dyDescent="0.3">
      <c r="A989" s="1">
        <v>45587</v>
      </c>
      <c r="B989" t="s">
        <v>1538</v>
      </c>
      <c r="C989" t="s">
        <v>1537</v>
      </c>
      <c r="D989">
        <v>81058</v>
      </c>
      <c r="E989">
        <f>MONTH(tblExpense[[#This Row],[Date]])</f>
        <v>10</v>
      </c>
      <c r="F989" t="str">
        <f>TEXT(tblExpense[[#This Row],[Date]],"mmm")</f>
        <v>Oct</v>
      </c>
    </row>
    <row r="990" spans="1:6" x14ac:dyDescent="0.3">
      <c r="A990" s="1">
        <v>45600</v>
      </c>
      <c r="B990" t="s">
        <v>1536</v>
      </c>
      <c r="C990" t="s">
        <v>1535</v>
      </c>
      <c r="D990">
        <v>48147</v>
      </c>
      <c r="E990">
        <f>MONTH(tblExpense[[#This Row],[Date]])</f>
        <v>11</v>
      </c>
      <c r="F990" t="str">
        <f>TEXT(tblExpense[[#This Row],[Date]],"mmm")</f>
        <v>Nov</v>
      </c>
    </row>
    <row r="991" spans="1:6" x14ac:dyDescent="0.3">
      <c r="A991" s="1">
        <v>45621</v>
      </c>
      <c r="B991" t="s">
        <v>1538</v>
      </c>
      <c r="C991" t="s">
        <v>1537</v>
      </c>
      <c r="D991">
        <v>68882</v>
      </c>
      <c r="E991">
        <f>MONTH(tblExpense[[#This Row],[Date]])</f>
        <v>11</v>
      </c>
      <c r="F991" t="str">
        <f>TEXT(tblExpense[[#This Row],[Date]],"mmm")</f>
        <v>Nov</v>
      </c>
    </row>
    <row r="992" spans="1:6" x14ac:dyDescent="0.3">
      <c r="A992" s="1">
        <v>45618</v>
      </c>
      <c r="B992" t="s">
        <v>1529</v>
      </c>
      <c r="C992" t="s">
        <v>1530</v>
      </c>
      <c r="D992">
        <v>96749</v>
      </c>
      <c r="E992">
        <f>MONTH(tblExpense[[#This Row],[Date]])</f>
        <v>11</v>
      </c>
      <c r="F992" t="str">
        <f>TEXT(tblExpense[[#This Row],[Date]],"mmm")</f>
        <v>Nov</v>
      </c>
    </row>
    <row r="993" spans="1:6" x14ac:dyDescent="0.3">
      <c r="A993" s="1">
        <v>45621</v>
      </c>
      <c r="B993" t="s">
        <v>1529</v>
      </c>
      <c r="C993" t="s">
        <v>1532</v>
      </c>
      <c r="D993">
        <v>33071</v>
      </c>
      <c r="E993">
        <f>MONTH(tblExpense[[#This Row],[Date]])</f>
        <v>11</v>
      </c>
      <c r="F993" t="str">
        <f>TEXT(tblExpense[[#This Row],[Date]],"mmm")</f>
        <v>Nov</v>
      </c>
    </row>
    <row r="994" spans="1:6" x14ac:dyDescent="0.3">
      <c r="A994" s="1">
        <v>45620</v>
      </c>
      <c r="B994" t="s">
        <v>1529</v>
      </c>
      <c r="C994" t="s">
        <v>1535</v>
      </c>
      <c r="D994">
        <v>72562</v>
      </c>
      <c r="E994">
        <f>MONTH(tblExpense[[#This Row],[Date]])</f>
        <v>11</v>
      </c>
      <c r="F994" t="str">
        <f>TEXT(tblExpense[[#This Row],[Date]],"mmm")</f>
        <v>Nov</v>
      </c>
    </row>
    <row r="995" spans="1:6" x14ac:dyDescent="0.3">
      <c r="A995" s="1">
        <v>45626</v>
      </c>
      <c r="B995" t="s">
        <v>1531</v>
      </c>
      <c r="C995" t="s">
        <v>1532</v>
      </c>
      <c r="D995">
        <v>26181</v>
      </c>
      <c r="E995">
        <f>MONTH(tblExpense[[#This Row],[Date]])</f>
        <v>11</v>
      </c>
      <c r="F995" t="str">
        <f>TEXT(tblExpense[[#This Row],[Date]],"mmm")</f>
        <v>Nov</v>
      </c>
    </row>
    <row r="996" spans="1:6" x14ac:dyDescent="0.3">
      <c r="A996" s="1">
        <v>45622</v>
      </c>
      <c r="B996" t="s">
        <v>1538</v>
      </c>
      <c r="C996" t="s">
        <v>1532</v>
      </c>
      <c r="D996">
        <v>36835</v>
      </c>
      <c r="E996">
        <f>MONTH(tblExpense[[#This Row],[Date]])</f>
        <v>11</v>
      </c>
      <c r="F996" t="str">
        <f>TEXT(tblExpense[[#This Row],[Date]],"mmm")</f>
        <v>Nov</v>
      </c>
    </row>
    <row r="997" spans="1:6" x14ac:dyDescent="0.3">
      <c r="A997" s="1">
        <v>45602</v>
      </c>
      <c r="B997" t="s">
        <v>1536</v>
      </c>
      <c r="C997" t="s">
        <v>1537</v>
      </c>
      <c r="D997">
        <v>48836</v>
      </c>
      <c r="E997">
        <f>MONTH(tblExpense[[#This Row],[Date]])</f>
        <v>11</v>
      </c>
      <c r="F997" t="str">
        <f>TEXT(tblExpense[[#This Row],[Date]],"mmm")</f>
        <v>Nov</v>
      </c>
    </row>
    <row r="998" spans="1:6" x14ac:dyDescent="0.3">
      <c r="A998" s="1">
        <v>45599</v>
      </c>
      <c r="B998" t="s">
        <v>1533</v>
      </c>
      <c r="C998" t="s">
        <v>1535</v>
      </c>
      <c r="D998">
        <v>99200</v>
      </c>
      <c r="E998">
        <f>MONTH(tblExpense[[#This Row],[Date]])</f>
        <v>11</v>
      </c>
      <c r="F998" t="str">
        <f>TEXT(tblExpense[[#This Row],[Date]],"mmm")</f>
        <v>Nov</v>
      </c>
    </row>
    <row r="999" spans="1:6" x14ac:dyDescent="0.3">
      <c r="A999" s="1">
        <v>45617</v>
      </c>
      <c r="B999" t="s">
        <v>1536</v>
      </c>
      <c r="C999" t="s">
        <v>1537</v>
      </c>
      <c r="D999">
        <v>19112</v>
      </c>
      <c r="E999">
        <f>MONTH(tblExpense[[#This Row],[Date]])</f>
        <v>11</v>
      </c>
      <c r="F999" t="str">
        <f>TEXT(tblExpense[[#This Row],[Date]],"mmm")</f>
        <v>Nov</v>
      </c>
    </row>
    <row r="1000" spans="1:6" x14ac:dyDescent="0.3">
      <c r="A1000" s="1">
        <v>45623</v>
      </c>
      <c r="B1000" t="s">
        <v>1529</v>
      </c>
      <c r="C1000" t="s">
        <v>1535</v>
      </c>
      <c r="D1000">
        <v>93854</v>
      </c>
      <c r="E1000">
        <f>MONTH(tblExpense[[#This Row],[Date]])</f>
        <v>11</v>
      </c>
      <c r="F1000" t="str">
        <f>TEXT(tblExpense[[#This Row],[Date]],"mmm")</f>
        <v>Nov</v>
      </c>
    </row>
    <row r="1001" spans="1:6" x14ac:dyDescent="0.3">
      <c r="A1001" s="1">
        <v>45626</v>
      </c>
      <c r="B1001" t="s">
        <v>1533</v>
      </c>
      <c r="C1001" t="s">
        <v>1534</v>
      </c>
      <c r="D1001">
        <v>82160</v>
      </c>
      <c r="E1001">
        <f>MONTH(tblExpense[[#This Row],[Date]])</f>
        <v>11</v>
      </c>
      <c r="F1001" t="str">
        <f>TEXT(tblExpense[[#This Row],[Date]],"mmm")</f>
        <v>Nov</v>
      </c>
    </row>
    <row r="1002" spans="1:6" x14ac:dyDescent="0.3">
      <c r="A1002" s="1">
        <v>45615</v>
      </c>
      <c r="B1002" t="s">
        <v>1531</v>
      </c>
      <c r="C1002" t="s">
        <v>1535</v>
      </c>
      <c r="D1002">
        <v>54113</v>
      </c>
      <c r="E1002">
        <f>MONTH(tblExpense[[#This Row],[Date]])</f>
        <v>11</v>
      </c>
      <c r="F1002" t="str">
        <f>TEXT(tblExpense[[#This Row],[Date]],"mmm")</f>
        <v>Nov</v>
      </c>
    </row>
    <row r="1003" spans="1:6" x14ac:dyDescent="0.3">
      <c r="A1003" s="1">
        <v>45624</v>
      </c>
      <c r="B1003" t="s">
        <v>1531</v>
      </c>
      <c r="C1003" t="s">
        <v>1535</v>
      </c>
      <c r="D1003">
        <v>25394</v>
      </c>
      <c r="E1003">
        <f>MONTH(tblExpense[[#This Row],[Date]])</f>
        <v>11</v>
      </c>
      <c r="F1003" t="str">
        <f>TEXT(tblExpense[[#This Row],[Date]],"mmm")</f>
        <v>Nov</v>
      </c>
    </row>
    <row r="1004" spans="1:6" x14ac:dyDescent="0.3">
      <c r="A1004" s="1">
        <v>45610</v>
      </c>
      <c r="B1004" t="s">
        <v>1538</v>
      </c>
      <c r="C1004" t="s">
        <v>1534</v>
      </c>
      <c r="D1004">
        <v>25367</v>
      </c>
      <c r="E1004">
        <f>MONTH(tblExpense[[#This Row],[Date]])</f>
        <v>11</v>
      </c>
      <c r="F1004" t="str">
        <f>TEXT(tblExpense[[#This Row],[Date]],"mmm")</f>
        <v>Nov</v>
      </c>
    </row>
    <row r="1005" spans="1:6" x14ac:dyDescent="0.3">
      <c r="A1005" s="1">
        <v>45620</v>
      </c>
      <c r="B1005" t="s">
        <v>1533</v>
      </c>
      <c r="C1005" t="s">
        <v>1537</v>
      </c>
      <c r="D1005">
        <v>84057</v>
      </c>
      <c r="E1005">
        <f>MONTH(tblExpense[[#This Row],[Date]])</f>
        <v>11</v>
      </c>
      <c r="F1005" t="str">
        <f>TEXT(tblExpense[[#This Row],[Date]],"mmm")</f>
        <v>Nov</v>
      </c>
    </row>
    <row r="1006" spans="1:6" x14ac:dyDescent="0.3">
      <c r="A1006" s="1">
        <v>45619</v>
      </c>
      <c r="B1006" t="s">
        <v>1529</v>
      </c>
      <c r="C1006" t="s">
        <v>1530</v>
      </c>
      <c r="D1006">
        <v>21160</v>
      </c>
      <c r="E1006">
        <f>MONTH(tblExpense[[#This Row],[Date]])</f>
        <v>11</v>
      </c>
      <c r="F1006" t="str">
        <f>TEXT(tblExpense[[#This Row],[Date]],"mmm")</f>
        <v>Nov</v>
      </c>
    </row>
    <row r="1007" spans="1:6" x14ac:dyDescent="0.3">
      <c r="A1007" s="1">
        <v>45608</v>
      </c>
      <c r="B1007" t="s">
        <v>1529</v>
      </c>
      <c r="C1007" t="s">
        <v>1532</v>
      </c>
      <c r="D1007">
        <v>21077</v>
      </c>
      <c r="E1007">
        <f>MONTH(tblExpense[[#This Row],[Date]])</f>
        <v>11</v>
      </c>
      <c r="F1007" t="str">
        <f>TEXT(tblExpense[[#This Row],[Date]],"mmm")</f>
        <v>Nov</v>
      </c>
    </row>
    <row r="1008" spans="1:6" x14ac:dyDescent="0.3">
      <c r="A1008" s="1">
        <v>45618</v>
      </c>
      <c r="B1008" t="s">
        <v>1529</v>
      </c>
      <c r="C1008" t="s">
        <v>1535</v>
      </c>
      <c r="D1008">
        <v>6111</v>
      </c>
      <c r="E1008">
        <f>MONTH(tblExpense[[#This Row],[Date]])</f>
        <v>11</v>
      </c>
      <c r="F1008" t="str">
        <f>TEXT(tblExpense[[#This Row],[Date]],"mmm")</f>
        <v>Nov</v>
      </c>
    </row>
    <row r="1009" spans="1:6" x14ac:dyDescent="0.3">
      <c r="A1009" s="1">
        <v>45610</v>
      </c>
      <c r="B1009" t="s">
        <v>1536</v>
      </c>
      <c r="C1009" t="s">
        <v>1534</v>
      </c>
      <c r="D1009">
        <v>92908</v>
      </c>
      <c r="E1009">
        <f>MONTH(tblExpense[[#This Row],[Date]])</f>
        <v>11</v>
      </c>
      <c r="F1009" t="str">
        <f>TEXT(tblExpense[[#This Row],[Date]],"mmm")</f>
        <v>Nov</v>
      </c>
    </row>
    <row r="1010" spans="1:6" x14ac:dyDescent="0.3">
      <c r="A1010" s="1">
        <v>45597</v>
      </c>
      <c r="B1010" t="s">
        <v>1531</v>
      </c>
      <c r="C1010" t="s">
        <v>1537</v>
      </c>
      <c r="D1010">
        <v>53478</v>
      </c>
      <c r="E1010">
        <f>MONTH(tblExpense[[#This Row],[Date]])</f>
        <v>11</v>
      </c>
      <c r="F1010" t="str">
        <f>TEXT(tblExpense[[#This Row],[Date]],"mmm")</f>
        <v>Nov</v>
      </c>
    </row>
    <row r="1011" spans="1:6" x14ac:dyDescent="0.3">
      <c r="A1011" s="1">
        <v>45598</v>
      </c>
      <c r="B1011" t="s">
        <v>1538</v>
      </c>
      <c r="C1011" t="s">
        <v>1534</v>
      </c>
      <c r="D1011">
        <v>43768</v>
      </c>
      <c r="E1011">
        <f>MONTH(tblExpense[[#This Row],[Date]])</f>
        <v>11</v>
      </c>
      <c r="F1011" t="str">
        <f>TEXT(tblExpense[[#This Row],[Date]],"mmm")</f>
        <v>Nov</v>
      </c>
    </row>
    <row r="1012" spans="1:6" x14ac:dyDescent="0.3">
      <c r="A1012" s="1">
        <v>45615</v>
      </c>
      <c r="B1012" t="s">
        <v>1533</v>
      </c>
      <c r="C1012" t="s">
        <v>1532</v>
      </c>
      <c r="D1012">
        <v>14972</v>
      </c>
      <c r="E1012">
        <f>MONTH(tblExpense[[#This Row],[Date]])</f>
        <v>11</v>
      </c>
      <c r="F1012" t="str">
        <f>TEXT(tblExpense[[#This Row],[Date]],"mmm")</f>
        <v>Nov</v>
      </c>
    </row>
    <row r="1013" spans="1:6" x14ac:dyDescent="0.3">
      <c r="A1013" s="1">
        <v>45622</v>
      </c>
      <c r="B1013" t="s">
        <v>1538</v>
      </c>
      <c r="C1013" t="s">
        <v>1537</v>
      </c>
      <c r="D1013">
        <v>52230</v>
      </c>
      <c r="E1013">
        <f>MONTH(tblExpense[[#This Row],[Date]])</f>
        <v>11</v>
      </c>
      <c r="F1013" t="str">
        <f>TEXT(tblExpense[[#This Row],[Date]],"mmm")</f>
        <v>Nov</v>
      </c>
    </row>
    <row r="1014" spans="1:6" x14ac:dyDescent="0.3">
      <c r="A1014" s="1">
        <v>45609</v>
      </c>
      <c r="B1014" t="s">
        <v>1533</v>
      </c>
      <c r="C1014" t="s">
        <v>1530</v>
      </c>
      <c r="D1014">
        <v>30998</v>
      </c>
      <c r="E1014">
        <f>MONTH(tblExpense[[#This Row],[Date]])</f>
        <v>11</v>
      </c>
      <c r="F1014" t="str">
        <f>TEXT(tblExpense[[#This Row],[Date]],"mmm")</f>
        <v>Nov</v>
      </c>
    </row>
    <row r="1015" spans="1:6" x14ac:dyDescent="0.3">
      <c r="A1015" s="1">
        <v>45600</v>
      </c>
      <c r="B1015" t="s">
        <v>1538</v>
      </c>
      <c r="C1015" t="s">
        <v>1530</v>
      </c>
      <c r="D1015">
        <v>36089</v>
      </c>
      <c r="E1015">
        <f>MONTH(tblExpense[[#This Row],[Date]])</f>
        <v>11</v>
      </c>
      <c r="F1015" t="str">
        <f>TEXT(tblExpense[[#This Row],[Date]],"mmm")</f>
        <v>Nov</v>
      </c>
    </row>
    <row r="1016" spans="1:6" x14ac:dyDescent="0.3">
      <c r="A1016" s="1">
        <v>45608</v>
      </c>
      <c r="B1016" t="s">
        <v>1538</v>
      </c>
      <c r="C1016" t="s">
        <v>1532</v>
      </c>
      <c r="D1016">
        <v>86275</v>
      </c>
      <c r="E1016">
        <f>MONTH(tblExpense[[#This Row],[Date]])</f>
        <v>11</v>
      </c>
      <c r="F1016" t="str">
        <f>TEXT(tblExpense[[#This Row],[Date]],"mmm")</f>
        <v>Nov</v>
      </c>
    </row>
    <row r="1017" spans="1:6" x14ac:dyDescent="0.3">
      <c r="A1017" s="1">
        <v>45603</v>
      </c>
      <c r="B1017" t="s">
        <v>1538</v>
      </c>
      <c r="C1017" t="s">
        <v>1534</v>
      </c>
      <c r="D1017">
        <v>33254</v>
      </c>
      <c r="E1017">
        <f>MONTH(tblExpense[[#This Row],[Date]])</f>
        <v>11</v>
      </c>
      <c r="F1017" t="str">
        <f>TEXT(tblExpense[[#This Row],[Date]],"mmm")</f>
        <v>Nov</v>
      </c>
    </row>
    <row r="1018" spans="1:6" x14ac:dyDescent="0.3">
      <c r="A1018" s="1">
        <v>45601</v>
      </c>
      <c r="B1018" t="s">
        <v>1533</v>
      </c>
      <c r="C1018" t="s">
        <v>1535</v>
      </c>
      <c r="D1018">
        <v>79363</v>
      </c>
      <c r="E1018">
        <f>MONTH(tblExpense[[#This Row],[Date]])</f>
        <v>11</v>
      </c>
      <c r="F1018" t="str">
        <f>TEXT(tblExpense[[#This Row],[Date]],"mmm")</f>
        <v>Nov</v>
      </c>
    </row>
    <row r="1019" spans="1:6" x14ac:dyDescent="0.3">
      <c r="A1019" s="1">
        <v>45621</v>
      </c>
      <c r="B1019" t="s">
        <v>1536</v>
      </c>
      <c r="C1019" t="s">
        <v>1537</v>
      </c>
      <c r="D1019">
        <v>14872</v>
      </c>
      <c r="E1019">
        <f>MONTH(tblExpense[[#This Row],[Date]])</f>
        <v>11</v>
      </c>
      <c r="F1019" t="str">
        <f>TEXT(tblExpense[[#This Row],[Date]],"mmm")</f>
        <v>Nov</v>
      </c>
    </row>
    <row r="1020" spans="1:6" x14ac:dyDescent="0.3">
      <c r="A1020" s="1">
        <v>45617</v>
      </c>
      <c r="B1020" t="s">
        <v>1529</v>
      </c>
      <c r="C1020" t="s">
        <v>1537</v>
      </c>
      <c r="D1020">
        <v>59027</v>
      </c>
      <c r="E1020">
        <f>MONTH(tblExpense[[#This Row],[Date]])</f>
        <v>11</v>
      </c>
      <c r="F1020" t="str">
        <f>TEXT(tblExpense[[#This Row],[Date]],"mmm")</f>
        <v>Nov</v>
      </c>
    </row>
    <row r="1021" spans="1:6" x14ac:dyDescent="0.3">
      <c r="A1021" s="1">
        <v>45615</v>
      </c>
      <c r="B1021" t="s">
        <v>1529</v>
      </c>
      <c r="C1021" t="s">
        <v>1535</v>
      </c>
      <c r="D1021">
        <v>98303</v>
      </c>
      <c r="E1021">
        <f>MONTH(tblExpense[[#This Row],[Date]])</f>
        <v>11</v>
      </c>
      <c r="F1021" t="str">
        <f>TEXT(tblExpense[[#This Row],[Date]],"mmm")</f>
        <v>Nov</v>
      </c>
    </row>
    <row r="1022" spans="1:6" x14ac:dyDescent="0.3">
      <c r="A1022" s="1">
        <v>45612</v>
      </c>
      <c r="B1022" t="s">
        <v>1533</v>
      </c>
      <c r="C1022" t="s">
        <v>1534</v>
      </c>
      <c r="D1022">
        <v>51041</v>
      </c>
      <c r="E1022">
        <f>MONTH(tblExpense[[#This Row],[Date]])</f>
        <v>11</v>
      </c>
      <c r="F1022" t="str">
        <f>TEXT(tblExpense[[#This Row],[Date]],"mmm")</f>
        <v>Nov</v>
      </c>
    </row>
    <row r="1023" spans="1:6" x14ac:dyDescent="0.3">
      <c r="A1023" s="1">
        <v>45614</v>
      </c>
      <c r="B1023" t="s">
        <v>1536</v>
      </c>
      <c r="C1023" t="s">
        <v>1535</v>
      </c>
      <c r="D1023">
        <v>41823</v>
      </c>
      <c r="E1023">
        <f>MONTH(tblExpense[[#This Row],[Date]])</f>
        <v>11</v>
      </c>
      <c r="F1023" t="str">
        <f>TEXT(tblExpense[[#This Row],[Date]],"mmm")</f>
        <v>Nov</v>
      </c>
    </row>
    <row r="1024" spans="1:6" x14ac:dyDescent="0.3">
      <c r="A1024" s="1">
        <v>45607</v>
      </c>
      <c r="B1024" t="s">
        <v>1529</v>
      </c>
      <c r="C1024" t="s">
        <v>1534</v>
      </c>
      <c r="D1024">
        <v>99578</v>
      </c>
      <c r="E1024">
        <f>MONTH(tblExpense[[#This Row],[Date]])</f>
        <v>11</v>
      </c>
      <c r="F1024" t="str">
        <f>TEXT(tblExpense[[#This Row],[Date]],"mmm")</f>
        <v>Nov</v>
      </c>
    </row>
    <row r="1025" spans="1:6" x14ac:dyDescent="0.3">
      <c r="A1025" s="1">
        <v>45623</v>
      </c>
      <c r="B1025" t="s">
        <v>1533</v>
      </c>
      <c r="C1025" t="s">
        <v>1530</v>
      </c>
      <c r="D1025">
        <v>50308</v>
      </c>
      <c r="E1025">
        <f>MONTH(tblExpense[[#This Row],[Date]])</f>
        <v>11</v>
      </c>
      <c r="F1025" t="str">
        <f>TEXT(tblExpense[[#This Row],[Date]],"mmm")</f>
        <v>Nov</v>
      </c>
    </row>
    <row r="1026" spans="1:6" x14ac:dyDescent="0.3">
      <c r="A1026" s="1">
        <v>45625</v>
      </c>
      <c r="B1026" t="s">
        <v>1529</v>
      </c>
      <c r="C1026" t="s">
        <v>1530</v>
      </c>
      <c r="D1026">
        <v>59853</v>
      </c>
      <c r="E1026">
        <f>MONTH(tblExpense[[#This Row],[Date]])</f>
        <v>11</v>
      </c>
      <c r="F1026" t="str">
        <f>TEXT(tblExpense[[#This Row],[Date]],"mmm")</f>
        <v>Nov</v>
      </c>
    </row>
    <row r="1027" spans="1:6" x14ac:dyDescent="0.3">
      <c r="A1027" s="1">
        <v>45598</v>
      </c>
      <c r="B1027" t="s">
        <v>1538</v>
      </c>
      <c r="C1027" t="s">
        <v>1530</v>
      </c>
      <c r="D1027">
        <v>42197</v>
      </c>
      <c r="E1027">
        <f>MONTH(tblExpense[[#This Row],[Date]])</f>
        <v>11</v>
      </c>
      <c r="F1027" t="str">
        <f>TEXT(tblExpense[[#This Row],[Date]],"mmm")</f>
        <v>Nov</v>
      </c>
    </row>
    <row r="1028" spans="1:6" x14ac:dyDescent="0.3">
      <c r="A1028" s="1">
        <v>45623</v>
      </c>
      <c r="B1028" t="s">
        <v>1533</v>
      </c>
      <c r="C1028" t="s">
        <v>1537</v>
      </c>
      <c r="D1028">
        <v>95446</v>
      </c>
      <c r="E1028">
        <f>MONTH(tblExpense[[#This Row],[Date]])</f>
        <v>11</v>
      </c>
      <c r="F1028" t="str">
        <f>TEXT(tblExpense[[#This Row],[Date]],"mmm")</f>
        <v>Nov</v>
      </c>
    </row>
    <row r="1029" spans="1:6" x14ac:dyDescent="0.3">
      <c r="A1029" s="1">
        <v>45617</v>
      </c>
      <c r="B1029" t="s">
        <v>1531</v>
      </c>
      <c r="C1029" t="s">
        <v>1537</v>
      </c>
      <c r="D1029">
        <v>8796</v>
      </c>
      <c r="E1029">
        <f>MONTH(tblExpense[[#This Row],[Date]])</f>
        <v>11</v>
      </c>
      <c r="F1029" t="str">
        <f>TEXT(tblExpense[[#This Row],[Date]],"mmm")</f>
        <v>Nov</v>
      </c>
    </row>
    <row r="1030" spans="1:6" x14ac:dyDescent="0.3">
      <c r="A1030" s="1">
        <v>45599</v>
      </c>
      <c r="B1030" t="s">
        <v>1531</v>
      </c>
      <c r="C1030" t="s">
        <v>1534</v>
      </c>
      <c r="D1030">
        <v>27600</v>
      </c>
      <c r="E1030">
        <f>MONTH(tblExpense[[#This Row],[Date]])</f>
        <v>11</v>
      </c>
      <c r="F1030" t="str">
        <f>TEXT(tblExpense[[#This Row],[Date]],"mmm")</f>
        <v>Nov</v>
      </c>
    </row>
    <row r="1031" spans="1:6" x14ac:dyDescent="0.3">
      <c r="A1031" s="1">
        <v>45612</v>
      </c>
      <c r="B1031" t="s">
        <v>1538</v>
      </c>
      <c r="C1031" t="s">
        <v>1535</v>
      </c>
      <c r="D1031">
        <v>16512</v>
      </c>
      <c r="E1031">
        <f>MONTH(tblExpense[[#This Row],[Date]])</f>
        <v>11</v>
      </c>
      <c r="F1031" t="str">
        <f>TEXT(tblExpense[[#This Row],[Date]],"mmm")</f>
        <v>Nov</v>
      </c>
    </row>
    <row r="1032" spans="1:6" x14ac:dyDescent="0.3">
      <c r="A1032" s="1">
        <v>45623</v>
      </c>
      <c r="B1032" t="s">
        <v>1533</v>
      </c>
      <c r="C1032" t="s">
        <v>1530</v>
      </c>
      <c r="D1032">
        <v>98526</v>
      </c>
      <c r="E1032">
        <f>MONTH(tblExpense[[#This Row],[Date]])</f>
        <v>11</v>
      </c>
      <c r="F1032" t="str">
        <f>TEXT(tblExpense[[#This Row],[Date]],"mmm")</f>
        <v>Nov</v>
      </c>
    </row>
    <row r="1033" spans="1:6" x14ac:dyDescent="0.3">
      <c r="A1033" s="1">
        <v>45598</v>
      </c>
      <c r="B1033" t="s">
        <v>1529</v>
      </c>
      <c r="C1033" t="s">
        <v>1530</v>
      </c>
      <c r="D1033">
        <v>46693</v>
      </c>
      <c r="E1033">
        <f>MONTH(tblExpense[[#This Row],[Date]])</f>
        <v>11</v>
      </c>
      <c r="F1033" t="str">
        <f>TEXT(tblExpense[[#This Row],[Date]],"mmm")</f>
        <v>Nov</v>
      </c>
    </row>
    <row r="1034" spans="1:6" x14ac:dyDescent="0.3">
      <c r="A1034" s="1">
        <v>45623</v>
      </c>
      <c r="B1034" t="s">
        <v>1533</v>
      </c>
      <c r="C1034" t="s">
        <v>1537</v>
      </c>
      <c r="D1034">
        <v>51431</v>
      </c>
      <c r="E1034">
        <f>MONTH(tblExpense[[#This Row],[Date]])</f>
        <v>11</v>
      </c>
      <c r="F1034" t="str">
        <f>TEXT(tblExpense[[#This Row],[Date]],"mmm")</f>
        <v>Nov</v>
      </c>
    </row>
    <row r="1035" spans="1:6" x14ac:dyDescent="0.3">
      <c r="A1035" s="1">
        <v>45597</v>
      </c>
      <c r="B1035" t="s">
        <v>1536</v>
      </c>
      <c r="C1035" t="s">
        <v>1535</v>
      </c>
      <c r="D1035">
        <v>23482</v>
      </c>
      <c r="E1035">
        <f>MONTH(tblExpense[[#This Row],[Date]])</f>
        <v>11</v>
      </c>
      <c r="F1035" t="str">
        <f>TEXT(tblExpense[[#This Row],[Date]],"mmm")</f>
        <v>Nov</v>
      </c>
    </row>
    <row r="1036" spans="1:6" x14ac:dyDescent="0.3">
      <c r="A1036" s="1">
        <v>45610</v>
      </c>
      <c r="B1036" t="s">
        <v>1538</v>
      </c>
      <c r="C1036" t="s">
        <v>1530</v>
      </c>
      <c r="D1036">
        <v>75128</v>
      </c>
      <c r="E1036">
        <f>MONTH(tblExpense[[#This Row],[Date]])</f>
        <v>11</v>
      </c>
      <c r="F1036" t="str">
        <f>TEXT(tblExpense[[#This Row],[Date]],"mmm")</f>
        <v>Nov</v>
      </c>
    </row>
    <row r="1037" spans="1:6" x14ac:dyDescent="0.3">
      <c r="A1037" s="1">
        <v>45609</v>
      </c>
      <c r="B1037" t="s">
        <v>1529</v>
      </c>
      <c r="C1037" t="s">
        <v>1535</v>
      </c>
      <c r="D1037">
        <v>8573</v>
      </c>
      <c r="E1037">
        <f>MONTH(tblExpense[[#This Row],[Date]])</f>
        <v>11</v>
      </c>
      <c r="F1037" t="str">
        <f>TEXT(tblExpense[[#This Row],[Date]],"mmm")</f>
        <v>Nov</v>
      </c>
    </row>
    <row r="1038" spans="1:6" x14ac:dyDescent="0.3">
      <c r="A1038" s="1">
        <v>45619</v>
      </c>
      <c r="B1038" t="s">
        <v>1529</v>
      </c>
      <c r="C1038" t="s">
        <v>1535</v>
      </c>
      <c r="D1038">
        <v>17373</v>
      </c>
      <c r="E1038">
        <f>MONTH(tblExpense[[#This Row],[Date]])</f>
        <v>11</v>
      </c>
      <c r="F1038" t="str">
        <f>TEXT(tblExpense[[#This Row],[Date]],"mmm")</f>
        <v>Nov</v>
      </c>
    </row>
    <row r="1039" spans="1:6" x14ac:dyDescent="0.3">
      <c r="A1039" s="1">
        <v>45620</v>
      </c>
      <c r="B1039" t="s">
        <v>1533</v>
      </c>
      <c r="C1039" t="s">
        <v>1530</v>
      </c>
      <c r="D1039">
        <v>82524</v>
      </c>
      <c r="E1039">
        <f>MONTH(tblExpense[[#This Row],[Date]])</f>
        <v>11</v>
      </c>
      <c r="F1039" t="str">
        <f>TEXT(tblExpense[[#This Row],[Date]],"mmm")</f>
        <v>Nov</v>
      </c>
    </row>
    <row r="1040" spans="1:6" x14ac:dyDescent="0.3">
      <c r="A1040" s="1">
        <v>45603</v>
      </c>
      <c r="B1040" t="s">
        <v>1529</v>
      </c>
      <c r="C1040" t="s">
        <v>1537</v>
      </c>
      <c r="D1040">
        <v>16787</v>
      </c>
      <c r="E1040">
        <f>MONTH(tblExpense[[#This Row],[Date]])</f>
        <v>11</v>
      </c>
      <c r="F1040" t="str">
        <f>TEXT(tblExpense[[#This Row],[Date]],"mmm")</f>
        <v>Nov</v>
      </c>
    </row>
    <row r="1041" spans="1:6" x14ac:dyDescent="0.3">
      <c r="A1041" s="1">
        <v>45618</v>
      </c>
      <c r="B1041" t="s">
        <v>1529</v>
      </c>
      <c r="C1041" t="s">
        <v>1535</v>
      </c>
      <c r="D1041">
        <v>99139</v>
      </c>
      <c r="E1041">
        <f>MONTH(tblExpense[[#This Row],[Date]])</f>
        <v>11</v>
      </c>
      <c r="F1041" t="str">
        <f>TEXT(tblExpense[[#This Row],[Date]],"mmm")</f>
        <v>Nov</v>
      </c>
    </row>
    <row r="1042" spans="1:6" x14ac:dyDescent="0.3">
      <c r="A1042" s="1">
        <v>45614</v>
      </c>
      <c r="B1042" t="s">
        <v>1538</v>
      </c>
      <c r="C1042" t="s">
        <v>1534</v>
      </c>
      <c r="D1042">
        <v>46384</v>
      </c>
      <c r="E1042">
        <f>MONTH(tblExpense[[#This Row],[Date]])</f>
        <v>11</v>
      </c>
      <c r="F1042" t="str">
        <f>TEXT(tblExpense[[#This Row],[Date]],"mmm")</f>
        <v>Nov</v>
      </c>
    </row>
    <row r="1043" spans="1:6" x14ac:dyDescent="0.3">
      <c r="A1043" s="1">
        <v>45599</v>
      </c>
      <c r="B1043" t="s">
        <v>1531</v>
      </c>
      <c r="C1043" t="s">
        <v>1532</v>
      </c>
      <c r="D1043">
        <v>68988</v>
      </c>
      <c r="E1043">
        <f>MONTH(tblExpense[[#This Row],[Date]])</f>
        <v>11</v>
      </c>
      <c r="F1043" t="str">
        <f>TEXT(tblExpense[[#This Row],[Date]],"mmm")</f>
        <v>Nov</v>
      </c>
    </row>
    <row r="1044" spans="1:6" x14ac:dyDescent="0.3">
      <c r="A1044" s="1">
        <v>45598</v>
      </c>
      <c r="B1044" t="s">
        <v>1533</v>
      </c>
      <c r="C1044" t="s">
        <v>1535</v>
      </c>
      <c r="D1044">
        <v>93330</v>
      </c>
      <c r="E1044">
        <f>MONTH(tblExpense[[#This Row],[Date]])</f>
        <v>11</v>
      </c>
      <c r="F1044" t="str">
        <f>TEXT(tblExpense[[#This Row],[Date]],"mmm")</f>
        <v>Nov</v>
      </c>
    </row>
    <row r="1045" spans="1:6" x14ac:dyDescent="0.3">
      <c r="A1045" s="1">
        <v>45616</v>
      </c>
      <c r="B1045" t="s">
        <v>1533</v>
      </c>
      <c r="C1045" t="s">
        <v>1534</v>
      </c>
      <c r="D1045">
        <v>61124</v>
      </c>
      <c r="E1045">
        <f>MONTH(tblExpense[[#This Row],[Date]])</f>
        <v>11</v>
      </c>
      <c r="F1045" t="str">
        <f>TEXT(tblExpense[[#This Row],[Date]],"mmm")</f>
        <v>Nov</v>
      </c>
    </row>
    <row r="1046" spans="1:6" x14ac:dyDescent="0.3">
      <c r="A1046" s="1">
        <v>45604</v>
      </c>
      <c r="B1046" t="s">
        <v>1536</v>
      </c>
      <c r="C1046" t="s">
        <v>1534</v>
      </c>
      <c r="D1046">
        <v>63930</v>
      </c>
      <c r="E1046">
        <f>MONTH(tblExpense[[#This Row],[Date]])</f>
        <v>11</v>
      </c>
      <c r="F1046" t="str">
        <f>TEXT(tblExpense[[#This Row],[Date]],"mmm")</f>
        <v>Nov</v>
      </c>
    </row>
    <row r="1047" spans="1:6" x14ac:dyDescent="0.3">
      <c r="A1047" s="1">
        <v>45620</v>
      </c>
      <c r="B1047" t="s">
        <v>1538</v>
      </c>
      <c r="C1047" t="s">
        <v>1532</v>
      </c>
      <c r="D1047">
        <v>38476</v>
      </c>
      <c r="E1047">
        <f>MONTH(tblExpense[[#This Row],[Date]])</f>
        <v>11</v>
      </c>
      <c r="F1047" t="str">
        <f>TEXT(tblExpense[[#This Row],[Date]],"mmm")</f>
        <v>Nov</v>
      </c>
    </row>
    <row r="1048" spans="1:6" x14ac:dyDescent="0.3">
      <c r="A1048" s="1">
        <v>45617</v>
      </c>
      <c r="B1048" t="s">
        <v>1529</v>
      </c>
      <c r="C1048" t="s">
        <v>1537</v>
      </c>
      <c r="D1048">
        <v>66770</v>
      </c>
      <c r="E1048">
        <f>MONTH(tblExpense[[#This Row],[Date]])</f>
        <v>11</v>
      </c>
      <c r="F1048" t="str">
        <f>TEXT(tblExpense[[#This Row],[Date]],"mmm")</f>
        <v>Nov</v>
      </c>
    </row>
    <row r="1049" spans="1:6" x14ac:dyDescent="0.3">
      <c r="A1049" s="1">
        <v>45606</v>
      </c>
      <c r="B1049" t="s">
        <v>1529</v>
      </c>
      <c r="C1049" t="s">
        <v>1535</v>
      </c>
      <c r="D1049">
        <v>72219</v>
      </c>
      <c r="E1049">
        <f>MONTH(tblExpense[[#This Row],[Date]])</f>
        <v>11</v>
      </c>
      <c r="F1049" t="str">
        <f>TEXT(tblExpense[[#This Row],[Date]],"mmm")</f>
        <v>Nov</v>
      </c>
    </row>
    <row r="1050" spans="1:6" x14ac:dyDescent="0.3">
      <c r="A1050" s="1">
        <v>45618</v>
      </c>
      <c r="B1050" t="s">
        <v>1529</v>
      </c>
      <c r="C1050" t="s">
        <v>1534</v>
      </c>
      <c r="D1050">
        <v>51373</v>
      </c>
      <c r="E1050">
        <f>MONTH(tblExpense[[#This Row],[Date]])</f>
        <v>11</v>
      </c>
      <c r="F1050" t="str">
        <f>TEXT(tblExpense[[#This Row],[Date]],"mmm")</f>
        <v>Nov</v>
      </c>
    </row>
    <row r="1051" spans="1:6" x14ac:dyDescent="0.3">
      <c r="A1051" s="1">
        <v>45605</v>
      </c>
      <c r="B1051" t="s">
        <v>1536</v>
      </c>
      <c r="C1051" t="s">
        <v>1537</v>
      </c>
      <c r="D1051">
        <v>35285</v>
      </c>
      <c r="E1051">
        <f>MONTH(tblExpense[[#This Row],[Date]])</f>
        <v>11</v>
      </c>
      <c r="F1051" t="str">
        <f>TEXT(tblExpense[[#This Row],[Date]],"mmm")</f>
        <v>Nov</v>
      </c>
    </row>
    <row r="1052" spans="1:6" x14ac:dyDescent="0.3">
      <c r="A1052" s="1">
        <v>45612</v>
      </c>
      <c r="B1052" t="s">
        <v>1533</v>
      </c>
      <c r="C1052" t="s">
        <v>1534</v>
      </c>
      <c r="D1052">
        <v>94541</v>
      </c>
      <c r="E1052">
        <f>MONTH(tblExpense[[#This Row],[Date]])</f>
        <v>11</v>
      </c>
      <c r="F1052" t="str">
        <f>TEXT(tblExpense[[#This Row],[Date]],"mmm")</f>
        <v>Nov</v>
      </c>
    </row>
    <row r="1053" spans="1:6" x14ac:dyDescent="0.3">
      <c r="A1053" s="1">
        <v>45603</v>
      </c>
      <c r="B1053" t="s">
        <v>1538</v>
      </c>
      <c r="C1053" t="s">
        <v>1530</v>
      </c>
      <c r="D1053">
        <v>20163</v>
      </c>
      <c r="E1053">
        <f>MONTH(tblExpense[[#This Row],[Date]])</f>
        <v>11</v>
      </c>
      <c r="F1053" t="str">
        <f>TEXT(tblExpense[[#This Row],[Date]],"mmm")</f>
        <v>Nov</v>
      </c>
    </row>
    <row r="1054" spans="1:6" x14ac:dyDescent="0.3">
      <c r="A1054" s="1">
        <v>45613</v>
      </c>
      <c r="B1054" t="s">
        <v>1533</v>
      </c>
      <c r="C1054" t="s">
        <v>1537</v>
      </c>
      <c r="D1054">
        <v>37959</v>
      </c>
      <c r="E1054">
        <f>MONTH(tblExpense[[#This Row],[Date]])</f>
        <v>11</v>
      </c>
      <c r="F1054" t="str">
        <f>TEXT(tblExpense[[#This Row],[Date]],"mmm")</f>
        <v>Nov</v>
      </c>
    </row>
    <row r="1055" spans="1:6" x14ac:dyDescent="0.3">
      <c r="A1055" s="1">
        <v>45625</v>
      </c>
      <c r="B1055" t="s">
        <v>1533</v>
      </c>
      <c r="C1055" t="s">
        <v>1535</v>
      </c>
      <c r="D1055">
        <v>50910</v>
      </c>
      <c r="E1055">
        <f>MONTH(tblExpense[[#This Row],[Date]])</f>
        <v>11</v>
      </c>
      <c r="F1055" t="str">
        <f>TEXT(tblExpense[[#This Row],[Date]],"mmm")</f>
        <v>Nov</v>
      </c>
    </row>
    <row r="1056" spans="1:6" x14ac:dyDescent="0.3">
      <c r="A1056" s="1">
        <v>45615</v>
      </c>
      <c r="B1056" t="s">
        <v>1529</v>
      </c>
      <c r="C1056" t="s">
        <v>1537</v>
      </c>
      <c r="D1056">
        <v>18374</v>
      </c>
      <c r="E1056">
        <f>MONTH(tblExpense[[#This Row],[Date]])</f>
        <v>11</v>
      </c>
      <c r="F1056" t="str">
        <f>TEXT(tblExpense[[#This Row],[Date]],"mmm")</f>
        <v>Nov</v>
      </c>
    </row>
    <row r="1057" spans="1:6" x14ac:dyDescent="0.3">
      <c r="A1057" s="1">
        <v>45624</v>
      </c>
      <c r="B1057" t="s">
        <v>1529</v>
      </c>
      <c r="C1057" t="s">
        <v>1535</v>
      </c>
      <c r="D1057">
        <v>31893</v>
      </c>
      <c r="E1057">
        <f>MONTH(tblExpense[[#This Row],[Date]])</f>
        <v>11</v>
      </c>
      <c r="F1057" t="str">
        <f>TEXT(tblExpense[[#This Row],[Date]],"mmm")</f>
        <v>Nov</v>
      </c>
    </row>
    <row r="1058" spans="1:6" x14ac:dyDescent="0.3">
      <c r="A1058" s="1">
        <v>45623</v>
      </c>
      <c r="B1058" t="s">
        <v>1531</v>
      </c>
      <c r="C1058" t="s">
        <v>1532</v>
      </c>
      <c r="D1058">
        <v>43144</v>
      </c>
      <c r="E1058">
        <f>MONTH(tblExpense[[#This Row],[Date]])</f>
        <v>11</v>
      </c>
      <c r="F1058" t="str">
        <f>TEXT(tblExpense[[#This Row],[Date]],"mmm")</f>
        <v>Nov</v>
      </c>
    </row>
    <row r="1059" spans="1:6" x14ac:dyDescent="0.3">
      <c r="A1059" s="1">
        <v>45601</v>
      </c>
      <c r="B1059" t="s">
        <v>1529</v>
      </c>
      <c r="C1059" t="s">
        <v>1530</v>
      </c>
      <c r="D1059">
        <v>99495</v>
      </c>
      <c r="E1059">
        <f>MONTH(tblExpense[[#This Row],[Date]])</f>
        <v>11</v>
      </c>
      <c r="F1059" t="str">
        <f>TEXT(tblExpense[[#This Row],[Date]],"mmm")</f>
        <v>Nov</v>
      </c>
    </row>
    <row r="1060" spans="1:6" x14ac:dyDescent="0.3">
      <c r="A1060" s="1">
        <v>45621</v>
      </c>
      <c r="B1060" t="s">
        <v>1529</v>
      </c>
      <c r="C1060" t="s">
        <v>1535</v>
      </c>
      <c r="D1060">
        <v>30034</v>
      </c>
      <c r="E1060">
        <f>MONTH(tblExpense[[#This Row],[Date]])</f>
        <v>11</v>
      </c>
      <c r="F1060" t="str">
        <f>TEXT(tblExpense[[#This Row],[Date]],"mmm")</f>
        <v>Nov</v>
      </c>
    </row>
    <row r="1061" spans="1:6" x14ac:dyDescent="0.3">
      <c r="A1061" s="1">
        <v>45606</v>
      </c>
      <c r="B1061" t="s">
        <v>1531</v>
      </c>
      <c r="C1061" t="s">
        <v>1537</v>
      </c>
      <c r="D1061">
        <v>10227</v>
      </c>
      <c r="E1061">
        <f>MONTH(tblExpense[[#This Row],[Date]])</f>
        <v>11</v>
      </c>
      <c r="F1061" t="str">
        <f>TEXT(tblExpense[[#This Row],[Date]],"mmm")</f>
        <v>Nov</v>
      </c>
    </row>
    <row r="1062" spans="1:6" x14ac:dyDescent="0.3">
      <c r="A1062" s="1">
        <v>45622</v>
      </c>
      <c r="B1062" t="s">
        <v>1536</v>
      </c>
      <c r="C1062" t="s">
        <v>1530</v>
      </c>
      <c r="D1062">
        <v>69566</v>
      </c>
      <c r="E1062">
        <f>MONTH(tblExpense[[#This Row],[Date]])</f>
        <v>11</v>
      </c>
      <c r="F1062" t="str">
        <f>TEXT(tblExpense[[#This Row],[Date]],"mmm")</f>
        <v>Nov</v>
      </c>
    </row>
    <row r="1063" spans="1:6" x14ac:dyDescent="0.3">
      <c r="A1063" s="1">
        <v>45618</v>
      </c>
      <c r="B1063" t="s">
        <v>1529</v>
      </c>
      <c r="C1063" t="s">
        <v>1530</v>
      </c>
      <c r="D1063">
        <v>27768</v>
      </c>
      <c r="E1063">
        <f>MONTH(tblExpense[[#This Row],[Date]])</f>
        <v>11</v>
      </c>
      <c r="F1063" t="str">
        <f>TEXT(tblExpense[[#This Row],[Date]],"mmm")</f>
        <v>Nov</v>
      </c>
    </row>
    <row r="1064" spans="1:6" x14ac:dyDescent="0.3">
      <c r="A1064" s="1">
        <v>45619</v>
      </c>
      <c r="B1064" t="s">
        <v>1538</v>
      </c>
      <c r="C1064" t="s">
        <v>1537</v>
      </c>
      <c r="D1064">
        <v>68664</v>
      </c>
      <c r="E1064">
        <f>MONTH(tblExpense[[#This Row],[Date]])</f>
        <v>11</v>
      </c>
      <c r="F1064" t="str">
        <f>TEXT(tblExpense[[#This Row],[Date]],"mmm")</f>
        <v>Nov</v>
      </c>
    </row>
    <row r="1065" spans="1:6" x14ac:dyDescent="0.3">
      <c r="A1065" s="1">
        <v>45601</v>
      </c>
      <c r="B1065" t="s">
        <v>1533</v>
      </c>
      <c r="C1065" t="s">
        <v>1532</v>
      </c>
      <c r="D1065">
        <v>15093</v>
      </c>
      <c r="E1065">
        <f>MONTH(tblExpense[[#This Row],[Date]])</f>
        <v>11</v>
      </c>
      <c r="F1065" t="str">
        <f>TEXT(tblExpense[[#This Row],[Date]],"mmm")</f>
        <v>Nov</v>
      </c>
    </row>
    <row r="1066" spans="1:6" x14ac:dyDescent="0.3">
      <c r="A1066" s="1">
        <v>45613</v>
      </c>
      <c r="B1066" t="s">
        <v>1529</v>
      </c>
      <c r="C1066" t="s">
        <v>1534</v>
      </c>
      <c r="D1066">
        <v>45639</v>
      </c>
      <c r="E1066">
        <f>MONTH(tblExpense[[#This Row],[Date]])</f>
        <v>11</v>
      </c>
      <c r="F1066" t="str">
        <f>TEXT(tblExpense[[#This Row],[Date]],"mmm")</f>
        <v>Nov</v>
      </c>
    </row>
    <row r="1067" spans="1:6" x14ac:dyDescent="0.3">
      <c r="A1067" s="1">
        <v>45617</v>
      </c>
      <c r="B1067" t="s">
        <v>1529</v>
      </c>
      <c r="C1067" t="s">
        <v>1530</v>
      </c>
      <c r="D1067">
        <v>27422</v>
      </c>
      <c r="E1067">
        <f>MONTH(tblExpense[[#This Row],[Date]])</f>
        <v>11</v>
      </c>
      <c r="F1067" t="str">
        <f>TEXT(tblExpense[[#This Row],[Date]],"mmm")</f>
        <v>Nov</v>
      </c>
    </row>
    <row r="1068" spans="1:6" x14ac:dyDescent="0.3">
      <c r="A1068" s="1">
        <v>45605</v>
      </c>
      <c r="B1068" t="s">
        <v>1536</v>
      </c>
      <c r="C1068" t="s">
        <v>1532</v>
      </c>
      <c r="D1068">
        <v>55859</v>
      </c>
      <c r="E1068">
        <f>MONTH(tblExpense[[#This Row],[Date]])</f>
        <v>11</v>
      </c>
      <c r="F1068" t="str">
        <f>TEXT(tblExpense[[#This Row],[Date]],"mmm")</f>
        <v>Nov</v>
      </c>
    </row>
    <row r="1069" spans="1:6" x14ac:dyDescent="0.3">
      <c r="A1069" s="1">
        <v>45610</v>
      </c>
      <c r="B1069" t="s">
        <v>1533</v>
      </c>
      <c r="C1069" t="s">
        <v>1535</v>
      </c>
      <c r="D1069">
        <v>29618</v>
      </c>
      <c r="E1069">
        <f>MONTH(tblExpense[[#This Row],[Date]])</f>
        <v>11</v>
      </c>
      <c r="F1069" t="str">
        <f>TEXT(tblExpense[[#This Row],[Date]],"mmm")</f>
        <v>Nov</v>
      </c>
    </row>
    <row r="1070" spans="1:6" x14ac:dyDescent="0.3">
      <c r="A1070" s="1">
        <v>45626</v>
      </c>
      <c r="B1070" t="s">
        <v>1536</v>
      </c>
      <c r="C1070" t="s">
        <v>1532</v>
      </c>
      <c r="D1070">
        <v>14230</v>
      </c>
      <c r="E1070">
        <f>MONTH(tblExpense[[#This Row],[Date]])</f>
        <v>11</v>
      </c>
      <c r="F1070" t="str">
        <f>TEXT(tblExpense[[#This Row],[Date]],"mmm")</f>
        <v>Nov</v>
      </c>
    </row>
    <row r="1071" spans="1:6" x14ac:dyDescent="0.3">
      <c r="A1071" s="1">
        <v>45614</v>
      </c>
      <c r="B1071" t="s">
        <v>1529</v>
      </c>
      <c r="C1071" t="s">
        <v>1532</v>
      </c>
      <c r="D1071">
        <v>82820</v>
      </c>
      <c r="E1071">
        <f>MONTH(tblExpense[[#This Row],[Date]])</f>
        <v>11</v>
      </c>
      <c r="F1071" t="str">
        <f>TEXT(tblExpense[[#This Row],[Date]],"mmm")</f>
        <v>Nov</v>
      </c>
    </row>
    <row r="1072" spans="1:6" x14ac:dyDescent="0.3">
      <c r="A1072" s="1">
        <v>45621</v>
      </c>
      <c r="B1072" t="s">
        <v>1531</v>
      </c>
      <c r="C1072" t="s">
        <v>1535</v>
      </c>
      <c r="D1072">
        <v>63608</v>
      </c>
      <c r="E1072">
        <f>MONTH(tblExpense[[#This Row],[Date]])</f>
        <v>11</v>
      </c>
      <c r="F1072" t="str">
        <f>TEXT(tblExpense[[#This Row],[Date]],"mmm")</f>
        <v>Nov</v>
      </c>
    </row>
    <row r="1073" spans="1:6" x14ac:dyDescent="0.3">
      <c r="A1073" s="1">
        <v>45617</v>
      </c>
      <c r="B1073" t="s">
        <v>1529</v>
      </c>
      <c r="C1073" t="s">
        <v>1530</v>
      </c>
      <c r="D1073">
        <v>5273</v>
      </c>
      <c r="E1073">
        <f>MONTH(tblExpense[[#This Row],[Date]])</f>
        <v>11</v>
      </c>
      <c r="F1073" t="str">
        <f>TEXT(tblExpense[[#This Row],[Date]],"mmm")</f>
        <v>Nov</v>
      </c>
    </row>
    <row r="1074" spans="1:6" x14ac:dyDescent="0.3">
      <c r="A1074" s="1">
        <v>45622</v>
      </c>
      <c r="B1074" t="s">
        <v>1538</v>
      </c>
      <c r="C1074" t="s">
        <v>1537</v>
      </c>
      <c r="D1074">
        <v>11923</v>
      </c>
      <c r="E1074">
        <f>MONTH(tblExpense[[#This Row],[Date]])</f>
        <v>11</v>
      </c>
      <c r="F1074" t="str">
        <f>TEXT(tblExpense[[#This Row],[Date]],"mmm")</f>
        <v>Nov</v>
      </c>
    </row>
    <row r="1075" spans="1:6" x14ac:dyDescent="0.3">
      <c r="A1075" s="1">
        <v>45618</v>
      </c>
      <c r="B1075" t="s">
        <v>1529</v>
      </c>
      <c r="C1075" t="s">
        <v>1535</v>
      </c>
      <c r="D1075">
        <v>97094</v>
      </c>
      <c r="E1075">
        <f>MONTH(tblExpense[[#This Row],[Date]])</f>
        <v>11</v>
      </c>
      <c r="F1075" t="str">
        <f>TEXT(tblExpense[[#This Row],[Date]],"mmm")</f>
        <v>Nov</v>
      </c>
    </row>
    <row r="1076" spans="1:6" x14ac:dyDescent="0.3">
      <c r="A1076" s="1">
        <v>45603</v>
      </c>
      <c r="B1076" t="s">
        <v>1533</v>
      </c>
      <c r="C1076" t="s">
        <v>1535</v>
      </c>
      <c r="D1076">
        <v>47497</v>
      </c>
      <c r="E1076">
        <f>MONTH(tblExpense[[#This Row],[Date]])</f>
        <v>11</v>
      </c>
      <c r="F1076" t="str">
        <f>TEXT(tblExpense[[#This Row],[Date]],"mmm")</f>
        <v>Nov</v>
      </c>
    </row>
    <row r="1077" spans="1:6" x14ac:dyDescent="0.3">
      <c r="A1077" s="1">
        <v>45622</v>
      </c>
      <c r="B1077" t="s">
        <v>1538</v>
      </c>
      <c r="C1077" t="s">
        <v>1535</v>
      </c>
      <c r="D1077">
        <v>22140</v>
      </c>
      <c r="E1077">
        <f>MONTH(tblExpense[[#This Row],[Date]])</f>
        <v>11</v>
      </c>
      <c r="F1077" t="str">
        <f>TEXT(tblExpense[[#This Row],[Date]],"mmm")</f>
        <v>Nov</v>
      </c>
    </row>
    <row r="1078" spans="1:6" x14ac:dyDescent="0.3">
      <c r="A1078" s="1">
        <v>45613</v>
      </c>
      <c r="B1078" t="s">
        <v>1533</v>
      </c>
      <c r="C1078" t="s">
        <v>1532</v>
      </c>
      <c r="D1078">
        <v>63165</v>
      </c>
      <c r="E1078">
        <f>MONTH(tblExpense[[#This Row],[Date]])</f>
        <v>11</v>
      </c>
      <c r="F1078" t="str">
        <f>TEXT(tblExpense[[#This Row],[Date]],"mmm")</f>
        <v>Nov</v>
      </c>
    </row>
    <row r="1079" spans="1:6" x14ac:dyDescent="0.3">
      <c r="A1079" s="1">
        <v>45626</v>
      </c>
      <c r="B1079" t="s">
        <v>1538</v>
      </c>
      <c r="C1079" t="s">
        <v>1532</v>
      </c>
      <c r="D1079">
        <v>28492</v>
      </c>
      <c r="E1079">
        <f>MONTH(tblExpense[[#This Row],[Date]])</f>
        <v>11</v>
      </c>
      <c r="F1079" t="str">
        <f>TEXT(tblExpense[[#This Row],[Date]],"mmm")</f>
        <v>Nov</v>
      </c>
    </row>
    <row r="1080" spans="1:6" x14ac:dyDescent="0.3">
      <c r="A1080" s="1">
        <v>45624</v>
      </c>
      <c r="B1080" t="s">
        <v>1529</v>
      </c>
      <c r="C1080" t="s">
        <v>1530</v>
      </c>
      <c r="D1080">
        <v>56333</v>
      </c>
      <c r="E1080">
        <f>MONTH(tblExpense[[#This Row],[Date]])</f>
        <v>11</v>
      </c>
      <c r="F1080" t="str">
        <f>TEXT(tblExpense[[#This Row],[Date]],"mmm")</f>
        <v>Nov</v>
      </c>
    </row>
    <row r="1081" spans="1:6" x14ac:dyDescent="0.3">
      <c r="A1081" s="1">
        <v>45614</v>
      </c>
      <c r="B1081" t="s">
        <v>1536</v>
      </c>
      <c r="C1081" t="s">
        <v>1534</v>
      </c>
      <c r="D1081">
        <v>46892</v>
      </c>
      <c r="E1081">
        <f>MONTH(tblExpense[[#This Row],[Date]])</f>
        <v>11</v>
      </c>
      <c r="F1081" t="str">
        <f>TEXT(tblExpense[[#This Row],[Date]],"mmm")</f>
        <v>Nov</v>
      </c>
    </row>
    <row r="1082" spans="1:6" x14ac:dyDescent="0.3">
      <c r="A1082" s="1">
        <v>45603</v>
      </c>
      <c r="B1082" t="s">
        <v>1538</v>
      </c>
      <c r="C1082" t="s">
        <v>1535</v>
      </c>
      <c r="D1082">
        <v>33050</v>
      </c>
      <c r="E1082">
        <f>MONTH(tblExpense[[#This Row],[Date]])</f>
        <v>11</v>
      </c>
      <c r="F1082" t="str">
        <f>TEXT(tblExpense[[#This Row],[Date]],"mmm")</f>
        <v>Nov</v>
      </c>
    </row>
    <row r="1083" spans="1:6" x14ac:dyDescent="0.3">
      <c r="A1083" s="1">
        <v>45623</v>
      </c>
      <c r="B1083" t="s">
        <v>1529</v>
      </c>
      <c r="C1083" t="s">
        <v>1537</v>
      </c>
      <c r="D1083">
        <v>76469</v>
      </c>
      <c r="E1083">
        <f>MONTH(tblExpense[[#This Row],[Date]])</f>
        <v>11</v>
      </c>
      <c r="F1083" t="str">
        <f>TEXT(tblExpense[[#This Row],[Date]],"mmm")</f>
        <v>Nov</v>
      </c>
    </row>
    <row r="1084" spans="1:6" x14ac:dyDescent="0.3">
      <c r="A1084" s="1">
        <v>45616</v>
      </c>
      <c r="B1084" t="s">
        <v>1531</v>
      </c>
      <c r="C1084" t="s">
        <v>1534</v>
      </c>
      <c r="D1084">
        <v>94380</v>
      </c>
      <c r="E1084">
        <f>MONTH(tblExpense[[#This Row],[Date]])</f>
        <v>11</v>
      </c>
      <c r="F1084" t="str">
        <f>TEXT(tblExpense[[#This Row],[Date]],"mmm")</f>
        <v>Nov</v>
      </c>
    </row>
    <row r="1085" spans="1:6" x14ac:dyDescent="0.3">
      <c r="A1085" s="1">
        <v>45602</v>
      </c>
      <c r="B1085" t="s">
        <v>1531</v>
      </c>
      <c r="C1085" t="s">
        <v>1534</v>
      </c>
      <c r="D1085">
        <v>57954</v>
      </c>
      <c r="E1085">
        <f>MONTH(tblExpense[[#This Row],[Date]])</f>
        <v>11</v>
      </c>
      <c r="F1085" t="str">
        <f>TEXT(tblExpense[[#This Row],[Date]],"mmm")</f>
        <v>Nov</v>
      </c>
    </row>
    <row r="1086" spans="1:6" x14ac:dyDescent="0.3">
      <c r="A1086" s="1">
        <v>45597</v>
      </c>
      <c r="B1086" t="s">
        <v>1531</v>
      </c>
      <c r="C1086" t="s">
        <v>1537</v>
      </c>
      <c r="D1086">
        <v>23787</v>
      </c>
      <c r="E1086">
        <f>MONTH(tblExpense[[#This Row],[Date]])</f>
        <v>11</v>
      </c>
      <c r="F1086" t="str">
        <f>TEXT(tblExpense[[#This Row],[Date]],"mmm")</f>
        <v>Nov</v>
      </c>
    </row>
    <row r="1087" spans="1:6" x14ac:dyDescent="0.3">
      <c r="A1087" s="1">
        <v>45611</v>
      </c>
      <c r="B1087" t="s">
        <v>1538</v>
      </c>
      <c r="C1087" t="s">
        <v>1530</v>
      </c>
      <c r="D1087">
        <v>65213</v>
      </c>
      <c r="E1087">
        <f>MONTH(tblExpense[[#This Row],[Date]])</f>
        <v>11</v>
      </c>
      <c r="F1087" t="str">
        <f>TEXT(tblExpense[[#This Row],[Date]],"mmm")</f>
        <v>Nov</v>
      </c>
    </row>
    <row r="1088" spans="1:6" x14ac:dyDescent="0.3">
      <c r="A1088" s="1">
        <v>45615</v>
      </c>
      <c r="B1088" t="s">
        <v>1536</v>
      </c>
      <c r="C1088" t="s">
        <v>1532</v>
      </c>
      <c r="D1088">
        <v>32442</v>
      </c>
      <c r="E1088">
        <f>MONTH(tblExpense[[#This Row],[Date]])</f>
        <v>11</v>
      </c>
      <c r="F1088" t="str">
        <f>TEXT(tblExpense[[#This Row],[Date]],"mmm")</f>
        <v>Nov</v>
      </c>
    </row>
    <row r="1089" spans="1:6" x14ac:dyDescent="0.3">
      <c r="A1089" s="1">
        <v>45622</v>
      </c>
      <c r="B1089" t="s">
        <v>1538</v>
      </c>
      <c r="C1089" t="s">
        <v>1532</v>
      </c>
      <c r="D1089">
        <v>6643</v>
      </c>
      <c r="E1089">
        <f>MONTH(tblExpense[[#This Row],[Date]])</f>
        <v>11</v>
      </c>
      <c r="F1089" t="str">
        <f>TEXT(tblExpense[[#This Row],[Date]],"mmm")</f>
        <v>Nov</v>
      </c>
    </row>
    <row r="1090" spans="1:6" x14ac:dyDescent="0.3">
      <c r="A1090" s="1">
        <v>45603</v>
      </c>
      <c r="B1090" t="s">
        <v>1536</v>
      </c>
      <c r="C1090" t="s">
        <v>1537</v>
      </c>
      <c r="D1090">
        <v>19658</v>
      </c>
      <c r="E1090">
        <f>MONTH(tblExpense[[#This Row],[Date]])</f>
        <v>11</v>
      </c>
      <c r="F1090" t="str">
        <f>TEXT(tblExpense[[#This Row],[Date]],"mmm")</f>
        <v>Nov</v>
      </c>
    </row>
    <row r="1091" spans="1:6" x14ac:dyDescent="0.3">
      <c r="A1091" s="1">
        <v>45612</v>
      </c>
      <c r="B1091" t="s">
        <v>1529</v>
      </c>
      <c r="C1091" t="s">
        <v>1532</v>
      </c>
      <c r="D1091">
        <v>88871</v>
      </c>
      <c r="E1091">
        <f>MONTH(tblExpense[[#This Row],[Date]])</f>
        <v>11</v>
      </c>
      <c r="F1091" t="str">
        <f>TEXT(tblExpense[[#This Row],[Date]],"mmm")</f>
        <v>Nov</v>
      </c>
    </row>
    <row r="1092" spans="1:6" x14ac:dyDescent="0.3">
      <c r="A1092" s="1">
        <v>45620</v>
      </c>
      <c r="B1092" t="s">
        <v>1529</v>
      </c>
      <c r="C1092" t="s">
        <v>1534</v>
      </c>
      <c r="D1092">
        <v>78758</v>
      </c>
      <c r="E1092">
        <f>MONTH(tblExpense[[#This Row],[Date]])</f>
        <v>11</v>
      </c>
      <c r="F1092" t="str">
        <f>TEXT(tblExpense[[#This Row],[Date]],"mmm")</f>
        <v>Nov</v>
      </c>
    </row>
    <row r="1093" spans="1:6" x14ac:dyDescent="0.3">
      <c r="A1093" s="1">
        <v>45597</v>
      </c>
      <c r="B1093" t="s">
        <v>1538</v>
      </c>
      <c r="C1093" t="s">
        <v>1535</v>
      </c>
      <c r="D1093">
        <v>83634</v>
      </c>
      <c r="E1093">
        <f>MONTH(tblExpense[[#This Row],[Date]])</f>
        <v>11</v>
      </c>
      <c r="F1093" t="str">
        <f>TEXT(tblExpense[[#This Row],[Date]],"mmm")</f>
        <v>Nov</v>
      </c>
    </row>
    <row r="1094" spans="1:6" x14ac:dyDescent="0.3">
      <c r="A1094" s="1">
        <v>45616</v>
      </c>
      <c r="B1094" t="s">
        <v>1531</v>
      </c>
      <c r="C1094" t="s">
        <v>1532</v>
      </c>
      <c r="D1094">
        <v>93618</v>
      </c>
      <c r="E1094">
        <f>MONTH(tblExpense[[#This Row],[Date]])</f>
        <v>11</v>
      </c>
      <c r="F1094" t="str">
        <f>TEXT(tblExpense[[#This Row],[Date]],"mmm")</f>
        <v>Nov</v>
      </c>
    </row>
    <row r="1095" spans="1:6" x14ac:dyDescent="0.3">
      <c r="A1095" s="1">
        <v>45625</v>
      </c>
      <c r="B1095" t="s">
        <v>1529</v>
      </c>
      <c r="C1095" t="s">
        <v>1534</v>
      </c>
      <c r="D1095">
        <v>93355</v>
      </c>
      <c r="E1095">
        <f>MONTH(tblExpense[[#This Row],[Date]])</f>
        <v>11</v>
      </c>
      <c r="F1095" t="str">
        <f>TEXT(tblExpense[[#This Row],[Date]],"mmm")</f>
        <v>Nov</v>
      </c>
    </row>
    <row r="1096" spans="1:6" x14ac:dyDescent="0.3">
      <c r="A1096" s="1">
        <v>45612</v>
      </c>
      <c r="B1096" t="s">
        <v>1531</v>
      </c>
      <c r="C1096" t="s">
        <v>1530</v>
      </c>
      <c r="D1096">
        <v>16917</v>
      </c>
      <c r="E1096">
        <f>MONTH(tblExpense[[#This Row],[Date]])</f>
        <v>11</v>
      </c>
      <c r="F1096" t="str">
        <f>TEXT(tblExpense[[#This Row],[Date]],"mmm")</f>
        <v>Nov</v>
      </c>
    </row>
    <row r="1097" spans="1:6" x14ac:dyDescent="0.3">
      <c r="A1097" s="1">
        <v>45600</v>
      </c>
      <c r="B1097" t="s">
        <v>1529</v>
      </c>
      <c r="C1097" t="s">
        <v>1532</v>
      </c>
      <c r="D1097">
        <v>16376</v>
      </c>
      <c r="E1097">
        <f>MONTH(tblExpense[[#This Row],[Date]])</f>
        <v>11</v>
      </c>
      <c r="F1097" t="str">
        <f>TEXT(tblExpense[[#This Row],[Date]],"mmm")</f>
        <v>Nov</v>
      </c>
    </row>
    <row r="1098" spans="1:6" x14ac:dyDescent="0.3">
      <c r="A1098" s="1">
        <v>45601</v>
      </c>
      <c r="B1098" t="s">
        <v>1536</v>
      </c>
      <c r="C1098" t="s">
        <v>1534</v>
      </c>
      <c r="D1098">
        <v>96350</v>
      </c>
      <c r="E1098">
        <f>MONTH(tblExpense[[#This Row],[Date]])</f>
        <v>11</v>
      </c>
      <c r="F1098" t="str">
        <f>TEXT(tblExpense[[#This Row],[Date]],"mmm")</f>
        <v>Nov</v>
      </c>
    </row>
    <row r="1099" spans="1:6" x14ac:dyDescent="0.3">
      <c r="A1099" s="1">
        <v>45610</v>
      </c>
      <c r="B1099" t="s">
        <v>1531</v>
      </c>
      <c r="C1099" t="s">
        <v>1532</v>
      </c>
      <c r="D1099">
        <v>96881</v>
      </c>
      <c r="E1099">
        <f>MONTH(tblExpense[[#This Row],[Date]])</f>
        <v>11</v>
      </c>
      <c r="F1099" t="str">
        <f>TEXT(tblExpense[[#This Row],[Date]],"mmm")</f>
        <v>Nov</v>
      </c>
    </row>
    <row r="1100" spans="1:6" x14ac:dyDescent="0.3">
      <c r="A1100" s="1">
        <v>45604</v>
      </c>
      <c r="B1100" t="s">
        <v>1531</v>
      </c>
      <c r="C1100" t="s">
        <v>1537</v>
      </c>
      <c r="D1100">
        <v>20051</v>
      </c>
      <c r="E1100">
        <f>MONTH(tblExpense[[#This Row],[Date]])</f>
        <v>11</v>
      </c>
      <c r="F1100" t="str">
        <f>TEXT(tblExpense[[#This Row],[Date]],"mmm")</f>
        <v>Nov</v>
      </c>
    </row>
    <row r="1101" spans="1:6" x14ac:dyDescent="0.3">
      <c r="A1101" s="1">
        <v>45605</v>
      </c>
      <c r="B1101" t="s">
        <v>1533</v>
      </c>
      <c r="C1101" t="s">
        <v>1534</v>
      </c>
      <c r="D1101">
        <v>12615</v>
      </c>
      <c r="E1101">
        <f>MONTH(tblExpense[[#This Row],[Date]])</f>
        <v>11</v>
      </c>
      <c r="F1101" t="str">
        <f>TEXT(tblExpense[[#This Row],[Date]],"mmm")</f>
        <v>Nov</v>
      </c>
    </row>
    <row r="1102" spans="1:6" x14ac:dyDescent="0.3">
      <c r="A1102" s="1">
        <v>45599</v>
      </c>
      <c r="B1102" t="s">
        <v>1531</v>
      </c>
      <c r="C1102" t="s">
        <v>1535</v>
      </c>
      <c r="D1102">
        <v>49114</v>
      </c>
      <c r="E1102">
        <f>MONTH(tblExpense[[#This Row],[Date]])</f>
        <v>11</v>
      </c>
      <c r="F1102" t="str">
        <f>TEXT(tblExpense[[#This Row],[Date]],"mmm")</f>
        <v>Nov</v>
      </c>
    </row>
    <row r="1103" spans="1:6" x14ac:dyDescent="0.3">
      <c r="A1103" s="1">
        <v>45601</v>
      </c>
      <c r="B1103" t="s">
        <v>1531</v>
      </c>
      <c r="C1103" t="s">
        <v>1537</v>
      </c>
      <c r="D1103">
        <v>64155</v>
      </c>
      <c r="E1103">
        <f>MONTH(tblExpense[[#This Row],[Date]])</f>
        <v>11</v>
      </c>
      <c r="F1103" t="str">
        <f>TEXT(tblExpense[[#This Row],[Date]],"mmm")</f>
        <v>Nov</v>
      </c>
    </row>
    <row r="1104" spans="1:6" x14ac:dyDescent="0.3">
      <c r="A1104" s="1">
        <v>45601</v>
      </c>
      <c r="B1104" t="s">
        <v>1536</v>
      </c>
      <c r="C1104" t="s">
        <v>1534</v>
      </c>
      <c r="D1104">
        <v>52693</v>
      </c>
      <c r="E1104">
        <f>MONTH(tblExpense[[#This Row],[Date]])</f>
        <v>11</v>
      </c>
      <c r="F1104" t="str">
        <f>TEXT(tblExpense[[#This Row],[Date]],"mmm")</f>
        <v>Nov</v>
      </c>
    </row>
    <row r="1105" spans="1:6" x14ac:dyDescent="0.3">
      <c r="A1105" s="1">
        <v>45609</v>
      </c>
      <c r="B1105" t="s">
        <v>1531</v>
      </c>
      <c r="C1105" t="s">
        <v>1537</v>
      </c>
      <c r="D1105">
        <v>64813</v>
      </c>
      <c r="E1105">
        <f>MONTH(tblExpense[[#This Row],[Date]])</f>
        <v>11</v>
      </c>
      <c r="F1105" t="str">
        <f>TEXT(tblExpense[[#This Row],[Date]],"mmm")</f>
        <v>Nov</v>
      </c>
    </row>
    <row r="1106" spans="1:6" x14ac:dyDescent="0.3">
      <c r="A1106" s="1">
        <v>45644</v>
      </c>
      <c r="B1106" t="s">
        <v>1533</v>
      </c>
      <c r="C1106" t="s">
        <v>1530</v>
      </c>
      <c r="D1106">
        <v>86394</v>
      </c>
      <c r="E1106">
        <f>MONTH(tblExpense[[#This Row],[Date]])</f>
        <v>12</v>
      </c>
      <c r="F1106" t="str">
        <f>TEXT(tblExpense[[#This Row],[Date]],"mmm")</f>
        <v>Dec</v>
      </c>
    </row>
    <row r="1107" spans="1:6" x14ac:dyDescent="0.3">
      <c r="A1107" s="1">
        <v>45643</v>
      </c>
      <c r="B1107" t="s">
        <v>1538</v>
      </c>
      <c r="C1107" t="s">
        <v>1532</v>
      </c>
      <c r="D1107">
        <v>48853</v>
      </c>
      <c r="E1107">
        <f>MONTH(tblExpense[[#This Row],[Date]])</f>
        <v>12</v>
      </c>
      <c r="F1107" t="str">
        <f>TEXT(tblExpense[[#This Row],[Date]],"mmm")</f>
        <v>Dec</v>
      </c>
    </row>
    <row r="1108" spans="1:6" x14ac:dyDescent="0.3">
      <c r="A1108" s="1">
        <v>45627</v>
      </c>
      <c r="B1108" t="s">
        <v>1529</v>
      </c>
      <c r="C1108" t="s">
        <v>1530</v>
      </c>
      <c r="D1108">
        <v>77119</v>
      </c>
      <c r="E1108">
        <f>MONTH(tblExpense[[#This Row],[Date]])</f>
        <v>12</v>
      </c>
      <c r="F1108" t="str">
        <f>TEXT(tblExpense[[#This Row],[Date]],"mmm")</f>
        <v>Dec</v>
      </c>
    </row>
    <row r="1109" spans="1:6" x14ac:dyDescent="0.3">
      <c r="A1109" s="1">
        <v>45656</v>
      </c>
      <c r="B1109" t="s">
        <v>1529</v>
      </c>
      <c r="C1109" t="s">
        <v>1537</v>
      </c>
      <c r="D1109">
        <v>74453</v>
      </c>
      <c r="E1109">
        <f>MONTH(tblExpense[[#This Row],[Date]])</f>
        <v>12</v>
      </c>
      <c r="F1109" t="str">
        <f>TEXT(tblExpense[[#This Row],[Date]],"mmm")</f>
        <v>Dec</v>
      </c>
    </row>
    <row r="1110" spans="1:6" x14ac:dyDescent="0.3">
      <c r="A1110" s="1">
        <v>45633</v>
      </c>
      <c r="B1110" t="s">
        <v>1533</v>
      </c>
      <c r="C1110" t="s">
        <v>1532</v>
      </c>
      <c r="D1110">
        <v>72467</v>
      </c>
      <c r="E1110">
        <f>MONTH(tblExpense[[#This Row],[Date]])</f>
        <v>12</v>
      </c>
      <c r="F1110" t="str">
        <f>TEXT(tblExpense[[#This Row],[Date]],"mmm")</f>
        <v>Dec</v>
      </c>
    </row>
    <row r="1111" spans="1:6" x14ac:dyDescent="0.3">
      <c r="A1111" s="1">
        <v>45654</v>
      </c>
      <c r="B1111" t="s">
        <v>1531</v>
      </c>
      <c r="C1111" t="s">
        <v>1534</v>
      </c>
      <c r="D1111">
        <v>73001</v>
      </c>
      <c r="E1111">
        <f>MONTH(tblExpense[[#This Row],[Date]])</f>
        <v>12</v>
      </c>
      <c r="F1111" t="str">
        <f>TEXT(tblExpense[[#This Row],[Date]],"mmm")</f>
        <v>Dec</v>
      </c>
    </row>
    <row r="1112" spans="1:6" x14ac:dyDescent="0.3">
      <c r="A1112" s="1">
        <v>45650</v>
      </c>
      <c r="B1112" t="s">
        <v>1531</v>
      </c>
      <c r="C1112" t="s">
        <v>1530</v>
      </c>
      <c r="D1112">
        <v>38625</v>
      </c>
      <c r="E1112">
        <f>MONTH(tblExpense[[#This Row],[Date]])</f>
        <v>12</v>
      </c>
      <c r="F1112" t="str">
        <f>TEXT(tblExpense[[#This Row],[Date]],"mmm")</f>
        <v>Dec</v>
      </c>
    </row>
    <row r="1113" spans="1:6" x14ac:dyDescent="0.3">
      <c r="A1113" s="1">
        <v>45638</v>
      </c>
      <c r="B1113" t="s">
        <v>1533</v>
      </c>
      <c r="C1113" t="s">
        <v>1532</v>
      </c>
      <c r="D1113">
        <v>22159</v>
      </c>
      <c r="E1113">
        <f>MONTH(tblExpense[[#This Row],[Date]])</f>
        <v>12</v>
      </c>
      <c r="F1113" t="str">
        <f>TEXT(tblExpense[[#This Row],[Date]],"mmm")</f>
        <v>Dec</v>
      </c>
    </row>
    <row r="1114" spans="1:6" x14ac:dyDescent="0.3">
      <c r="A1114" s="1">
        <v>45657</v>
      </c>
      <c r="B1114" t="s">
        <v>1533</v>
      </c>
      <c r="C1114" t="s">
        <v>1532</v>
      </c>
      <c r="D1114">
        <v>19712</v>
      </c>
      <c r="E1114">
        <f>MONTH(tblExpense[[#This Row],[Date]])</f>
        <v>12</v>
      </c>
      <c r="F1114" t="str">
        <f>TEXT(tblExpense[[#This Row],[Date]],"mmm")</f>
        <v>Dec</v>
      </c>
    </row>
    <row r="1115" spans="1:6" x14ac:dyDescent="0.3">
      <c r="A1115" s="1">
        <v>45629</v>
      </c>
      <c r="B1115" t="s">
        <v>1538</v>
      </c>
      <c r="C1115" t="s">
        <v>1532</v>
      </c>
      <c r="D1115">
        <v>8273</v>
      </c>
      <c r="E1115">
        <f>MONTH(tblExpense[[#This Row],[Date]])</f>
        <v>12</v>
      </c>
      <c r="F1115" t="str">
        <f>TEXT(tblExpense[[#This Row],[Date]],"mmm")</f>
        <v>Dec</v>
      </c>
    </row>
    <row r="1116" spans="1:6" x14ac:dyDescent="0.3">
      <c r="A1116" s="1">
        <v>45631</v>
      </c>
      <c r="B1116" t="s">
        <v>1538</v>
      </c>
      <c r="C1116" t="s">
        <v>1532</v>
      </c>
      <c r="D1116">
        <v>97312</v>
      </c>
      <c r="E1116">
        <f>MONTH(tblExpense[[#This Row],[Date]])</f>
        <v>12</v>
      </c>
      <c r="F1116" t="str">
        <f>TEXT(tblExpense[[#This Row],[Date]],"mmm")</f>
        <v>Dec</v>
      </c>
    </row>
    <row r="1117" spans="1:6" x14ac:dyDescent="0.3">
      <c r="A1117" s="1">
        <v>45642</v>
      </c>
      <c r="B1117" t="s">
        <v>1531</v>
      </c>
      <c r="C1117" t="s">
        <v>1532</v>
      </c>
      <c r="D1117">
        <v>36843</v>
      </c>
      <c r="E1117">
        <f>MONTH(tblExpense[[#This Row],[Date]])</f>
        <v>12</v>
      </c>
      <c r="F1117" t="str">
        <f>TEXT(tblExpense[[#This Row],[Date]],"mmm")</f>
        <v>Dec</v>
      </c>
    </row>
    <row r="1118" spans="1:6" x14ac:dyDescent="0.3">
      <c r="A1118" s="1">
        <v>45655</v>
      </c>
      <c r="B1118" t="s">
        <v>1531</v>
      </c>
      <c r="C1118" t="s">
        <v>1532</v>
      </c>
      <c r="D1118">
        <v>43608</v>
      </c>
      <c r="E1118">
        <f>MONTH(tblExpense[[#This Row],[Date]])</f>
        <v>12</v>
      </c>
      <c r="F1118" t="str">
        <f>TEXT(tblExpense[[#This Row],[Date]],"mmm")</f>
        <v>Dec</v>
      </c>
    </row>
    <row r="1119" spans="1:6" x14ac:dyDescent="0.3">
      <c r="A1119" s="1">
        <v>45636</v>
      </c>
      <c r="B1119" t="s">
        <v>1533</v>
      </c>
      <c r="C1119" t="s">
        <v>1530</v>
      </c>
      <c r="D1119">
        <v>66245</v>
      </c>
      <c r="E1119">
        <f>MONTH(tblExpense[[#This Row],[Date]])</f>
        <v>12</v>
      </c>
      <c r="F1119" t="str">
        <f>TEXT(tblExpense[[#This Row],[Date]],"mmm")</f>
        <v>Dec</v>
      </c>
    </row>
    <row r="1120" spans="1:6" x14ac:dyDescent="0.3">
      <c r="A1120" s="1">
        <v>45634</v>
      </c>
      <c r="B1120" t="s">
        <v>1531</v>
      </c>
      <c r="C1120" t="s">
        <v>1530</v>
      </c>
      <c r="D1120">
        <v>28100</v>
      </c>
      <c r="E1120">
        <f>MONTH(tblExpense[[#This Row],[Date]])</f>
        <v>12</v>
      </c>
      <c r="F1120" t="str">
        <f>TEXT(tblExpense[[#This Row],[Date]],"mmm")</f>
        <v>Dec</v>
      </c>
    </row>
    <row r="1121" spans="1:6" x14ac:dyDescent="0.3">
      <c r="A1121" s="1">
        <v>45633</v>
      </c>
      <c r="B1121" t="s">
        <v>1538</v>
      </c>
      <c r="C1121" t="s">
        <v>1534</v>
      </c>
      <c r="D1121">
        <v>94260</v>
      </c>
      <c r="E1121">
        <f>MONTH(tblExpense[[#This Row],[Date]])</f>
        <v>12</v>
      </c>
      <c r="F1121" t="str">
        <f>TEXT(tblExpense[[#This Row],[Date]],"mmm")</f>
        <v>Dec</v>
      </c>
    </row>
    <row r="1122" spans="1:6" x14ac:dyDescent="0.3">
      <c r="A1122" s="1">
        <v>45655</v>
      </c>
      <c r="B1122" t="s">
        <v>1531</v>
      </c>
      <c r="C1122" t="s">
        <v>1530</v>
      </c>
      <c r="D1122">
        <v>19429</v>
      </c>
      <c r="E1122">
        <f>MONTH(tblExpense[[#This Row],[Date]])</f>
        <v>12</v>
      </c>
      <c r="F1122" t="str">
        <f>TEXT(tblExpense[[#This Row],[Date]],"mmm")</f>
        <v>Dec</v>
      </c>
    </row>
    <row r="1123" spans="1:6" x14ac:dyDescent="0.3">
      <c r="A1123" s="1">
        <v>45652</v>
      </c>
      <c r="B1123" t="s">
        <v>1536</v>
      </c>
      <c r="C1123" t="s">
        <v>1534</v>
      </c>
      <c r="D1123">
        <v>82343</v>
      </c>
      <c r="E1123">
        <f>MONTH(tblExpense[[#This Row],[Date]])</f>
        <v>12</v>
      </c>
      <c r="F1123" t="str">
        <f>TEXT(tblExpense[[#This Row],[Date]],"mmm")</f>
        <v>Dec</v>
      </c>
    </row>
    <row r="1124" spans="1:6" x14ac:dyDescent="0.3">
      <c r="A1124" s="1">
        <v>45632</v>
      </c>
      <c r="B1124" t="s">
        <v>1538</v>
      </c>
      <c r="C1124" t="s">
        <v>1537</v>
      </c>
      <c r="D1124">
        <v>53910</v>
      </c>
      <c r="E1124">
        <f>MONTH(tblExpense[[#This Row],[Date]])</f>
        <v>12</v>
      </c>
      <c r="F1124" t="str">
        <f>TEXT(tblExpense[[#This Row],[Date]],"mmm")</f>
        <v>Dec</v>
      </c>
    </row>
    <row r="1125" spans="1:6" x14ac:dyDescent="0.3">
      <c r="A1125" s="1">
        <v>45640</v>
      </c>
      <c r="B1125" t="s">
        <v>1538</v>
      </c>
      <c r="C1125" t="s">
        <v>1532</v>
      </c>
      <c r="D1125">
        <v>64851</v>
      </c>
      <c r="E1125">
        <f>MONTH(tblExpense[[#This Row],[Date]])</f>
        <v>12</v>
      </c>
      <c r="F1125" t="str">
        <f>TEXT(tblExpense[[#This Row],[Date]],"mmm")</f>
        <v>Dec</v>
      </c>
    </row>
    <row r="1126" spans="1:6" x14ac:dyDescent="0.3">
      <c r="A1126" s="1">
        <v>45654</v>
      </c>
      <c r="B1126" t="s">
        <v>1536</v>
      </c>
      <c r="C1126" t="s">
        <v>1534</v>
      </c>
      <c r="D1126">
        <v>36735</v>
      </c>
      <c r="E1126">
        <f>MONTH(tblExpense[[#This Row],[Date]])</f>
        <v>12</v>
      </c>
      <c r="F1126" t="str">
        <f>TEXT(tblExpense[[#This Row],[Date]],"mmm")</f>
        <v>Dec</v>
      </c>
    </row>
    <row r="1127" spans="1:6" x14ac:dyDescent="0.3">
      <c r="A1127" s="1">
        <v>45651</v>
      </c>
      <c r="B1127" t="s">
        <v>1531</v>
      </c>
      <c r="C1127" t="s">
        <v>1532</v>
      </c>
      <c r="D1127">
        <v>18581</v>
      </c>
      <c r="E1127">
        <f>MONTH(tblExpense[[#This Row],[Date]])</f>
        <v>12</v>
      </c>
      <c r="F1127" t="str">
        <f>TEXT(tblExpense[[#This Row],[Date]],"mmm")</f>
        <v>Dec</v>
      </c>
    </row>
    <row r="1128" spans="1:6" x14ac:dyDescent="0.3">
      <c r="A1128" s="1">
        <v>45650</v>
      </c>
      <c r="B1128" t="s">
        <v>1531</v>
      </c>
      <c r="C1128" t="s">
        <v>1530</v>
      </c>
      <c r="D1128">
        <v>90128</v>
      </c>
      <c r="E1128">
        <f>MONTH(tblExpense[[#This Row],[Date]])</f>
        <v>12</v>
      </c>
      <c r="F1128" t="str">
        <f>TEXT(tblExpense[[#This Row],[Date]],"mmm")</f>
        <v>Dec</v>
      </c>
    </row>
    <row r="1129" spans="1:6" x14ac:dyDescent="0.3">
      <c r="A1129" s="1">
        <v>45629</v>
      </c>
      <c r="B1129" t="s">
        <v>1531</v>
      </c>
      <c r="C1129" t="s">
        <v>1535</v>
      </c>
      <c r="D1129">
        <v>87012</v>
      </c>
      <c r="E1129">
        <f>MONTH(tblExpense[[#This Row],[Date]])</f>
        <v>12</v>
      </c>
      <c r="F1129" t="str">
        <f>TEXT(tblExpense[[#This Row],[Date]],"mmm")</f>
        <v>Dec</v>
      </c>
    </row>
    <row r="1130" spans="1:6" x14ac:dyDescent="0.3">
      <c r="A1130" s="1">
        <v>45629</v>
      </c>
      <c r="B1130" t="s">
        <v>1533</v>
      </c>
      <c r="C1130" t="s">
        <v>1537</v>
      </c>
      <c r="D1130">
        <v>10015</v>
      </c>
      <c r="E1130">
        <f>MONTH(tblExpense[[#This Row],[Date]])</f>
        <v>12</v>
      </c>
      <c r="F1130" t="str">
        <f>TEXT(tblExpense[[#This Row],[Date]],"mmm")</f>
        <v>Dec</v>
      </c>
    </row>
    <row r="1131" spans="1:6" x14ac:dyDescent="0.3">
      <c r="A1131" s="1">
        <v>45652</v>
      </c>
      <c r="B1131" t="s">
        <v>1531</v>
      </c>
      <c r="C1131" t="s">
        <v>1535</v>
      </c>
      <c r="D1131">
        <v>78856</v>
      </c>
      <c r="E1131">
        <f>MONTH(tblExpense[[#This Row],[Date]])</f>
        <v>12</v>
      </c>
      <c r="F1131" t="str">
        <f>TEXT(tblExpense[[#This Row],[Date]],"mmm")</f>
        <v>Dec</v>
      </c>
    </row>
    <row r="1132" spans="1:6" x14ac:dyDescent="0.3">
      <c r="A1132" s="1">
        <v>45633</v>
      </c>
      <c r="B1132" t="s">
        <v>1531</v>
      </c>
      <c r="C1132" t="s">
        <v>1534</v>
      </c>
      <c r="D1132">
        <v>87935</v>
      </c>
      <c r="E1132">
        <f>MONTH(tblExpense[[#This Row],[Date]])</f>
        <v>12</v>
      </c>
      <c r="F1132" t="str">
        <f>TEXT(tblExpense[[#This Row],[Date]],"mmm")</f>
        <v>Dec</v>
      </c>
    </row>
    <row r="1133" spans="1:6" x14ac:dyDescent="0.3">
      <c r="A1133" s="1">
        <v>45656</v>
      </c>
      <c r="B1133" t="s">
        <v>1533</v>
      </c>
      <c r="C1133" t="s">
        <v>1532</v>
      </c>
      <c r="D1133">
        <v>57084</v>
      </c>
      <c r="E1133">
        <f>MONTH(tblExpense[[#This Row],[Date]])</f>
        <v>12</v>
      </c>
      <c r="F1133" t="str">
        <f>TEXT(tblExpense[[#This Row],[Date]],"mmm")</f>
        <v>Dec</v>
      </c>
    </row>
    <row r="1134" spans="1:6" x14ac:dyDescent="0.3">
      <c r="A1134" s="1">
        <v>45652</v>
      </c>
      <c r="B1134" t="s">
        <v>1529</v>
      </c>
      <c r="C1134" t="s">
        <v>1537</v>
      </c>
      <c r="D1134">
        <v>32635</v>
      </c>
      <c r="E1134">
        <f>MONTH(tblExpense[[#This Row],[Date]])</f>
        <v>12</v>
      </c>
      <c r="F1134" t="str">
        <f>TEXT(tblExpense[[#This Row],[Date]],"mmm")</f>
        <v>Dec</v>
      </c>
    </row>
    <row r="1135" spans="1:6" x14ac:dyDescent="0.3">
      <c r="A1135" s="1">
        <v>45633</v>
      </c>
      <c r="B1135" t="s">
        <v>1536</v>
      </c>
      <c r="C1135" t="s">
        <v>1534</v>
      </c>
      <c r="D1135">
        <v>11701</v>
      </c>
      <c r="E1135">
        <f>MONTH(tblExpense[[#This Row],[Date]])</f>
        <v>12</v>
      </c>
      <c r="F1135" t="str">
        <f>TEXT(tblExpense[[#This Row],[Date]],"mmm")</f>
        <v>Dec</v>
      </c>
    </row>
    <row r="1136" spans="1:6" x14ac:dyDescent="0.3">
      <c r="A1136" s="1">
        <v>45640</v>
      </c>
      <c r="B1136" t="s">
        <v>1536</v>
      </c>
      <c r="C1136" t="s">
        <v>1530</v>
      </c>
      <c r="D1136">
        <v>74022</v>
      </c>
      <c r="E1136">
        <f>MONTH(tblExpense[[#This Row],[Date]])</f>
        <v>12</v>
      </c>
      <c r="F1136" t="str">
        <f>TEXT(tblExpense[[#This Row],[Date]],"mmm")</f>
        <v>Dec</v>
      </c>
    </row>
    <row r="1137" spans="1:6" x14ac:dyDescent="0.3">
      <c r="A1137" s="1">
        <v>45651</v>
      </c>
      <c r="B1137" t="s">
        <v>1533</v>
      </c>
      <c r="C1137" t="s">
        <v>1535</v>
      </c>
      <c r="D1137">
        <v>11602</v>
      </c>
      <c r="E1137">
        <f>MONTH(tblExpense[[#This Row],[Date]])</f>
        <v>12</v>
      </c>
      <c r="F1137" t="str">
        <f>TEXT(tblExpense[[#This Row],[Date]],"mmm")</f>
        <v>Dec</v>
      </c>
    </row>
    <row r="1138" spans="1:6" x14ac:dyDescent="0.3">
      <c r="A1138" s="1">
        <v>45652</v>
      </c>
      <c r="B1138" t="s">
        <v>1531</v>
      </c>
      <c r="C1138" t="s">
        <v>1532</v>
      </c>
      <c r="D1138">
        <v>89408</v>
      </c>
      <c r="E1138">
        <f>MONTH(tblExpense[[#This Row],[Date]])</f>
        <v>12</v>
      </c>
      <c r="F1138" t="str">
        <f>TEXT(tblExpense[[#This Row],[Date]],"mmm")</f>
        <v>Dec</v>
      </c>
    </row>
    <row r="1139" spans="1:6" x14ac:dyDescent="0.3">
      <c r="A1139" s="1">
        <v>45645</v>
      </c>
      <c r="B1139" t="s">
        <v>1529</v>
      </c>
      <c r="C1139" t="s">
        <v>1534</v>
      </c>
      <c r="D1139">
        <v>33605</v>
      </c>
      <c r="E1139">
        <f>MONTH(tblExpense[[#This Row],[Date]])</f>
        <v>12</v>
      </c>
      <c r="F1139" t="str">
        <f>TEXT(tblExpense[[#This Row],[Date]],"mmm")</f>
        <v>Dec</v>
      </c>
    </row>
    <row r="1140" spans="1:6" x14ac:dyDescent="0.3">
      <c r="A1140" s="1">
        <v>45647</v>
      </c>
      <c r="B1140" t="s">
        <v>1529</v>
      </c>
      <c r="C1140" t="s">
        <v>1532</v>
      </c>
      <c r="D1140">
        <v>23104</v>
      </c>
      <c r="E1140">
        <f>MONTH(tblExpense[[#This Row],[Date]])</f>
        <v>12</v>
      </c>
      <c r="F1140" t="str">
        <f>TEXT(tblExpense[[#This Row],[Date]],"mmm")</f>
        <v>Dec</v>
      </c>
    </row>
    <row r="1141" spans="1:6" x14ac:dyDescent="0.3">
      <c r="A1141" s="1">
        <v>45627</v>
      </c>
      <c r="B1141" t="s">
        <v>1538</v>
      </c>
      <c r="C1141" t="s">
        <v>1537</v>
      </c>
      <c r="D1141">
        <v>32651</v>
      </c>
      <c r="E1141">
        <f>MONTH(tblExpense[[#This Row],[Date]])</f>
        <v>12</v>
      </c>
      <c r="F1141" t="str">
        <f>TEXT(tblExpense[[#This Row],[Date]],"mmm")</f>
        <v>Dec</v>
      </c>
    </row>
    <row r="1142" spans="1:6" x14ac:dyDescent="0.3">
      <c r="A1142" s="1">
        <v>45642</v>
      </c>
      <c r="B1142" t="s">
        <v>1529</v>
      </c>
      <c r="C1142" t="s">
        <v>1530</v>
      </c>
      <c r="D1142">
        <v>83288</v>
      </c>
      <c r="E1142">
        <f>MONTH(tblExpense[[#This Row],[Date]])</f>
        <v>12</v>
      </c>
      <c r="F1142" t="str">
        <f>TEXT(tblExpense[[#This Row],[Date]],"mmm")</f>
        <v>Dec</v>
      </c>
    </row>
    <row r="1143" spans="1:6" x14ac:dyDescent="0.3">
      <c r="A1143" s="1">
        <v>45639</v>
      </c>
      <c r="B1143" t="s">
        <v>1531</v>
      </c>
      <c r="C1143" t="s">
        <v>1532</v>
      </c>
      <c r="D1143">
        <v>54251</v>
      </c>
      <c r="E1143">
        <f>MONTH(tblExpense[[#This Row],[Date]])</f>
        <v>12</v>
      </c>
      <c r="F1143" t="str">
        <f>TEXT(tblExpense[[#This Row],[Date]],"mmm")</f>
        <v>Dec</v>
      </c>
    </row>
    <row r="1144" spans="1:6" x14ac:dyDescent="0.3">
      <c r="A1144" s="1">
        <v>45631</v>
      </c>
      <c r="B1144" t="s">
        <v>1536</v>
      </c>
      <c r="C1144" t="s">
        <v>1532</v>
      </c>
      <c r="D1144">
        <v>37691</v>
      </c>
      <c r="E1144">
        <f>MONTH(tblExpense[[#This Row],[Date]])</f>
        <v>12</v>
      </c>
      <c r="F1144" t="str">
        <f>TEXT(tblExpense[[#This Row],[Date]],"mmm")</f>
        <v>Dec</v>
      </c>
    </row>
    <row r="1145" spans="1:6" x14ac:dyDescent="0.3">
      <c r="A1145" s="1">
        <v>45645</v>
      </c>
      <c r="B1145" t="s">
        <v>1529</v>
      </c>
      <c r="C1145" t="s">
        <v>1530</v>
      </c>
      <c r="D1145">
        <v>26813</v>
      </c>
      <c r="E1145">
        <f>MONTH(tblExpense[[#This Row],[Date]])</f>
        <v>12</v>
      </c>
      <c r="F1145" t="str">
        <f>TEXT(tblExpense[[#This Row],[Date]],"mmm")</f>
        <v>Dec</v>
      </c>
    </row>
    <row r="1146" spans="1:6" x14ac:dyDescent="0.3">
      <c r="A1146" s="1">
        <v>45637</v>
      </c>
      <c r="B1146" t="s">
        <v>1533</v>
      </c>
      <c r="C1146" t="s">
        <v>1537</v>
      </c>
      <c r="D1146">
        <v>54192</v>
      </c>
      <c r="E1146">
        <f>MONTH(tblExpense[[#This Row],[Date]])</f>
        <v>12</v>
      </c>
      <c r="F1146" t="str">
        <f>TEXT(tblExpense[[#This Row],[Date]],"mmm")</f>
        <v>Dec</v>
      </c>
    </row>
    <row r="1147" spans="1:6" x14ac:dyDescent="0.3">
      <c r="A1147" s="1">
        <v>45642</v>
      </c>
      <c r="B1147" t="s">
        <v>1538</v>
      </c>
      <c r="C1147" t="s">
        <v>1534</v>
      </c>
      <c r="D1147">
        <v>26477</v>
      </c>
      <c r="E1147">
        <f>MONTH(tblExpense[[#This Row],[Date]])</f>
        <v>12</v>
      </c>
      <c r="F1147" t="str">
        <f>TEXT(tblExpense[[#This Row],[Date]],"mmm")</f>
        <v>Dec</v>
      </c>
    </row>
    <row r="1148" spans="1:6" x14ac:dyDescent="0.3">
      <c r="A1148" s="1">
        <v>45648</v>
      </c>
      <c r="B1148" t="s">
        <v>1531</v>
      </c>
      <c r="C1148" t="s">
        <v>1537</v>
      </c>
      <c r="D1148">
        <v>96277</v>
      </c>
      <c r="E1148">
        <f>MONTH(tblExpense[[#This Row],[Date]])</f>
        <v>12</v>
      </c>
      <c r="F1148" t="str">
        <f>TEXT(tblExpense[[#This Row],[Date]],"mmm")</f>
        <v>Dec</v>
      </c>
    </row>
    <row r="1149" spans="1:6" x14ac:dyDescent="0.3">
      <c r="A1149" s="1">
        <v>45627</v>
      </c>
      <c r="B1149" t="s">
        <v>1538</v>
      </c>
      <c r="C1149" t="s">
        <v>1535</v>
      </c>
      <c r="D1149">
        <v>30267</v>
      </c>
      <c r="E1149">
        <f>MONTH(tblExpense[[#This Row],[Date]])</f>
        <v>12</v>
      </c>
      <c r="F1149" t="str">
        <f>TEXT(tblExpense[[#This Row],[Date]],"mmm")</f>
        <v>Dec</v>
      </c>
    </row>
    <row r="1150" spans="1:6" x14ac:dyDescent="0.3">
      <c r="A1150" s="1">
        <v>45632</v>
      </c>
      <c r="B1150" t="s">
        <v>1538</v>
      </c>
      <c r="C1150" t="s">
        <v>1532</v>
      </c>
      <c r="D1150">
        <v>81665</v>
      </c>
      <c r="E1150">
        <f>MONTH(tblExpense[[#This Row],[Date]])</f>
        <v>12</v>
      </c>
      <c r="F1150" t="str">
        <f>TEXT(tblExpense[[#This Row],[Date]],"mmm")</f>
        <v>Dec</v>
      </c>
    </row>
    <row r="1151" spans="1:6" x14ac:dyDescent="0.3">
      <c r="A1151" s="1">
        <v>45648</v>
      </c>
      <c r="B1151" t="s">
        <v>1536</v>
      </c>
      <c r="C1151" t="s">
        <v>1530</v>
      </c>
      <c r="D1151">
        <v>33982</v>
      </c>
      <c r="E1151">
        <f>MONTH(tblExpense[[#This Row],[Date]])</f>
        <v>12</v>
      </c>
      <c r="F1151" t="str">
        <f>TEXT(tblExpense[[#This Row],[Date]],"mmm")</f>
        <v>Dec</v>
      </c>
    </row>
    <row r="1152" spans="1:6" x14ac:dyDescent="0.3">
      <c r="A1152" s="1">
        <v>45638</v>
      </c>
      <c r="B1152" t="s">
        <v>1531</v>
      </c>
      <c r="C1152" t="s">
        <v>1530</v>
      </c>
      <c r="D1152">
        <v>54803</v>
      </c>
      <c r="E1152">
        <f>MONTH(tblExpense[[#This Row],[Date]])</f>
        <v>12</v>
      </c>
      <c r="F1152" t="str">
        <f>TEXT(tblExpense[[#This Row],[Date]],"mmm")</f>
        <v>Dec</v>
      </c>
    </row>
    <row r="1153" spans="1:6" x14ac:dyDescent="0.3">
      <c r="A1153" s="1">
        <v>45633</v>
      </c>
      <c r="B1153" t="s">
        <v>1529</v>
      </c>
      <c r="C1153" t="s">
        <v>1530</v>
      </c>
      <c r="D1153">
        <v>41823</v>
      </c>
      <c r="E1153">
        <f>MONTH(tblExpense[[#This Row],[Date]])</f>
        <v>12</v>
      </c>
      <c r="F1153" t="str">
        <f>TEXT(tblExpense[[#This Row],[Date]],"mmm")</f>
        <v>Dec</v>
      </c>
    </row>
    <row r="1154" spans="1:6" x14ac:dyDescent="0.3">
      <c r="A1154" s="1">
        <v>45652</v>
      </c>
      <c r="B1154" t="s">
        <v>1531</v>
      </c>
      <c r="C1154" t="s">
        <v>1534</v>
      </c>
      <c r="D1154">
        <v>10136</v>
      </c>
      <c r="E1154">
        <f>MONTH(tblExpense[[#This Row],[Date]])</f>
        <v>12</v>
      </c>
      <c r="F1154" t="str">
        <f>TEXT(tblExpense[[#This Row],[Date]],"mmm")</f>
        <v>Dec</v>
      </c>
    </row>
    <row r="1155" spans="1:6" x14ac:dyDescent="0.3">
      <c r="A1155" s="1">
        <v>45644</v>
      </c>
      <c r="B1155" t="s">
        <v>1529</v>
      </c>
      <c r="C1155" t="s">
        <v>1535</v>
      </c>
      <c r="D1155">
        <v>58645</v>
      </c>
      <c r="E1155">
        <f>MONTH(tblExpense[[#This Row],[Date]])</f>
        <v>12</v>
      </c>
      <c r="F1155" t="str">
        <f>TEXT(tblExpense[[#This Row],[Date]],"mmm")</f>
        <v>Dec</v>
      </c>
    </row>
    <row r="1156" spans="1:6" x14ac:dyDescent="0.3">
      <c r="A1156" s="1">
        <v>45650</v>
      </c>
      <c r="B1156" t="s">
        <v>1529</v>
      </c>
      <c r="C1156" t="s">
        <v>1535</v>
      </c>
      <c r="D1156">
        <v>59379</v>
      </c>
      <c r="E1156">
        <f>MONTH(tblExpense[[#This Row],[Date]])</f>
        <v>12</v>
      </c>
      <c r="F1156" t="str">
        <f>TEXT(tblExpense[[#This Row],[Date]],"mmm")</f>
        <v>Dec</v>
      </c>
    </row>
    <row r="1157" spans="1:6" x14ac:dyDescent="0.3">
      <c r="A1157" s="1">
        <v>45656</v>
      </c>
      <c r="B1157" t="s">
        <v>1536</v>
      </c>
      <c r="C1157" t="s">
        <v>1530</v>
      </c>
      <c r="D1157">
        <v>40563</v>
      </c>
      <c r="E1157">
        <f>MONTH(tblExpense[[#This Row],[Date]])</f>
        <v>12</v>
      </c>
      <c r="F1157" t="str">
        <f>TEXT(tblExpense[[#This Row],[Date]],"mmm")</f>
        <v>Dec</v>
      </c>
    </row>
    <row r="1158" spans="1:6" x14ac:dyDescent="0.3">
      <c r="A1158" s="1">
        <v>45657</v>
      </c>
      <c r="B1158" t="s">
        <v>1531</v>
      </c>
      <c r="C1158" t="s">
        <v>1532</v>
      </c>
      <c r="D1158">
        <v>43365</v>
      </c>
      <c r="E1158">
        <f>MONTH(tblExpense[[#This Row],[Date]])</f>
        <v>12</v>
      </c>
      <c r="F1158" t="str">
        <f>TEXT(tblExpense[[#This Row],[Date]],"mmm")</f>
        <v>Dec</v>
      </c>
    </row>
    <row r="1159" spans="1:6" x14ac:dyDescent="0.3">
      <c r="A1159" s="1">
        <v>45655</v>
      </c>
      <c r="B1159" t="s">
        <v>1533</v>
      </c>
      <c r="C1159" t="s">
        <v>1535</v>
      </c>
      <c r="D1159">
        <v>85167</v>
      </c>
      <c r="E1159">
        <f>MONTH(tblExpense[[#This Row],[Date]])</f>
        <v>12</v>
      </c>
      <c r="F1159" t="str">
        <f>TEXT(tblExpense[[#This Row],[Date]],"mmm")</f>
        <v>Dec</v>
      </c>
    </row>
    <row r="1160" spans="1:6" x14ac:dyDescent="0.3">
      <c r="A1160" s="1">
        <v>45634</v>
      </c>
      <c r="B1160" t="s">
        <v>1536</v>
      </c>
      <c r="C1160" t="s">
        <v>1532</v>
      </c>
      <c r="D1160">
        <v>20888</v>
      </c>
      <c r="E1160">
        <f>MONTH(tblExpense[[#This Row],[Date]])</f>
        <v>12</v>
      </c>
      <c r="F1160" t="str">
        <f>TEXT(tblExpense[[#This Row],[Date]],"mmm")</f>
        <v>Dec</v>
      </c>
    </row>
    <row r="1161" spans="1:6" x14ac:dyDescent="0.3">
      <c r="A1161" s="1">
        <v>45648</v>
      </c>
      <c r="B1161" t="s">
        <v>1529</v>
      </c>
      <c r="C1161" t="s">
        <v>1532</v>
      </c>
      <c r="D1161">
        <v>50834</v>
      </c>
      <c r="E1161">
        <f>MONTH(tblExpense[[#This Row],[Date]])</f>
        <v>12</v>
      </c>
      <c r="F1161" t="str">
        <f>TEXT(tblExpense[[#This Row],[Date]],"mmm")</f>
        <v>Dec</v>
      </c>
    </row>
    <row r="1162" spans="1:6" x14ac:dyDescent="0.3">
      <c r="A1162" s="1">
        <v>45652</v>
      </c>
      <c r="B1162" t="s">
        <v>1529</v>
      </c>
      <c r="C1162" t="s">
        <v>1530</v>
      </c>
      <c r="D1162">
        <v>46462</v>
      </c>
      <c r="E1162">
        <f>MONTH(tblExpense[[#This Row],[Date]])</f>
        <v>12</v>
      </c>
      <c r="F1162" t="str">
        <f>TEXT(tblExpense[[#This Row],[Date]],"mmm")</f>
        <v>Dec</v>
      </c>
    </row>
    <row r="1163" spans="1:6" x14ac:dyDescent="0.3">
      <c r="A1163" s="1">
        <v>45635</v>
      </c>
      <c r="B1163" t="s">
        <v>1538</v>
      </c>
      <c r="C1163" t="s">
        <v>1534</v>
      </c>
      <c r="D1163">
        <v>82740</v>
      </c>
      <c r="E1163">
        <f>MONTH(tblExpense[[#This Row],[Date]])</f>
        <v>12</v>
      </c>
      <c r="F1163" t="str">
        <f>TEXT(tblExpense[[#This Row],[Date]],"mmm")</f>
        <v>Dec</v>
      </c>
    </row>
    <row r="1164" spans="1:6" x14ac:dyDescent="0.3">
      <c r="A1164" s="1">
        <v>45650</v>
      </c>
      <c r="B1164" t="s">
        <v>1536</v>
      </c>
      <c r="C1164" t="s">
        <v>1534</v>
      </c>
      <c r="D1164">
        <v>92362</v>
      </c>
      <c r="E1164">
        <f>MONTH(tblExpense[[#This Row],[Date]])</f>
        <v>12</v>
      </c>
      <c r="F1164" t="str">
        <f>TEXT(tblExpense[[#This Row],[Date]],"mmm")</f>
        <v>Dec</v>
      </c>
    </row>
    <row r="1165" spans="1:6" x14ac:dyDescent="0.3">
      <c r="A1165" s="1">
        <v>45630</v>
      </c>
      <c r="B1165" t="s">
        <v>1529</v>
      </c>
      <c r="C1165" t="s">
        <v>1534</v>
      </c>
      <c r="D1165">
        <v>83128</v>
      </c>
      <c r="E1165">
        <f>MONTH(tblExpense[[#This Row],[Date]])</f>
        <v>12</v>
      </c>
      <c r="F1165" t="str">
        <f>TEXT(tblExpense[[#This Row],[Date]],"mmm")</f>
        <v>Dec</v>
      </c>
    </row>
    <row r="1166" spans="1:6" x14ac:dyDescent="0.3">
      <c r="A1166" s="1">
        <v>45631</v>
      </c>
      <c r="B1166" t="s">
        <v>1529</v>
      </c>
      <c r="C1166" t="s">
        <v>1535</v>
      </c>
      <c r="D1166">
        <v>54102</v>
      </c>
      <c r="E1166">
        <f>MONTH(tblExpense[[#This Row],[Date]])</f>
        <v>12</v>
      </c>
      <c r="F1166" t="str">
        <f>TEXT(tblExpense[[#This Row],[Date]],"mmm")</f>
        <v>Dec</v>
      </c>
    </row>
    <row r="1167" spans="1:6" x14ac:dyDescent="0.3">
      <c r="A1167" s="1">
        <v>45627</v>
      </c>
      <c r="B1167" t="s">
        <v>1531</v>
      </c>
      <c r="C1167" t="s">
        <v>1535</v>
      </c>
      <c r="D1167">
        <v>74427</v>
      </c>
      <c r="E1167">
        <f>MONTH(tblExpense[[#This Row],[Date]])</f>
        <v>12</v>
      </c>
      <c r="F1167" t="str">
        <f>TEXT(tblExpense[[#This Row],[Date]],"mmm")</f>
        <v>Dec</v>
      </c>
    </row>
    <row r="1168" spans="1:6" x14ac:dyDescent="0.3">
      <c r="A1168" s="1">
        <v>45637</v>
      </c>
      <c r="B1168" t="s">
        <v>1529</v>
      </c>
      <c r="C1168" t="s">
        <v>1534</v>
      </c>
      <c r="D1168">
        <v>13022</v>
      </c>
      <c r="E1168">
        <f>MONTH(tblExpense[[#This Row],[Date]])</f>
        <v>12</v>
      </c>
      <c r="F1168" t="str">
        <f>TEXT(tblExpense[[#This Row],[Date]],"mmm")</f>
        <v>Dec</v>
      </c>
    </row>
    <row r="1169" spans="1:6" x14ac:dyDescent="0.3">
      <c r="A1169" s="1">
        <v>45645</v>
      </c>
      <c r="B1169" t="s">
        <v>1536</v>
      </c>
      <c r="C1169" t="s">
        <v>1532</v>
      </c>
      <c r="D1169">
        <v>48204</v>
      </c>
      <c r="E1169">
        <f>MONTH(tblExpense[[#This Row],[Date]])</f>
        <v>12</v>
      </c>
      <c r="F1169" t="str">
        <f>TEXT(tblExpense[[#This Row],[Date]],"mmm")</f>
        <v>Dec</v>
      </c>
    </row>
    <row r="1170" spans="1:6" x14ac:dyDescent="0.3">
      <c r="A1170" s="1">
        <v>45648</v>
      </c>
      <c r="B1170" t="s">
        <v>1536</v>
      </c>
      <c r="C1170" t="s">
        <v>1535</v>
      </c>
      <c r="D1170">
        <v>55324</v>
      </c>
      <c r="E1170">
        <f>MONTH(tblExpense[[#This Row],[Date]])</f>
        <v>12</v>
      </c>
      <c r="F1170" t="str">
        <f>TEXT(tblExpense[[#This Row],[Date]],"mmm")</f>
        <v>Dec</v>
      </c>
    </row>
    <row r="1171" spans="1:6" x14ac:dyDescent="0.3">
      <c r="A1171" s="1">
        <v>45636</v>
      </c>
      <c r="B1171" t="s">
        <v>1533</v>
      </c>
      <c r="C1171" t="s">
        <v>1530</v>
      </c>
      <c r="D1171">
        <v>54300</v>
      </c>
      <c r="E1171">
        <f>MONTH(tblExpense[[#This Row],[Date]])</f>
        <v>12</v>
      </c>
      <c r="F1171" t="str">
        <f>TEXT(tblExpense[[#This Row],[Date]],"mmm")</f>
        <v>Dec</v>
      </c>
    </row>
    <row r="1172" spans="1:6" x14ac:dyDescent="0.3">
      <c r="A1172" s="1">
        <v>45636</v>
      </c>
      <c r="B1172" t="s">
        <v>1536</v>
      </c>
      <c r="C1172" t="s">
        <v>1534</v>
      </c>
      <c r="D1172">
        <v>13983</v>
      </c>
      <c r="E1172">
        <f>MONTH(tblExpense[[#This Row],[Date]])</f>
        <v>12</v>
      </c>
      <c r="F1172" t="str">
        <f>TEXT(tblExpense[[#This Row],[Date]],"mmm")</f>
        <v>Dec</v>
      </c>
    </row>
    <row r="1173" spans="1:6" x14ac:dyDescent="0.3">
      <c r="A1173" s="1">
        <v>45638</v>
      </c>
      <c r="B1173" t="s">
        <v>1536</v>
      </c>
      <c r="C1173" t="s">
        <v>1535</v>
      </c>
      <c r="D1173">
        <v>23138</v>
      </c>
      <c r="E1173">
        <f>MONTH(tblExpense[[#This Row],[Date]])</f>
        <v>12</v>
      </c>
      <c r="F1173" t="str">
        <f>TEXT(tblExpense[[#This Row],[Date]],"mmm")</f>
        <v>Dec</v>
      </c>
    </row>
    <row r="1174" spans="1:6" x14ac:dyDescent="0.3">
      <c r="A1174" s="1">
        <v>45638</v>
      </c>
      <c r="B1174" t="s">
        <v>1529</v>
      </c>
      <c r="C1174" t="s">
        <v>1534</v>
      </c>
      <c r="D1174">
        <v>89980</v>
      </c>
      <c r="E1174">
        <f>MONTH(tblExpense[[#This Row],[Date]])</f>
        <v>12</v>
      </c>
      <c r="F1174" t="str">
        <f>TEXT(tblExpense[[#This Row],[Date]],"mmm")</f>
        <v>Dec</v>
      </c>
    </row>
    <row r="1175" spans="1:6" x14ac:dyDescent="0.3">
      <c r="A1175" s="1">
        <v>45638</v>
      </c>
      <c r="B1175" t="s">
        <v>1538</v>
      </c>
      <c r="C1175" t="s">
        <v>1537</v>
      </c>
      <c r="D1175">
        <v>38990</v>
      </c>
      <c r="E1175">
        <f>MONTH(tblExpense[[#This Row],[Date]])</f>
        <v>12</v>
      </c>
      <c r="F1175" t="str">
        <f>TEXT(tblExpense[[#This Row],[Date]],"mmm")</f>
        <v>Dec</v>
      </c>
    </row>
    <row r="1176" spans="1:6" x14ac:dyDescent="0.3">
      <c r="A1176" s="1">
        <v>45655</v>
      </c>
      <c r="B1176" t="s">
        <v>1531</v>
      </c>
      <c r="C1176" t="s">
        <v>1530</v>
      </c>
      <c r="D1176">
        <v>56430</v>
      </c>
      <c r="E1176">
        <f>MONTH(tblExpense[[#This Row],[Date]])</f>
        <v>12</v>
      </c>
      <c r="F1176" t="str">
        <f>TEXT(tblExpense[[#This Row],[Date]],"mmm")</f>
        <v>Dec</v>
      </c>
    </row>
    <row r="1177" spans="1:6" x14ac:dyDescent="0.3">
      <c r="A1177" s="1">
        <v>45638</v>
      </c>
      <c r="B1177" t="s">
        <v>1533</v>
      </c>
      <c r="C1177" t="s">
        <v>1530</v>
      </c>
      <c r="D1177">
        <v>48045</v>
      </c>
      <c r="E1177">
        <f>MONTH(tblExpense[[#This Row],[Date]])</f>
        <v>12</v>
      </c>
      <c r="F1177" t="str">
        <f>TEXT(tblExpense[[#This Row],[Date]],"mmm")</f>
        <v>Dec</v>
      </c>
    </row>
    <row r="1178" spans="1:6" x14ac:dyDescent="0.3">
      <c r="A1178" s="1">
        <v>45641</v>
      </c>
      <c r="B1178" t="s">
        <v>1538</v>
      </c>
      <c r="C1178" t="s">
        <v>1534</v>
      </c>
      <c r="D1178">
        <v>38583</v>
      </c>
      <c r="E1178">
        <f>MONTH(tblExpense[[#This Row],[Date]])</f>
        <v>12</v>
      </c>
      <c r="F1178" t="str">
        <f>TEXT(tblExpense[[#This Row],[Date]],"mmm")</f>
        <v>Dec</v>
      </c>
    </row>
    <row r="1179" spans="1:6" x14ac:dyDescent="0.3">
      <c r="A1179" s="1">
        <v>45654</v>
      </c>
      <c r="B1179" t="s">
        <v>1538</v>
      </c>
      <c r="C1179" t="s">
        <v>1535</v>
      </c>
      <c r="D1179">
        <v>8839</v>
      </c>
      <c r="E1179">
        <f>MONTH(tblExpense[[#This Row],[Date]])</f>
        <v>12</v>
      </c>
      <c r="F1179" t="str">
        <f>TEXT(tblExpense[[#This Row],[Date]],"mmm")</f>
        <v>Dec</v>
      </c>
    </row>
    <row r="1180" spans="1:6" x14ac:dyDescent="0.3">
      <c r="A1180" s="1">
        <v>45632</v>
      </c>
      <c r="B1180" t="s">
        <v>1533</v>
      </c>
      <c r="C1180" t="s">
        <v>1532</v>
      </c>
      <c r="D1180">
        <v>86076</v>
      </c>
      <c r="E1180">
        <f>MONTH(tblExpense[[#This Row],[Date]])</f>
        <v>12</v>
      </c>
      <c r="F1180" t="str">
        <f>TEXT(tblExpense[[#This Row],[Date]],"mmm")</f>
        <v>Dec</v>
      </c>
    </row>
    <row r="1181" spans="1:6" x14ac:dyDescent="0.3">
      <c r="A1181" s="1">
        <v>45656</v>
      </c>
      <c r="B1181" t="s">
        <v>1538</v>
      </c>
      <c r="C1181" t="s">
        <v>1537</v>
      </c>
      <c r="D1181">
        <v>14147</v>
      </c>
      <c r="E1181">
        <f>MONTH(tblExpense[[#This Row],[Date]])</f>
        <v>12</v>
      </c>
      <c r="F1181" t="str">
        <f>TEXT(tblExpense[[#This Row],[Date]],"mmm")</f>
        <v>Dec</v>
      </c>
    </row>
    <row r="1182" spans="1:6" x14ac:dyDescent="0.3">
      <c r="A1182" s="1">
        <v>45637</v>
      </c>
      <c r="B1182" t="s">
        <v>1531</v>
      </c>
      <c r="C1182" t="s">
        <v>1534</v>
      </c>
      <c r="D1182">
        <v>32131</v>
      </c>
      <c r="E1182">
        <f>MONTH(tblExpense[[#This Row],[Date]])</f>
        <v>12</v>
      </c>
      <c r="F1182" t="str">
        <f>TEXT(tblExpense[[#This Row],[Date]],"mmm")</f>
        <v>Dec</v>
      </c>
    </row>
    <row r="1183" spans="1:6" x14ac:dyDescent="0.3">
      <c r="A1183" s="1">
        <v>45632</v>
      </c>
      <c r="B1183" t="s">
        <v>1533</v>
      </c>
      <c r="C1183" t="s">
        <v>1534</v>
      </c>
      <c r="D1183">
        <v>23971</v>
      </c>
      <c r="E1183">
        <f>MONTH(tblExpense[[#This Row],[Date]])</f>
        <v>12</v>
      </c>
      <c r="F1183" t="str">
        <f>TEXT(tblExpense[[#This Row],[Date]],"mmm")</f>
        <v>Dec</v>
      </c>
    </row>
    <row r="1184" spans="1:6" x14ac:dyDescent="0.3">
      <c r="A1184" s="1">
        <v>45651</v>
      </c>
      <c r="B1184" t="s">
        <v>1536</v>
      </c>
      <c r="C1184" t="s">
        <v>1535</v>
      </c>
      <c r="D1184">
        <v>90457</v>
      </c>
      <c r="E1184">
        <f>MONTH(tblExpense[[#This Row],[Date]])</f>
        <v>12</v>
      </c>
      <c r="F1184" t="str">
        <f>TEXT(tblExpense[[#This Row],[Date]],"mmm")</f>
        <v>Dec</v>
      </c>
    </row>
    <row r="1185" spans="1:6" x14ac:dyDescent="0.3">
      <c r="A1185" s="1">
        <v>45649</v>
      </c>
      <c r="B1185" t="s">
        <v>1531</v>
      </c>
      <c r="C1185" t="s">
        <v>1534</v>
      </c>
      <c r="D1185">
        <v>84675</v>
      </c>
      <c r="E1185">
        <f>MONTH(tblExpense[[#This Row],[Date]])</f>
        <v>12</v>
      </c>
      <c r="F1185" t="str">
        <f>TEXT(tblExpense[[#This Row],[Date]],"mmm")</f>
        <v>Dec</v>
      </c>
    </row>
    <row r="1186" spans="1:6" x14ac:dyDescent="0.3">
      <c r="A1186" s="1">
        <v>45632</v>
      </c>
      <c r="B1186" t="s">
        <v>1536</v>
      </c>
      <c r="C1186" t="s">
        <v>1532</v>
      </c>
      <c r="D1186">
        <v>32718</v>
      </c>
      <c r="E1186">
        <f>MONTH(tblExpense[[#This Row],[Date]])</f>
        <v>12</v>
      </c>
      <c r="F1186" t="str">
        <f>TEXT(tblExpense[[#This Row],[Date]],"mmm")</f>
        <v>Dec</v>
      </c>
    </row>
    <row r="1187" spans="1:6" x14ac:dyDescent="0.3">
      <c r="A1187" s="1">
        <v>45634</v>
      </c>
      <c r="B1187" t="s">
        <v>1529</v>
      </c>
      <c r="C1187" t="s">
        <v>1530</v>
      </c>
      <c r="D1187">
        <v>58075</v>
      </c>
      <c r="E1187">
        <f>MONTH(tblExpense[[#This Row],[Date]])</f>
        <v>12</v>
      </c>
      <c r="F1187" t="str">
        <f>TEXT(tblExpense[[#This Row],[Date]],"mmm")</f>
        <v>Dec</v>
      </c>
    </row>
    <row r="1188" spans="1:6" x14ac:dyDescent="0.3">
      <c r="A1188" s="1">
        <v>45648</v>
      </c>
      <c r="B1188" t="s">
        <v>1531</v>
      </c>
      <c r="C1188" t="s">
        <v>1532</v>
      </c>
      <c r="D1188">
        <v>20149</v>
      </c>
      <c r="E1188">
        <f>MONTH(tblExpense[[#This Row],[Date]])</f>
        <v>12</v>
      </c>
      <c r="F1188" t="str">
        <f>TEXT(tblExpense[[#This Row],[Date]],"mmm")</f>
        <v>Dec</v>
      </c>
    </row>
    <row r="1189" spans="1:6" x14ac:dyDescent="0.3">
      <c r="A1189" s="1">
        <v>45641</v>
      </c>
      <c r="B1189" t="s">
        <v>1538</v>
      </c>
      <c r="C1189" t="s">
        <v>1537</v>
      </c>
      <c r="D1189">
        <v>31969</v>
      </c>
      <c r="E1189">
        <f>MONTH(tblExpense[[#This Row],[Date]])</f>
        <v>12</v>
      </c>
      <c r="F1189" t="str">
        <f>TEXT(tblExpense[[#This Row],[Date]],"mmm")</f>
        <v>Dec</v>
      </c>
    </row>
    <row r="1190" spans="1:6" x14ac:dyDescent="0.3">
      <c r="A1190" s="1">
        <v>45636</v>
      </c>
      <c r="B1190" t="s">
        <v>1533</v>
      </c>
      <c r="C1190" t="s">
        <v>1535</v>
      </c>
      <c r="D1190">
        <v>35056</v>
      </c>
      <c r="E1190">
        <f>MONTH(tblExpense[[#This Row],[Date]])</f>
        <v>12</v>
      </c>
      <c r="F1190" t="str">
        <f>TEXT(tblExpense[[#This Row],[Date]],"mmm")</f>
        <v>Dec</v>
      </c>
    </row>
    <row r="1191" spans="1:6" x14ac:dyDescent="0.3">
      <c r="A1191" s="1">
        <v>45628</v>
      </c>
      <c r="B1191" t="s">
        <v>1536</v>
      </c>
      <c r="C1191" t="s">
        <v>1535</v>
      </c>
      <c r="D1191">
        <v>48773</v>
      </c>
      <c r="E1191">
        <f>MONTH(tblExpense[[#This Row],[Date]])</f>
        <v>12</v>
      </c>
      <c r="F1191" t="str">
        <f>TEXT(tblExpense[[#This Row],[Date]],"mmm")</f>
        <v>Dec</v>
      </c>
    </row>
    <row r="1192" spans="1:6" x14ac:dyDescent="0.3">
      <c r="A1192" s="1">
        <v>45655</v>
      </c>
      <c r="B1192" t="s">
        <v>1538</v>
      </c>
      <c r="C1192" t="s">
        <v>1530</v>
      </c>
      <c r="D1192">
        <v>25541</v>
      </c>
      <c r="E1192">
        <f>MONTH(tblExpense[[#This Row],[Date]])</f>
        <v>12</v>
      </c>
      <c r="F1192" t="str">
        <f>TEXT(tblExpense[[#This Row],[Date]],"mmm")</f>
        <v>Dec</v>
      </c>
    </row>
    <row r="1193" spans="1:6" x14ac:dyDescent="0.3">
      <c r="A1193" s="1">
        <v>45656</v>
      </c>
      <c r="B1193" t="s">
        <v>1531</v>
      </c>
      <c r="C1193" t="s">
        <v>1530</v>
      </c>
      <c r="D1193">
        <v>65427</v>
      </c>
      <c r="E1193">
        <f>MONTH(tblExpense[[#This Row],[Date]])</f>
        <v>12</v>
      </c>
      <c r="F1193" t="str">
        <f>TEXT(tblExpense[[#This Row],[Date]],"mmm")</f>
        <v>Dec</v>
      </c>
    </row>
    <row r="1194" spans="1:6" x14ac:dyDescent="0.3">
      <c r="A1194" s="1">
        <v>45638</v>
      </c>
      <c r="B1194" t="s">
        <v>1536</v>
      </c>
      <c r="C1194" t="s">
        <v>1532</v>
      </c>
      <c r="D1194">
        <v>8285</v>
      </c>
      <c r="E1194">
        <f>MONTH(tblExpense[[#This Row],[Date]])</f>
        <v>12</v>
      </c>
      <c r="F1194" t="str">
        <f>TEXT(tblExpense[[#This Row],[Date]],"mmm")</f>
        <v>Dec</v>
      </c>
    </row>
    <row r="1195" spans="1:6" x14ac:dyDescent="0.3">
      <c r="A1195" s="1">
        <v>45633</v>
      </c>
      <c r="B1195" t="s">
        <v>1531</v>
      </c>
      <c r="C1195" t="s">
        <v>1537</v>
      </c>
      <c r="D1195">
        <v>26123</v>
      </c>
      <c r="E1195">
        <f>MONTH(tblExpense[[#This Row],[Date]])</f>
        <v>12</v>
      </c>
      <c r="F1195" t="str">
        <f>TEXT(tblExpense[[#This Row],[Date]],"mmm")</f>
        <v>Dec</v>
      </c>
    </row>
    <row r="1196" spans="1:6" x14ac:dyDescent="0.3">
      <c r="A1196" s="1">
        <v>45643</v>
      </c>
      <c r="B1196" t="s">
        <v>1531</v>
      </c>
      <c r="C1196" t="s">
        <v>1532</v>
      </c>
      <c r="D1196">
        <v>62665</v>
      </c>
      <c r="E1196">
        <f>MONTH(tblExpense[[#This Row],[Date]])</f>
        <v>12</v>
      </c>
      <c r="F1196" t="str">
        <f>TEXT(tblExpense[[#This Row],[Date]],"mmm")</f>
        <v>Dec</v>
      </c>
    </row>
    <row r="1197" spans="1:6" x14ac:dyDescent="0.3">
      <c r="A1197" s="1">
        <v>45633</v>
      </c>
      <c r="B1197" t="s">
        <v>1538</v>
      </c>
      <c r="C1197" t="s">
        <v>1537</v>
      </c>
      <c r="D1197">
        <v>73256</v>
      </c>
      <c r="E1197">
        <f>MONTH(tblExpense[[#This Row],[Date]])</f>
        <v>12</v>
      </c>
      <c r="F1197" t="str">
        <f>TEXT(tblExpense[[#This Row],[Date]],"mmm")</f>
        <v>Dec</v>
      </c>
    </row>
    <row r="1198" spans="1:6" x14ac:dyDescent="0.3">
      <c r="A1198" s="1">
        <v>45640</v>
      </c>
      <c r="B1198" t="s">
        <v>1529</v>
      </c>
      <c r="C1198" t="s">
        <v>1537</v>
      </c>
      <c r="D1198">
        <v>33336</v>
      </c>
      <c r="E1198">
        <f>MONTH(tblExpense[[#This Row],[Date]])</f>
        <v>12</v>
      </c>
      <c r="F1198" t="str">
        <f>TEXT(tblExpense[[#This Row],[Date]],"mmm")</f>
        <v>Dec</v>
      </c>
    </row>
    <row r="1199" spans="1:6" x14ac:dyDescent="0.3">
      <c r="A1199" s="1">
        <v>45648</v>
      </c>
      <c r="B1199" t="s">
        <v>1536</v>
      </c>
      <c r="C1199" t="s">
        <v>1534</v>
      </c>
      <c r="D1199">
        <v>33001</v>
      </c>
      <c r="E1199">
        <f>MONTH(tblExpense[[#This Row],[Date]])</f>
        <v>12</v>
      </c>
      <c r="F1199" t="str">
        <f>TEXT(tblExpense[[#This Row],[Date]],"mmm")</f>
        <v>Dec</v>
      </c>
    </row>
    <row r="1200" spans="1:6" x14ac:dyDescent="0.3">
      <c r="A1200" s="1">
        <v>45646</v>
      </c>
      <c r="B1200" t="s">
        <v>1529</v>
      </c>
      <c r="C1200" t="s">
        <v>1537</v>
      </c>
      <c r="D1200">
        <v>96966</v>
      </c>
      <c r="E1200">
        <f>MONTH(tblExpense[[#This Row],[Date]])</f>
        <v>12</v>
      </c>
      <c r="F1200" t="str">
        <f>TEXT(tblExpense[[#This Row],[Date]],"mmm")</f>
        <v>Dec</v>
      </c>
    </row>
    <row r="1201" spans="1:6" x14ac:dyDescent="0.3">
      <c r="A1201" s="1">
        <v>45654</v>
      </c>
      <c r="B1201" t="s">
        <v>1531</v>
      </c>
      <c r="C1201" t="s">
        <v>1535</v>
      </c>
      <c r="D1201">
        <v>13345</v>
      </c>
      <c r="E1201">
        <f>MONTH(tblExpense[[#This Row],[Date]])</f>
        <v>12</v>
      </c>
      <c r="F1201" t="str">
        <f>TEXT(tblExpense[[#This Row],[Date]],"mmm")</f>
        <v>Dec</v>
      </c>
    </row>
  </sheetData>
  <pageMargins left="0.75" right="0.75" top="1" bottom="1" header="0.5" footer="0.5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selection sqref="A1:D1048576"/>
    </sheetView>
  </sheetViews>
  <sheetFormatPr defaultRowHeight="14.4" x14ac:dyDescent="0.3"/>
  <cols>
    <col min="2" max="2" width="13" customWidth="1"/>
    <col min="3" max="3" width="16.77734375" customWidth="1"/>
  </cols>
  <sheetData>
    <row r="1" spans="1:4" x14ac:dyDescent="0.3">
      <c r="A1" t="s">
        <v>1539</v>
      </c>
      <c r="B1" t="s">
        <v>1526</v>
      </c>
      <c r="C1" t="s">
        <v>1540</v>
      </c>
      <c r="D1" t="s">
        <v>1814</v>
      </c>
    </row>
    <row r="2" spans="1:4" x14ac:dyDescent="0.3">
      <c r="A2">
        <v>1</v>
      </c>
      <c r="B2" t="s">
        <v>1538</v>
      </c>
      <c r="C2">
        <v>545422</v>
      </c>
      <c r="D2" t="str">
        <f>TEXT(DATE(2024, tblBudget[[#This Row],[Month]], 1), "mmm")</f>
        <v>Jan</v>
      </c>
    </row>
    <row r="3" spans="1:4" x14ac:dyDescent="0.3">
      <c r="A3">
        <v>1</v>
      </c>
      <c r="B3" t="s">
        <v>1533</v>
      </c>
      <c r="C3">
        <v>1218773</v>
      </c>
      <c r="D3" t="str">
        <f>TEXT(DATE(2024, tblBudget[[#This Row],[Month]], 1), "mmm")</f>
        <v>Jan</v>
      </c>
    </row>
    <row r="4" spans="1:4" x14ac:dyDescent="0.3">
      <c r="A4">
        <v>1</v>
      </c>
      <c r="B4" t="s">
        <v>1529</v>
      </c>
      <c r="C4">
        <v>920616</v>
      </c>
      <c r="D4" t="str">
        <f>TEXT(DATE(2024, tblBudget[[#This Row],[Month]], 1), "mmm")</f>
        <v>Jan</v>
      </c>
    </row>
    <row r="5" spans="1:4" x14ac:dyDescent="0.3">
      <c r="A5">
        <v>1</v>
      </c>
      <c r="B5" t="s">
        <v>1536</v>
      </c>
      <c r="C5">
        <v>551190</v>
      </c>
      <c r="D5" t="str">
        <f>TEXT(DATE(2024, tblBudget[[#This Row],[Month]], 1), "mmm")</f>
        <v>Jan</v>
      </c>
    </row>
    <row r="6" spans="1:4" x14ac:dyDescent="0.3">
      <c r="A6">
        <v>1</v>
      </c>
      <c r="B6" t="s">
        <v>1531</v>
      </c>
      <c r="C6">
        <v>671771</v>
      </c>
      <c r="D6" t="str">
        <f>TEXT(DATE(2024, tblBudget[[#This Row],[Month]], 1), "mmm")</f>
        <v>Jan</v>
      </c>
    </row>
    <row r="7" spans="1:4" x14ac:dyDescent="0.3">
      <c r="A7">
        <v>2</v>
      </c>
      <c r="B7" t="s">
        <v>1538</v>
      </c>
      <c r="C7">
        <v>1252534</v>
      </c>
      <c r="D7" t="str">
        <f>TEXT(DATE(2024, tblBudget[[#This Row],[Month]], 1), "mmm")</f>
        <v>Feb</v>
      </c>
    </row>
    <row r="8" spans="1:4" x14ac:dyDescent="0.3">
      <c r="A8">
        <v>2</v>
      </c>
      <c r="B8" t="s">
        <v>1533</v>
      </c>
      <c r="C8">
        <v>808983</v>
      </c>
      <c r="D8" t="str">
        <f>TEXT(DATE(2024, tblBudget[[#This Row],[Month]], 1), "mmm")</f>
        <v>Feb</v>
      </c>
    </row>
    <row r="9" spans="1:4" x14ac:dyDescent="0.3">
      <c r="A9">
        <v>2</v>
      </c>
      <c r="B9" t="s">
        <v>1529</v>
      </c>
      <c r="C9">
        <v>679459</v>
      </c>
      <c r="D9" t="str">
        <f>TEXT(DATE(2024, tblBudget[[#This Row],[Month]], 1), "mmm")</f>
        <v>Feb</v>
      </c>
    </row>
    <row r="10" spans="1:4" x14ac:dyDescent="0.3">
      <c r="A10">
        <v>2</v>
      </c>
      <c r="B10" t="s">
        <v>1536</v>
      </c>
      <c r="C10">
        <v>800733</v>
      </c>
      <c r="D10" t="str">
        <f>TEXT(DATE(2024, tblBudget[[#This Row],[Month]], 1), "mmm")</f>
        <v>Feb</v>
      </c>
    </row>
    <row r="11" spans="1:4" x14ac:dyDescent="0.3">
      <c r="A11">
        <v>2</v>
      </c>
      <c r="B11" t="s">
        <v>1531</v>
      </c>
      <c r="C11">
        <v>1276312</v>
      </c>
      <c r="D11" t="str">
        <f>TEXT(DATE(2024, tblBudget[[#This Row],[Month]], 1), "mmm")</f>
        <v>Feb</v>
      </c>
    </row>
    <row r="12" spans="1:4" x14ac:dyDescent="0.3">
      <c r="A12">
        <v>3</v>
      </c>
      <c r="B12" t="s">
        <v>1538</v>
      </c>
      <c r="C12">
        <v>1446290</v>
      </c>
      <c r="D12" t="str">
        <f>TEXT(DATE(2024, tblBudget[[#This Row],[Month]], 1), "mmm")</f>
        <v>Mar</v>
      </c>
    </row>
    <row r="13" spans="1:4" x14ac:dyDescent="0.3">
      <c r="A13">
        <v>3</v>
      </c>
      <c r="B13" t="s">
        <v>1533</v>
      </c>
      <c r="C13">
        <v>919494</v>
      </c>
      <c r="D13" t="str">
        <f>TEXT(DATE(2024, tblBudget[[#This Row],[Month]], 1), "mmm")</f>
        <v>Mar</v>
      </c>
    </row>
    <row r="14" spans="1:4" x14ac:dyDescent="0.3">
      <c r="A14">
        <v>3</v>
      </c>
      <c r="B14" t="s">
        <v>1529</v>
      </c>
      <c r="C14">
        <v>1175510</v>
      </c>
      <c r="D14" t="str">
        <f>TEXT(DATE(2024, tblBudget[[#This Row],[Month]], 1), "mmm")</f>
        <v>Mar</v>
      </c>
    </row>
    <row r="15" spans="1:4" x14ac:dyDescent="0.3">
      <c r="A15">
        <v>3</v>
      </c>
      <c r="B15" t="s">
        <v>1536</v>
      </c>
      <c r="C15">
        <v>927775</v>
      </c>
      <c r="D15" t="str">
        <f>TEXT(DATE(2024, tblBudget[[#This Row],[Month]], 1), "mmm")</f>
        <v>Mar</v>
      </c>
    </row>
    <row r="16" spans="1:4" x14ac:dyDescent="0.3">
      <c r="A16">
        <v>3</v>
      </c>
      <c r="B16" t="s">
        <v>1531</v>
      </c>
      <c r="C16">
        <v>1036964</v>
      </c>
      <c r="D16" t="str">
        <f>TEXT(DATE(2024, tblBudget[[#This Row],[Month]], 1), "mmm")</f>
        <v>Mar</v>
      </c>
    </row>
    <row r="17" spans="1:4" x14ac:dyDescent="0.3">
      <c r="A17">
        <v>4</v>
      </c>
      <c r="B17" t="s">
        <v>1538</v>
      </c>
      <c r="C17">
        <v>917165</v>
      </c>
      <c r="D17" t="str">
        <f>TEXT(DATE(2024, tblBudget[[#This Row],[Month]], 1), "mmm")</f>
        <v>Apr</v>
      </c>
    </row>
    <row r="18" spans="1:4" x14ac:dyDescent="0.3">
      <c r="A18">
        <v>4</v>
      </c>
      <c r="B18" t="s">
        <v>1533</v>
      </c>
      <c r="C18">
        <v>826929</v>
      </c>
      <c r="D18" t="str">
        <f>TEXT(DATE(2024, tblBudget[[#This Row],[Month]], 1), "mmm")</f>
        <v>Apr</v>
      </c>
    </row>
    <row r="19" spans="1:4" x14ac:dyDescent="0.3">
      <c r="A19">
        <v>4</v>
      </c>
      <c r="B19" t="s">
        <v>1529</v>
      </c>
      <c r="C19">
        <v>989520</v>
      </c>
      <c r="D19" t="str">
        <f>TEXT(DATE(2024, tblBudget[[#This Row],[Month]], 1), "mmm")</f>
        <v>Apr</v>
      </c>
    </row>
    <row r="20" spans="1:4" x14ac:dyDescent="0.3">
      <c r="A20">
        <v>4</v>
      </c>
      <c r="B20" t="s">
        <v>1536</v>
      </c>
      <c r="C20">
        <v>845861</v>
      </c>
      <c r="D20" t="str">
        <f>TEXT(DATE(2024, tblBudget[[#This Row],[Month]], 1), "mmm")</f>
        <v>Apr</v>
      </c>
    </row>
    <row r="21" spans="1:4" x14ac:dyDescent="0.3">
      <c r="A21">
        <v>4</v>
      </c>
      <c r="B21" t="s">
        <v>1531</v>
      </c>
      <c r="C21">
        <v>1316357</v>
      </c>
      <c r="D21" t="str">
        <f>TEXT(DATE(2024, tblBudget[[#This Row],[Month]], 1), "mmm")</f>
        <v>Apr</v>
      </c>
    </row>
    <row r="22" spans="1:4" x14ac:dyDescent="0.3">
      <c r="A22">
        <v>5</v>
      </c>
      <c r="B22" t="s">
        <v>1538</v>
      </c>
      <c r="C22">
        <v>528927</v>
      </c>
      <c r="D22" t="str">
        <f>TEXT(DATE(2024, tblBudget[[#This Row],[Month]], 1), "mmm")</f>
        <v>May</v>
      </c>
    </row>
    <row r="23" spans="1:4" x14ac:dyDescent="0.3">
      <c r="A23">
        <v>5</v>
      </c>
      <c r="B23" t="s">
        <v>1533</v>
      </c>
      <c r="C23">
        <v>1321662</v>
      </c>
      <c r="D23" t="str">
        <f>TEXT(DATE(2024, tblBudget[[#This Row],[Month]], 1), "mmm")</f>
        <v>May</v>
      </c>
    </row>
    <row r="24" spans="1:4" x14ac:dyDescent="0.3">
      <c r="A24">
        <v>5</v>
      </c>
      <c r="B24" t="s">
        <v>1529</v>
      </c>
      <c r="C24">
        <v>909535</v>
      </c>
      <c r="D24" t="str">
        <f>TEXT(DATE(2024, tblBudget[[#This Row],[Month]], 1), "mmm")</f>
        <v>May</v>
      </c>
    </row>
    <row r="25" spans="1:4" x14ac:dyDescent="0.3">
      <c r="A25">
        <v>5</v>
      </c>
      <c r="B25" t="s">
        <v>1536</v>
      </c>
      <c r="C25">
        <v>689268</v>
      </c>
      <c r="D25" t="str">
        <f>TEXT(DATE(2024, tblBudget[[#This Row],[Month]], 1), "mmm")</f>
        <v>May</v>
      </c>
    </row>
    <row r="26" spans="1:4" x14ac:dyDescent="0.3">
      <c r="A26">
        <v>5</v>
      </c>
      <c r="B26" t="s">
        <v>1531</v>
      </c>
      <c r="C26">
        <v>522867</v>
      </c>
      <c r="D26" t="str">
        <f>TEXT(DATE(2024, tblBudget[[#This Row],[Month]], 1), "mmm")</f>
        <v>May</v>
      </c>
    </row>
    <row r="27" spans="1:4" x14ac:dyDescent="0.3">
      <c r="A27">
        <v>6</v>
      </c>
      <c r="B27" t="s">
        <v>1538</v>
      </c>
      <c r="C27">
        <v>1005412</v>
      </c>
      <c r="D27" t="str">
        <f>TEXT(DATE(2024, tblBudget[[#This Row],[Month]], 1), "mmm")</f>
        <v>Jun</v>
      </c>
    </row>
    <row r="28" spans="1:4" x14ac:dyDescent="0.3">
      <c r="A28">
        <v>6</v>
      </c>
      <c r="B28" t="s">
        <v>1533</v>
      </c>
      <c r="C28">
        <v>890801</v>
      </c>
      <c r="D28" t="str">
        <f>TEXT(DATE(2024, tblBudget[[#This Row],[Month]], 1), "mmm")</f>
        <v>Jun</v>
      </c>
    </row>
    <row r="29" spans="1:4" x14ac:dyDescent="0.3">
      <c r="A29">
        <v>6</v>
      </c>
      <c r="B29" t="s">
        <v>1529</v>
      </c>
      <c r="C29">
        <v>560350</v>
      </c>
      <c r="D29" t="str">
        <f>TEXT(DATE(2024, tblBudget[[#This Row],[Month]], 1), "mmm")</f>
        <v>Jun</v>
      </c>
    </row>
    <row r="30" spans="1:4" x14ac:dyDescent="0.3">
      <c r="A30">
        <v>6</v>
      </c>
      <c r="B30" t="s">
        <v>1536</v>
      </c>
      <c r="C30">
        <v>1254963</v>
      </c>
      <c r="D30" t="str">
        <f>TEXT(DATE(2024, tblBudget[[#This Row],[Month]], 1), "mmm")</f>
        <v>Jun</v>
      </c>
    </row>
    <row r="31" spans="1:4" x14ac:dyDescent="0.3">
      <c r="A31">
        <v>6</v>
      </c>
      <c r="B31" t="s">
        <v>1531</v>
      </c>
      <c r="C31">
        <v>1453651</v>
      </c>
      <c r="D31" t="str">
        <f>TEXT(DATE(2024, tblBudget[[#This Row],[Month]], 1), "mmm")</f>
        <v>Jun</v>
      </c>
    </row>
    <row r="32" spans="1:4" x14ac:dyDescent="0.3">
      <c r="A32">
        <v>7</v>
      </c>
      <c r="B32" t="s">
        <v>1538</v>
      </c>
      <c r="C32">
        <v>1113758</v>
      </c>
      <c r="D32" t="str">
        <f>TEXT(DATE(2024, tblBudget[[#This Row],[Month]], 1), "mmm")</f>
        <v>Jul</v>
      </c>
    </row>
    <row r="33" spans="1:4" x14ac:dyDescent="0.3">
      <c r="A33">
        <v>7</v>
      </c>
      <c r="B33" t="s">
        <v>1533</v>
      </c>
      <c r="C33">
        <v>1411883</v>
      </c>
      <c r="D33" t="str">
        <f>TEXT(DATE(2024, tblBudget[[#This Row],[Month]], 1), "mmm")</f>
        <v>Jul</v>
      </c>
    </row>
    <row r="34" spans="1:4" x14ac:dyDescent="0.3">
      <c r="A34">
        <v>7</v>
      </c>
      <c r="B34" t="s">
        <v>1529</v>
      </c>
      <c r="C34">
        <v>788849</v>
      </c>
      <c r="D34" t="str">
        <f>TEXT(DATE(2024, tblBudget[[#This Row],[Month]], 1), "mmm")</f>
        <v>Jul</v>
      </c>
    </row>
    <row r="35" spans="1:4" x14ac:dyDescent="0.3">
      <c r="A35">
        <v>7</v>
      </c>
      <c r="B35" t="s">
        <v>1536</v>
      </c>
      <c r="C35">
        <v>915447</v>
      </c>
      <c r="D35" t="str">
        <f>TEXT(DATE(2024, tblBudget[[#This Row],[Month]], 1), "mmm")</f>
        <v>Jul</v>
      </c>
    </row>
    <row r="36" spans="1:4" x14ac:dyDescent="0.3">
      <c r="A36">
        <v>7</v>
      </c>
      <c r="B36" t="s">
        <v>1531</v>
      </c>
      <c r="C36">
        <v>1291119</v>
      </c>
      <c r="D36" t="str">
        <f>TEXT(DATE(2024, tblBudget[[#This Row],[Month]], 1), "mmm")</f>
        <v>Jul</v>
      </c>
    </row>
    <row r="37" spans="1:4" x14ac:dyDescent="0.3">
      <c r="A37">
        <v>8</v>
      </c>
      <c r="B37" t="s">
        <v>1538</v>
      </c>
      <c r="C37">
        <v>629660</v>
      </c>
      <c r="D37" t="str">
        <f>TEXT(DATE(2024, tblBudget[[#This Row],[Month]], 1), "mmm")</f>
        <v>Aug</v>
      </c>
    </row>
    <row r="38" spans="1:4" x14ac:dyDescent="0.3">
      <c r="A38">
        <v>8</v>
      </c>
      <c r="B38" t="s">
        <v>1533</v>
      </c>
      <c r="C38">
        <v>870402</v>
      </c>
      <c r="D38" t="str">
        <f>TEXT(DATE(2024, tblBudget[[#This Row],[Month]], 1), "mmm")</f>
        <v>Aug</v>
      </c>
    </row>
    <row r="39" spans="1:4" x14ac:dyDescent="0.3">
      <c r="A39">
        <v>8</v>
      </c>
      <c r="B39" t="s">
        <v>1529</v>
      </c>
      <c r="C39">
        <v>1398547</v>
      </c>
      <c r="D39" t="str">
        <f>TEXT(DATE(2024, tblBudget[[#This Row],[Month]], 1), "mmm")</f>
        <v>Aug</v>
      </c>
    </row>
    <row r="40" spans="1:4" x14ac:dyDescent="0.3">
      <c r="A40">
        <v>8</v>
      </c>
      <c r="B40" t="s">
        <v>1536</v>
      </c>
      <c r="C40">
        <v>1445455</v>
      </c>
      <c r="D40" t="str">
        <f>TEXT(DATE(2024, tblBudget[[#This Row],[Month]], 1), "mmm")</f>
        <v>Aug</v>
      </c>
    </row>
    <row r="41" spans="1:4" x14ac:dyDescent="0.3">
      <c r="A41">
        <v>8</v>
      </c>
      <c r="B41" t="s">
        <v>1531</v>
      </c>
      <c r="C41">
        <v>1003641</v>
      </c>
      <c r="D41" t="str">
        <f>TEXT(DATE(2024, tblBudget[[#This Row],[Month]], 1), "mmm")</f>
        <v>Aug</v>
      </c>
    </row>
    <row r="42" spans="1:4" x14ac:dyDescent="0.3">
      <c r="A42">
        <v>9</v>
      </c>
      <c r="B42" t="s">
        <v>1538</v>
      </c>
      <c r="C42">
        <v>645145</v>
      </c>
      <c r="D42" t="str">
        <f>TEXT(DATE(2024, tblBudget[[#This Row],[Month]], 1), "mmm")</f>
        <v>Sep</v>
      </c>
    </row>
    <row r="43" spans="1:4" x14ac:dyDescent="0.3">
      <c r="A43">
        <v>9</v>
      </c>
      <c r="B43" t="s">
        <v>1533</v>
      </c>
      <c r="C43">
        <v>1101199</v>
      </c>
      <c r="D43" t="str">
        <f>TEXT(DATE(2024, tblBudget[[#This Row],[Month]], 1), "mmm")</f>
        <v>Sep</v>
      </c>
    </row>
    <row r="44" spans="1:4" x14ac:dyDescent="0.3">
      <c r="A44">
        <v>9</v>
      </c>
      <c r="B44" t="s">
        <v>1529</v>
      </c>
      <c r="C44">
        <v>1165066</v>
      </c>
      <c r="D44" t="str">
        <f>TEXT(DATE(2024, tblBudget[[#This Row],[Month]], 1), "mmm")</f>
        <v>Sep</v>
      </c>
    </row>
    <row r="45" spans="1:4" x14ac:dyDescent="0.3">
      <c r="A45">
        <v>9</v>
      </c>
      <c r="B45" t="s">
        <v>1536</v>
      </c>
      <c r="C45">
        <v>949640</v>
      </c>
      <c r="D45" t="str">
        <f>TEXT(DATE(2024, tblBudget[[#This Row],[Month]], 1), "mmm")</f>
        <v>Sep</v>
      </c>
    </row>
    <row r="46" spans="1:4" x14ac:dyDescent="0.3">
      <c r="A46">
        <v>9</v>
      </c>
      <c r="B46" t="s">
        <v>1531</v>
      </c>
      <c r="C46">
        <v>1171842</v>
      </c>
      <c r="D46" t="str">
        <f>TEXT(DATE(2024, tblBudget[[#This Row],[Month]], 1), "mmm")</f>
        <v>Sep</v>
      </c>
    </row>
    <row r="47" spans="1:4" x14ac:dyDescent="0.3">
      <c r="A47">
        <v>10</v>
      </c>
      <c r="B47" t="s">
        <v>1538</v>
      </c>
      <c r="C47">
        <v>854896</v>
      </c>
      <c r="D47" t="str">
        <f>TEXT(DATE(2024, tblBudget[[#This Row],[Month]], 1), "mmm")</f>
        <v>Oct</v>
      </c>
    </row>
    <row r="48" spans="1:4" x14ac:dyDescent="0.3">
      <c r="A48">
        <v>10</v>
      </c>
      <c r="B48" t="s">
        <v>1533</v>
      </c>
      <c r="C48">
        <v>913764</v>
      </c>
      <c r="D48" t="str">
        <f>TEXT(DATE(2024, tblBudget[[#This Row],[Month]], 1), "mmm")</f>
        <v>Oct</v>
      </c>
    </row>
    <row r="49" spans="1:4" x14ac:dyDescent="0.3">
      <c r="A49">
        <v>10</v>
      </c>
      <c r="B49" t="s">
        <v>1529</v>
      </c>
      <c r="C49">
        <v>820615</v>
      </c>
      <c r="D49" t="str">
        <f>TEXT(DATE(2024, tblBudget[[#This Row],[Month]], 1), "mmm")</f>
        <v>Oct</v>
      </c>
    </row>
    <row r="50" spans="1:4" x14ac:dyDescent="0.3">
      <c r="A50">
        <v>10</v>
      </c>
      <c r="B50" t="s">
        <v>1536</v>
      </c>
      <c r="C50">
        <v>1401783</v>
      </c>
      <c r="D50" t="str">
        <f>TEXT(DATE(2024, tblBudget[[#This Row],[Month]], 1), "mmm")</f>
        <v>Oct</v>
      </c>
    </row>
    <row r="51" spans="1:4" x14ac:dyDescent="0.3">
      <c r="A51">
        <v>10</v>
      </c>
      <c r="B51" t="s">
        <v>1531</v>
      </c>
      <c r="C51">
        <v>1334646</v>
      </c>
      <c r="D51" t="str">
        <f>TEXT(DATE(2024, tblBudget[[#This Row],[Month]], 1), "mmm")</f>
        <v>Oct</v>
      </c>
    </row>
    <row r="52" spans="1:4" x14ac:dyDescent="0.3">
      <c r="A52">
        <v>11</v>
      </c>
      <c r="B52" t="s">
        <v>1538</v>
      </c>
      <c r="C52">
        <v>511233</v>
      </c>
      <c r="D52" t="str">
        <f>TEXT(DATE(2024, tblBudget[[#This Row],[Month]], 1), "mmm")</f>
        <v>Nov</v>
      </c>
    </row>
    <row r="53" spans="1:4" x14ac:dyDescent="0.3">
      <c r="A53">
        <v>11</v>
      </c>
      <c r="B53" t="s">
        <v>1533</v>
      </c>
      <c r="C53">
        <v>636222</v>
      </c>
      <c r="D53" t="str">
        <f>TEXT(DATE(2024, tblBudget[[#This Row],[Month]], 1), "mmm")</f>
        <v>Nov</v>
      </c>
    </row>
    <row r="54" spans="1:4" x14ac:dyDescent="0.3">
      <c r="A54">
        <v>11</v>
      </c>
      <c r="B54" t="s">
        <v>1529</v>
      </c>
      <c r="C54">
        <v>740964</v>
      </c>
      <c r="D54" t="str">
        <f>TEXT(DATE(2024, tblBudget[[#This Row],[Month]], 1), "mmm")</f>
        <v>Nov</v>
      </c>
    </row>
    <row r="55" spans="1:4" x14ac:dyDescent="0.3">
      <c r="A55">
        <v>11</v>
      </c>
      <c r="B55" t="s">
        <v>1536</v>
      </c>
      <c r="C55">
        <v>1352788</v>
      </c>
      <c r="D55" t="str">
        <f>TEXT(DATE(2024, tblBudget[[#This Row],[Month]], 1), "mmm")</f>
        <v>Nov</v>
      </c>
    </row>
    <row r="56" spans="1:4" x14ac:dyDescent="0.3">
      <c r="A56">
        <v>11</v>
      </c>
      <c r="B56" t="s">
        <v>1531</v>
      </c>
      <c r="C56">
        <v>1347502</v>
      </c>
      <c r="D56" t="str">
        <f>TEXT(DATE(2024, tblBudget[[#This Row],[Month]], 1), "mmm")</f>
        <v>Nov</v>
      </c>
    </row>
    <row r="57" spans="1:4" x14ac:dyDescent="0.3">
      <c r="A57">
        <v>12</v>
      </c>
      <c r="B57" t="s">
        <v>1538</v>
      </c>
      <c r="C57">
        <v>1485630</v>
      </c>
      <c r="D57" t="str">
        <f>TEXT(DATE(2024, tblBudget[[#This Row],[Month]], 1), "mmm")</f>
        <v>Dec</v>
      </c>
    </row>
    <row r="58" spans="1:4" x14ac:dyDescent="0.3">
      <c r="A58">
        <v>12</v>
      </c>
      <c r="B58" t="s">
        <v>1533</v>
      </c>
      <c r="C58">
        <v>1160051</v>
      </c>
      <c r="D58" t="str">
        <f>TEXT(DATE(2024, tblBudget[[#This Row],[Month]], 1), "mmm")</f>
        <v>Dec</v>
      </c>
    </row>
    <row r="59" spans="1:4" x14ac:dyDescent="0.3">
      <c r="A59">
        <v>12</v>
      </c>
      <c r="B59" t="s">
        <v>1529</v>
      </c>
      <c r="C59">
        <v>810827</v>
      </c>
      <c r="D59" t="str">
        <f>TEXT(DATE(2024, tblBudget[[#This Row],[Month]], 1), "mmm")</f>
        <v>Dec</v>
      </c>
    </row>
    <row r="60" spans="1:4" x14ac:dyDescent="0.3">
      <c r="A60">
        <v>12</v>
      </c>
      <c r="B60" t="s">
        <v>1536</v>
      </c>
      <c r="C60">
        <v>724910</v>
      </c>
      <c r="D60" t="str">
        <f>TEXT(DATE(2024, tblBudget[[#This Row],[Month]], 1), "mmm")</f>
        <v>Dec</v>
      </c>
    </row>
    <row r="61" spans="1:4" x14ac:dyDescent="0.3">
      <c r="A61">
        <v>12</v>
      </c>
      <c r="B61" t="s">
        <v>1531</v>
      </c>
      <c r="C61">
        <v>565358</v>
      </c>
      <c r="D61" t="str">
        <f>TEXT(DATE(2024, tblBudget[[#This Row],[Month]], 1), "mmm")</f>
        <v>Dec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workbookViewId="0">
      <selection sqref="A1:E201"/>
    </sheetView>
  </sheetViews>
  <sheetFormatPr defaultRowHeight="14.4" x14ac:dyDescent="0.3"/>
  <cols>
    <col min="1" max="1" width="14" customWidth="1"/>
    <col min="2" max="2" width="13" customWidth="1"/>
    <col min="5" max="5" width="11.21875" customWidth="1"/>
  </cols>
  <sheetData>
    <row r="1" spans="1:5" x14ac:dyDescent="0.3">
      <c r="A1" t="s">
        <v>1541</v>
      </c>
      <c r="B1" t="s">
        <v>1526</v>
      </c>
      <c r="C1" t="s">
        <v>1542</v>
      </c>
      <c r="D1" t="s">
        <v>1543</v>
      </c>
      <c r="E1" t="s">
        <v>1544</v>
      </c>
    </row>
    <row r="2" spans="1:5" x14ac:dyDescent="0.3">
      <c r="A2" t="s">
        <v>1545</v>
      </c>
      <c r="B2" t="s">
        <v>1533</v>
      </c>
      <c r="C2">
        <v>62479</v>
      </c>
      <c r="D2">
        <v>11913</v>
      </c>
      <c r="E2">
        <v>74392</v>
      </c>
    </row>
    <row r="3" spans="1:5" x14ac:dyDescent="0.3">
      <c r="A3" t="s">
        <v>1546</v>
      </c>
      <c r="B3" t="s">
        <v>1538</v>
      </c>
      <c r="C3">
        <v>41085</v>
      </c>
      <c r="D3">
        <v>18606</v>
      </c>
      <c r="E3">
        <v>59691</v>
      </c>
    </row>
    <row r="4" spans="1:5" x14ac:dyDescent="0.3">
      <c r="A4" t="s">
        <v>1547</v>
      </c>
      <c r="B4" t="s">
        <v>1538</v>
      </c>
      <c r="C4">
        <v>54333</v>
      </c>
      <c r="D4">
        <v>16623</v>
      </c>
      <c r="E4">
        <v>70956</v>
      </c>
    </row>
    <row r="5" spans="1:5" x14ac:dyDescent="0.3">
      <c r="A5" t="s">
        <v>1548</v>
      </c>
      <c r="B5" t="s">
        <v>1531</v>
      </c>
      <c r="C5">
        <v>33728</v>
      </c>
      <c r="D5">
        <v>15609</v>
      </c>
      <c r="E5">
        <v>49337</v>
      </c>
    </row>
    <row r="6" spans="1:5" x14ac:dyDescent="0.3">
      <c r="A6" t="s">
        <v>1549</v>
      </c>
      <c r="B6" t="s">
        <v>1531</v>
      </c>
      <c r="C6">
        <v>21175</v>
      </c>
      <c r="D6">
        <v>6198</v>
      </c>
      <c r="E6">
        <v>27373</v>
      </c>
    </row>
    <row r="7" spans="1:5" x14ac:dyDescent="0.3">
      <c r="A7" t="s">
        <v>1550</v>
      </c>
      <c r="B7" t="s">
        <v>1533</v>
      </c>
      <c r="C7">
        <v>48234</v>
      </c>
      <c r="D7">
        <v>18428</v>
      </c>
      <c r="E7">
        <v>66662</v>
      </c>
    </row>
    <row r="8" spans="1:5" x14ac:dyDescent="0.3">
      <c r="A8" t="s">
        <v>1551</v>
      </c>
      <c r="B8" t="s">
        <v>1533</v>
      </c>
      <c r="C8">
        <v>72953</v>
      </c>
      <c r="D8">
        <v>13925</v>
      </c>
      <c r="E8">
        <v>86878</v>
      </c>
    </row>
    <row r="9" spans="1:5" x14ac:dyDescent="0.3">
      <c r="A9" t="s">
        <v>1552</v>
      </c>
      <c r="B9" t="s">
        <v>1529</v>
      </c>
      <c r="C9">
        <v>53739</v>
      </c>
      <c r="D9">
        <v>9123</v>
      </c>
      <c r="E9">
        <v>62862</v>
      </c>
    </row>
    <row r="10" spans="1:5" x14ac:dyDescent="0.3">
      <c r="A10" t="s">
        <v>1553</v>
      </c>
      <c r="B10" t="s">
        <v>1538</v>
      </c>
      <c r="C10">
        <v>37666</v>
      </c>
      <c r="D10">
        <v>16082</v>
      </c>
      <c r="E10">
        <v>53748</v>
      </c>
    </row>
    <row r="11" spans="1:5" x14ac:dyDescent="0.3">
      <c r="A11" t="s">
        <v>1554</v>
      </c>
      <c r="B11" t="s">
        <v>1529</v>
      </c>
      <c r="C11">
        <v>44600</v>
      </c>
      <c r="D11">
        <v>5466</v>
      </c>
      <c r="E11">
        <v>50066</v>
      </c>
    </row>
    <row r="12" spans="1:5" x14ac:dyDescent="0.3">
      <c r="A12" t="s">
        <v>1555</v>
      </c>
      <c r="B12" t="s">
        <v>1538</v>
      </c>
      <c r="C12">
        <v>67431</v>
      </c>
      <c r="D12">
        <v>9461</v>
      </c>
      <c r="E12">
        <v>76892</v>
      </c>
    </row>
    <row r="13" spans="1:5" x14ac:dyDescent="0.3">
      <c r="A13" t="s">
        <v>1556</v>
      </c>
      <c r="B13" t="s">
        <v>1529</v>
      </c>
      <c r="C13">
        <v>70125</v>
      </c>
      <c r="D13">
        <v>17031</v>
      </c>
      <c r="E13">
        <v>87156</v>
      </c>
    </row>
    <row r="14" spans="1:5" x14ac:dyDescent="0.3">
      <c r="A14" t="s">
        <v>1557</v>
      </c>
      <c r="B14" t="s">
        <v>1531</v>
      </c>
      <c r="C14">
        <v>71069</v>
      </c>
      <c r="D14">
        <v>10016</v>
      </c>
      <c r="E14">
        <v>81085</v>
      </c>
    </row>
    <row r="15" spans="1:5" x14ac:dyDescent="0.3">
      <c r="A15" t="s">
        <v>1558</v>
      </c>
      <c r="B15" t="s">
        <v>1533</v>
      </c>
      <c r="C15">
        <v>56360</v>
      </c>
      <c r="D15">
        <v>6587</v>
      </c>
      <c r="E15">
        <v>62947</v>
      </c>
    </row>
    <row r="16" spans="1:5" x14ac:dyDescent="0.3">
      <c r="A16" t="s">
        <v>1559</v>
      </c>
      <c r="B16" t="s">
        <v>1538</v>
      </c>
      <c r="C16">
        <v>32570</v>
      </c>
      <c r="D16">
        <v>9443</v>
      </c>
      <c r="E16">
        <v>42013</v>
      </c>
    </row>
    <row r="17" spans="1:5" x14ac:dyDescent="0.3">
      <c r="A17" t="s">
        <v>1560</v>
      </c>
      <c r="B17" t="s">
        <v>1536</v>
      </c>
      <c r="C17">
        <v>39517</v>
      </c>
      <c r="D17">
        <v>9617</v>
      </c>
      <c r="E17">
        <v>49134</v>
      </c>
    </row>
    <row r="18" spans="1:5" x14ac:dyDescent="0.3">
      <c r="A18" t="s">
        <v>1561</v>
      </c>
      <c r="B18" t="s">
        <v>1538</v>
      </c>
      <c r="C18">
        <v>60247</v>
      </c>
      <c r="D18">
        <v>11351</v>
      </c>
      <c r="E18">
        <v>71598</v>
      </c>
    </row>
    <row r="19" spans="1:5" x14ac:dyDescent="0.3">
      <c r="A19" t="s">
        <v>1562</v>
      </c>
      <c r="B19" t="s">
        <v>1529</v>
      </c>
      <c r="C19">
        <v>51082</v>
      </c>
      <c r="D19">
        <v>11091</v>
      </c>
      <c r="E19">
        <v>62173</v>
      </c>
    </row>
    <row r="20" spans="1:5" x14ac:dyDescent="0.3">
      <c r="A20" t="s">
        <v>1563</v>
      </c>
      <c r="B20" t="s">
        <v>1531</v>
      </c>
      <c r="C20">
        <v>41697</v>
      </c>
      <c r="D20">
        <v>13748</v>
      </c>
      <c r="E20">
        <v>55445</v>
      </c>
    </row>
    <row r="21" spans="1:5" x14ac:dyDescent="0.3">
      <c r="A21" t="s">
        <v>1564</v>
      </c>
      <c r="B21" t="s">
        <v>1536</v>
      </c>
      <c r="C21">
        <v>39175</v>
      </c>
      <c r="D21">
        <v>16760</v>
      </c>
      <c r="E21">
        <v>55935</v>
      </c>
    </row>
    <row r="22" spans="1:5" x14ac:dyDescent="0.3">
      <c r="A22" t="s">
        <v>1565</v>
      </c>
      <c r="B22" t="s">
        <v>1538</v>
      </c>
      <c r="C22">
        <v>63287</v>
      </c>
      <c r="D22">
        <v>9872</v>
      </c>
      <c r="E22">
        <v>73159</v>
      </c>
    </row>
    <row r="23" spans="1:5" x14ac:dyDescent="0.3">
      <c r="A23" t="s">
        <v>1566</v>
      </c>
      <c r="B23" t="s">
        <v>1529</v>
      </c>
      <c r="C23">
        <v>47367</v>
      </c>
      <c r="D23">
        <v>6902</v>
      </c>
      <c r="E23">
        <v>54269</v>
      </c>
    </row>
    <row r="24" spans="1:5" x14ac:dyDescent="0.3">
      <c r="A24" t="s">
        <v>1567</v>
      </c>
      <c r="B24" t="s">
        <v>1529</v>
      </c>
      <c r="C24">
        <v>34159</v>
      </c>
      <c r="D24">
        <v>13724</v>
      </c>
      <c r="E24">
        <v>47883</v>
      </c>
    </row>
    <row r="25" spans="1:5" x14ac:dyDescent="0.3">
      <c r="A25" t="s">
        <v>1568</v>
      </c>
      <c r="B25" t="s">
        <v>1531</v>
      </c>
      <c r="C25">
        <v>64763</v>
      </c>
      <c r="D25">
        <v>19555</v>
      </c>
      <c r="E25">
        <v>84318</v>
      </c>
    </row>
    <row r="26" spans="1:5" x14ac:dyDescent="0.3">
      <c r="A26" t="s">
        <v>1569</v>
      </c>
      <c r="B26" t="s">
        <v>1531</v>
      </c>
      <c r="C26">
        <v>31663</v>
      </c>
      <c r="D26">
        <v>8144</v>
      </c>
      <c r="E26">
        <v>39807</v>
      </c>
    </row>
    <row r="27" spans="1:5" x14ac:dyDescent="0.3">
      <c r="A27" t="s">
        <v>1570</v>
      </c>
      <c r="B27" t="s">
        <v>1536</v>
      </c>
      <c r="C27">
        <v>47334</v>
      </c>
      <c r="D27">
        <v>19144</v>
      </c>
      <c r="E27">
        <v>66478</v>
      </c>
    </row>
    <row r="28" spans="1:5" x14ac:dyDescent="0.3">
      <c r="A28" t="s">
        <v>1571</v>
      </c>
      <c r="B28" t="s">
        <v>1531</v>
      </c>
      <c r="C28">
        <v>41373</v>
      </c>
      <c r="D28">
        <v>10968</v>
      </c>
      <c r="E28">
        <v>52341</v>
      </c>
    </row>
    <row r="29" spans="1:5" x14ac:dyDescent="0.3">
      <c r="A29" t="s">
        <v>1572</v>
      </c>
      <c r="B29" t="s">
        <v>1538</v>
      </c>
      <c r="C29">
        <v>43264</v>
      </c>
      <c r="D29">
        <v>18952</v>
      </c>
      <c r="E29">
        <v>62216</v>
      </c>
    </row>
    <row r="30" spans="1:5" x14ac:dyDescent="0.3">
      <c r="A30" t="s">
        <v>1573</v>
      </c>
      <c r="B30" t="s">
        <v>1533</v>
      </c>
      <c r="C30">
        <v>56900</v>
      </c>
      <c r="D30">
        <v>5617</v>
      </c>
      <c r="E30">
        <v>62517</v>
      </c>
    </row>
    <row r="31" spans="1:5" x14ac:dyDescent="0.3">
      <c r="A31" t="s">
        <v>1574</v>
      </c>
      <c r="B31" t="s">
        <v>1533</v>
      </c>
      <c r="C31">
        <v>70406</v>
      </c>
      <c r="D31">
        <v>15687</v>
      </c>
      <c r="E31">
        <v>86093</v>
      </c>
    </row>
    <row r="32" spans="1:5" x14ac:dyDescent="0.3">
      <c r="A32" t="s">
        <v>1575</v>
      </c>
      <c r="B32" t="s">
        <v>1531</v>
      </c>
      <c r="C32">
        <v>77412</v>
      </c>
      <c r="D32">
        <v>13766</v>
      </c>
      <c r="E32">
        <v>91178</v>
      </c>
    </row>
    <row r="33" spans="1:5" x14ac:dyDescent="0.3">
      <c r="A33" t="s">
        <v>1576</v>
      </c>
      <c r="B33" t="s">
        <v>1531</v>
      </c>
      <c r="C33">
        <v>34636</v>
      </c>
      <c r="D33">
        <v>5243</v>
      </c>
      <c r="E33">
        <v>39879</v>
      </c>
    </row>
    <row r="34" spans="1:5" x14ac:dyDescent="0.3">
      <c r="A34" t="s">
        <v>1577</v>
      </c>
      <c r="B34" t="s">
        <v>1529</v>
      </c>
      <c r="C34">
        <v>65791</v>
      </c>
      <c r="D34">
        <v>9875</v>
      </c>
      <c r="E34">
        <v>75666</v>
      </c>
    </row>
    <row r="35" spans="1:5" x14ac:dyDescent="0.3">
      <c r="A35" t="s">
        <v>1578</v>
      </c>
      <c r="B35" t="s">
        <v>1538</v>
      </c>
      <c r="C35">
        <v>24737</v>
      </c>
      <c r="D35">
        <v>14062</v>
      </c>
      <c r="E35">
        <v>38799</v>
      </c>
    </row>
    <row r="36" spans="1:5" x14ac:dyDescent="0.3">
      <c r="A36" t="s">
        <v>1579</v>
      </c>
      <c r="B36" t="s">
        <v>1536</v>
      </c>
      <c r="C36">
        <v>64599</v>
      </c>
      <c r="D36">
        <v>11379</v>
      </c>
      <c r="E36">
        <v>75978</v>
      </c>
    </row>
    <row r="37" spans="1:5" x14ac:dyDescent="0.3">
      <c r="A37" t="s">
        <v>1580</v>
      </c>
      <c r="B37" t="s">
        <v>1533</v>
      </c>
      <c r="C37">
        <v>74135</v>
      </c>
      <c r="D37">
        <v>7861</v>
      </c>
      <c r="E37">
        <v>81996</v>
      </c>
    </row>
    <row r="38" spans="1:5" x14ac:dyDescent="0.3">
      <c r="A38" t="s">
        <v>1581</v>
      </c>
      <c r="B38" t="s">
        <v>1529</v>
      </c>
      <c r="C38">
        <v>28327</v>
      </c>
      <c r="D38">
        <v>18857</v>
      </c>
      <c r="E38">
        <v>47184</v>
      </c>
    </row>
    <row r="39" spans="1:5" x14ac:dyDescent="0.3">
      <c r="A39" t="s">
        <v>1582</v>
      </c>
      <c r="B39" t="s">
        <v>1533</v>
      </c>
      <c r="C39">
        <v>62853</v>
      </c>
      <c r="D39">
        <v>16301</v>
      </c>
      <c r="E39">
        <v>79154</v>
      </c>
    </row>
    <row r="40" spans="1:5" x14ac:dyDescent="0.3">
      <c r="A40" t="s">
        <v>1583</v>
      </c>
      <c r="B40" t="s">
        <v>1529</v>
      </c>
      <c r="C40">
        <v>25906</v>
      </c>
      <c r="D40">
        <v>11347</v>
      </c>
      <c r="E40">
        <v>37253</v>
      </c>
    </row>
    <row r="41" spans="1:5" x14ac:dyDescent="0.3">
      <c r="A41" t="s">
        <v>1584</v>
      </c>
      <c r="B41" t="s">
        <v>1536</v>
      </c>
      <c r="C41">
        <v>41575</v>
      </c>
      <c r="D41">
        <v>7229</v>
      </c>
      <c r="E41">
        <v>48804</v>
      </c>
    </row>
    <row r="42" spans="1:5" x14ac:dyDescent="0.3">
      <c r="A42" t="s">
        <v>1585</v>
      </c>
      <c r="B42" t="s">
        <v>1529</v>
      </c>
      <c r="C42">
        <v>72699</v>
      </c>
      <c r="D42">
        <v>8624</v>
      </c>
      <c r="E42">
        <v>81323</v>
      </c>
    </row>
    <row r="43" spans="1:5" x14ac:dyDescent="0.3">
      <c r="A43" t="s">
        <v>1586</v>
      </c>
      <c r="B43" t="s">
        <v>1529</v>
      </c>
      <c r="C43">
        <v>40977</v>
      </c>
      <c r="D43">
        <v>19635</v>
      </c>
      <c r="E43">
        <v>60612</v>
      </c>
    </row>
    <row r="44" spans="1:5" x14ac:dyDescent="0.3">
      <c r="A44" t="s">
        <v>1587</v>
      </c>
      <c r="B44" t="s">
        <v>1529</v>
      </c>
      <c r="C44">
        <v>50371</v>
      </c>
      <c r="D44">
        <v>18601</v>
      </c>
      <c r="E44">
        <v>68972</v>
      </c>
    </row>
    <row r="45" spans="1:5" x14ac:dyDescent="0.3">
      <c r="A45" t="s">
        <v>1588</v>
      </c>
      <c r="B45" t="s">
        <v>1531</v>
      </c>
      <c r="C45">
        <v>66567</v>
      </c>
      <c r="D45">
        <v>16193</v>
      </c>
      <c r="E45">
        <v>82760</v>
      </c>
    </row>
    <row r="46" spans="1:5" x14ac:dyDescent="0.3">
      <c r="A46" t="s">
        <v>1589</v>
      </c>
      <c r="B46" t="s">
        <v>1531</v>
      </c>
      <c r="C46">
        <v>71452</v>
      </c>
      <c r="D46">
        <v>14542</v>
      </c>
      <c r="E46">
        <v>85994</v>
      </c>
    </row>
    <row r="47" spans="1:5" x14ac:dyDescent="0.3">
      <c r="A47" t="s">
        <v>1590</v>
      </c>
      <c r="B47" t="s">
        <v>1536</v>
      </c>
      <c r="C47">
        <v>63437</v>
      </c>
      <c r="D47">
        <v>13124</v>
      </c>
      <c r="E47">
        <v>76561</v>
      </c>
    </row>
    <row r="48" spans="1:5" x14ac:dyDescent="0.3">
      <c r="A48" t="s">
        <v>1591</v>
      </c>
      <c r="B48" t="s">
        <v>1538</v>
      </c>
      <c r="C48">
        <v>30388</v>
      </c>
      <c r="D48">
        <v>8768</v>
      </c>
      <c r="E48">
        <v>39156</v>
      </c>
    </row>
    <row r="49" spans="1:5" x14ac:dyDescent="0.3">
      <c r="A49" t="s">
        <v>1592</v>
      </c>
      <c r="B49" t="s">
        <v>1533</v>
      </c>
      <c r="C49">
        <v>62477</v>
      </c>
      <c r="D49">
        <v>10732</v>
      </c>
      <c r="E49">
        <v>73209</v>
      </c>
    </row>
    <row r="50" spans="1:5" x14ac:dyDescent="0.3">
      <c r="A50" t="s">
        <v>1593</v>
      </c>
      <c r="B50" t="s">
        <v>1531</v>
      </c>
      <c r="C50">
        <v>35422</v>
      </c>
      <c r="D50">
        <v>8491</v>
      </c>
      <c r="E50">
        <v>43913</v>
      </c>
    </row>
    <row r="51" spans="1:5" x14ac:dyDescent="0.3">
      <c r="A51" t="s">
        <v>1594</v>
      </c>
      <c r="B51" t="s">
        <v>1529</v>
      </c>
      <c r="C51">
        <v>56473</v>
      </c>
      <c r="D51">
        <v>12751</v>
      </c>
      <c r="E51">
        <v>69224</v>
      </c>
    </row>
    <row r="52" spans="1:5" x14ac:dyDescent="0.3">
      <c r="A52" t="s">
        <v>1595</v>
      </c>
      <c r="B52" t="s">
        <v>1538</v>
      </c>
      <c r="C52">
        <v>48279</v>
      </c>
      <c r="D52">
        <v>15494</v>
      </c>
      <c r="E52">
        <v>63773</v>
      </c>
    </row>
    <row r="53" spans="1:5" x14ac:dyDescent="0.3">
      <c r="A53" t="s">
        <v>1596</v>
      </c>
      <c r="B53" t="s">
        <v>1529</v>
      </c>
      <c r="C53">
        <v>25116</v>
      </c>
      <c r="D53">
        <v>7882</v>
      </c>
      <c r="E53">
        <v>32998</v>
      </c>
    </row>
    <row r="54" spans="1:5" x14ac:dyDescent="0.3">
      <c r="A54" t="s">
        <v>1597</v>
      </c>
      <c r="B54" t="s">
        <v>1536</v>
      </c>
      <c r="C54">
        <v>45228</v>
      </c>
      <c r="D54">
        <v>12260</v>
      </c>
      <c r="E54">
        <v>57488</v>
      </c>
    </row>
    <row r="55" spans="1:5" x14ac:dyDescent="0.3">
      <c r="A55" t="s">
        <v>1598</v>
      </c>
      <c r="B55" t="s">
        <v>1538</v>
      </c>
      <c r="C55">
        <v>47329</v>
      </c>
      <c r="D55">
        <v>10044</v>
      </c>
      <c r="E55">
        <v>57373</v>
      </c>
    </row>
    <row r="56" spans="1:5" x14ac:dyDescent="0.3">
      <c r="A56" t="s">
        <v>1599</v>
      </c>
      <c r="B56" t="s">
        <v>1533</v>
      </c>
      <c r="C56">
        <v>69232</v>
      </c>
      <c r="D56">
        <v>12723</v>
      </c>
      <c r="E56">
        <v>81955</v>
      </c>
    </row>
    <row r="57" spans="1:5" x14ac:dyDescent="0.3">
      <c r="A57" t="s">
        <v>1600</v>
      </c>
      <c r="B57" t="s">
        <v>1531</v>
      </c>
      <c r="C57">
        <v>41182</v>
      </c>
      <c r="D57">
        <v>15183</v>
      </c>
      <c r="E57">
        <v>56365</v>
      </c>
    </row>
    <row r="58" spans="1:5" x14ac:dyDescent="0.3">
      <c r="A58" t="s">
        <v>1601</v>
      </c>
      <c r="B58" t="s">
        <v>1529</v>
      </c>
      <c r="C58">
        <v>55928</v>
      </c>
      <c r="D58">
        <v>16310</v>
      </c>
      <c r="E58">
        <v>72238</v>
      </c>
    </row>
    <row r="59" spans="1:5" x14ac:dyDescent="0.3">
      <c r="A59" t="s">
        <v>1602</v>
      </c>
      <c r="B59" t="s">
        <v>1531</v>
      </c>
      <c r="C59">
        <v>58353</v>
      </c>
      <c r="D59">
        <v>8016</v>
      </c>
      <c r="E59">
        <v>66369</v>
      </c>
    </row>
    <row r="60" spans="1:5" x14ac:dyDescent="0.3">
      <c r="A60" t="s">
        <v>1603</v>
      </c>
      <c r="B60" t="s">
        <v>1536</v>
      </c>
      <c r="C60">
        <v>70022</v>
      </c>
      <c r="D60">
        <v>5409</v>
      </c>
      <c r="E60">
        <v>75431</v>
      </c>
    </row>
    <row r="61" spans="1:5" x14ac:dyDescent="0.3">
      <c r="A61" t="s">
        <v>1604</v>
      </c>
      <c r="B61" t="s">
        <v>1533</v>
      </c>
      <c r="C61">
        <v>64230</v>
      </c>
      <c r="D61">
        <v>5498</v>
      </c>
      <c r="E61">
        <v>69728</v>
      </c>
    </row>
    <row r="62" spans="1:5" x14ac:dyDescent="0.3">
      <c r="A62" t="s">
        <v>1605</v>
      </c>
      <c r="B62" t="s">
        <v>1529</v>
      </c>
      <c r="C62">
        <v>67214</v>
      </c>
      <c r="D62">
        <v>14074</v>
      </c>
      <c r="E62">
        <v>81288</v>
      </c>
    </row>
    <row r="63" spans="1:5" x14ac:dyDescent="0.3">
      <c r="A63" t="s">
        <v>1606</v>
      </c>
      <c r="B63" t="s">
        <v>1536</v>
      </c>
      <c r="C63">
        <v>24321</v>
      </c>
      <c r="D63">
        <v>11028</v>
      </c>
      <c r="E63">
        <v>35349</v>
      </c>
    </row>
    <row r="64" spans="1:5" x14ac:dyDescent="0.3">
      <c r="A64" t="s">
        <v>1607</v>
      </c>
      <c r="B64" t="s">
        <v>1538</v>
      </c>
      <c r="C64">
        <v>25046</v>
      </c>
      <c r="D64">
        <v>12358</v>
      </c>
      <c r="E64">
        <v>37404</v>
      </c>
    </row>
    <row r="65" spans="1:5" x14ac:dyDescent="0.3">
      <c r="A65" t="s">
        <v>1608</v>
      </c>
      <c r="B65" t="s">
        <v>1533</v>
      </c>
      <c r="C65">
        <v>60531</v>
      </c>
      <c r="D65">
        <v>12664</v>
      </c>
      <c r="E65">
        <v>73195</v>
      </c>
    </row>
    <row r="66" spans="1:5" x14ac:dyDescent="0.3">
      <c r="A66" t="s">
        <v>1609</v>
      </c>
      <c r="B66" t="s">
        <v>1531</v>
      </c>
      <c r="C66">
        <v>22691</v>
      </c>
      <c r="D66">
        <v>9633</v>
      </c>
      <c r="E66">
        <v>32324</v>
      </c>
    </row>
    <row r="67" spans="1:5" x14ac:dyDescent="0.3">
      <c r="A67" t="s">
        <v>1610</v>
      </c>
      <c r="B67" t="s">
        <v>1536</v>
      </c>
      <c r="C67">
        <v>75133</v>
      </c>
      <c r="D67">
        <v>8657</v>
      </c>
      <c r="E67">
        <v>83790</v>
      </c>
    </row>
    <row r="68" spans="1:5" x14ac:dyDescent="0.3">
      <c r="A68" t="s">
        <v>1611</v>
      </c>
      <c r="B68" t="s">
        <v>1536</v>
      </c>
      <c r="C68">
        <v>63460</v>
      </c>
      <c r="D68">
        <v>9702</v>
      </c>
      <c r="E68">
        <v>73162</v>
      </c>
    </row>
    <row r="69" spans="1:5" x14ac:dyDescent="0.3">
      <c r="A69" t="s">
        <v>1612</v>
      </c>
      <c r="B69" t="s">
        <v>1538</v>
      </c>
      <c r="C69">
        <v>25277</v>
      </c>
      <c r="D69">
        <v>13152</v>
      </c>
      <c r="E69">
        <v>38429</v>
      </c>
    </row>
    <row r="70" spans="1:5" x14ac:dyDescent="0.3">
      <c r="A70" t="s">
        <v>1613</v>
      </c>
      <c r="B70" t="s">
        <v>1531</v>
      </c>
      <c r="C70">
        <v>62916</v>
      </c>
      <c r="D70">
        <v>17260</v>
      </c>
      <c r="E70">
        <v>80176</v>
      </c>
    </row>
    <row r="71" spans="1:5" x14ac:dyDescent="0.3">
      <c r="A71" t="s">
        <v>1614</v>
      </c>
      <c r="B71" t="s">
        <v>1529</v>
      </c>
      <c r="C71">
        <v>27452</v>
      </c>
      <c r="D71">
        <v>17458</v>
      </c>
      <c r="E71">
        <v>44910</v>
      </c>
    </row>
    <row r="72" spans="1:5" x14ac:dyDescent="0.3">
      <c r="A72" t="s">
        <v>1615</v>
      </c>
      <c r="B72" t="s">
        <v>1531</v>
      </c>
      <c r="C72">
        <v>48385</v>
      </c>
      <c r="D72">
        <v>10969</v>
      </c>
      <c r="E72">
        <v>59354</v>
      </c>
    </row>
    <row r="73" spans="1:5" x14ac:dyDescent="0.3">
      <c r="A73" t="s">
        <v>1616</v>
      </c>
      <c r="B73" t="s">
        <v>1531</v>
      </c>
      <c r="C73">
        <v>71537</v>
      </c>
      <c r="D73">
        <v>19319</v>
      </c>
      <c r="E73">
        <v>90856</v>
      </c>
    </row>
    <row r="74" spans="1:5" x14ac:dyDescent="0.3">
      <c r="A74" t="s">
        <v>1617</v>
      </c>
      <c r="B74" t="s">
        <v>1538</v>
      </c>
      <c r="C74">
        <v>71514</v>
      </c>
      <c r="D74">
        <v>17524</v>
      </c>
      <c r="E74">
        <v>89038</v>
      </c>
    </row>
    <row r="75" spans="1:5" x14ac:dyDescent="0.3">
      <c r="A75" t="s">
        <v>1618</v>
      </c>
      <c r="B75" t="s">
        <v>1538</v>
      </c>
      <c r="C75">
        <v>53735</v>
      </c>
      <c r="D75">
        <v>13847</v>
      </c>
      <c r="E75">
        <v>67582</v>
      </c>
    </row>
    <row r="76" spans="1:5" x14ac:dyDescent="0.3">
      <c r="A76" t="s">
        <v>1619</v>
      </c>
      <c r="B76" t="s">
        <v>1536</v>
      </c>
      <c r="C76">
        <v>79794</v>
      </c>
      <c r="D76">
        <v>8563</v>
      </c>
      <c r="E76">
        <v>88357</v>
      </c>
    </row>
    <row r="77" spans="1:5" x14ac:dyDescent="0.3">
      <c r="A77" t="s">
        <v>1620</v>
      </c>
      <c r="B77" t="s">
        <v>1538</v>
      </c>
      <c r="C77">
        <v>58772</v>
      </c>
      <c r="D77">
        <v>6237</v>
      </c>
      <c r="E77">
        <v>65009</v>
      </c>
    </row>
    <row r="78" spans="1:5" x14ac:dyDescent="0.3">
      <c r="A78" t="s">
        <v>1621</v>
      </c>
      <c r="B78" t="s">
        <v>1536</v>
      </c>
      <c r="C78">
        <v>21168</v>
      </c>
      <c r="D78">
        <v>11072</v>
      </c>
      <c r="E78">
        <v>32240</v>
      </c>
    </row>
    <row r="79" spans="1:5" x14ac:dyDescent="0.3">
      <c r="A79" t="s">
        <v>1622</v>
      </c>
      <c r="B79" t="s">
        <v>1529</v>
      </c>
      <c r="C79">
        <v>52099</v>
      </c>
      <c r="D79">
        <v>16016</v>
      </c>
      <c r="E79">
        <v>68115</v>
      </c>
    </row>
    <row r="80" spans="1:5" x14ac:dyDescent="0.3">
      <c r="A80" t="s">
        <v>1623</v>
      </c>
      <c r="B80" t="s">
        <v>1533</v>
      </c>
      <c r="C80">
        <v>28049</v>
      </c>
      <c r="D80">
        <v>5221</v>
      </c>
      <c r="E80">
        <v>33270</v>
      </c>
    </row>
    <row r="81" spans="1:5" x14ac:dyDescent="0.3">
      <c r="A81" t="s">
        <v>1624</v>
      </c>
      <c r="B81" t="s">
        <v>1529</v>
      </c>
      <c r="C81">
        <v>28649</v>
      </c>
      <c r="D81">
        <v>10034</v>
      </c>
      <c r="E81">
        <v>38683</v>
      </c>
    </row>
    <row r="82" spans="1:5" x14ac:dyDescent="0.3">
      <c r="A82" t="s">
        <v>1625</v>
      </c>
      <c r="B82" t="s">
        <v>1531</v>
      </c>
      <c r="C82">
        <v>52157</v>
      </c>
      <c r="D82">
        <v>13433</v>
      </c>
      <c r="E82">
        <v>65590</v>
      </c>
    </row>
    <row r="83" spans="1:5" x14ac:dyDescent="0.3">
      <c r="A83" t="s">
        <v>1626</v>
      </c>
      <c r="B83" t="s">
        <v>1531</v>
      </c>
      <c r="C83">
        <v>71394</v>
      </c>
      <c r="D83">
        <v>8471</v>
      </c>
      <c r="E83">
        <v>79865</v>
      </c>
    </row>
    <row r="84" spans="1:5" x14ac:dyDescent="0.3">
      <c r="A84" t="s">
        <v>1627</v>
      </c>
      <c r="B84" t="s">
        <v>1533</v>
      </c>
      <c r="C84">
        <v>52945</v>
      </c>
      <c r="D84">
        <v>12109</v>
      </c>
      <c r="E84">
        <v>65054</v>
      </c>
    </row>
    <row r="85" spans="1:5" x14ac:dyDescent="0.3">
      <c r="A85" t="s">
        <v>1628</v>
      </c>
      <c r="B85" t="s">
        <v>1533</v>
      </c>
      <c r="C85">
        <v>32927</v>
      </c>
      <c r="D85">
        <v>16523</v>
      </c>
      <c r="E85">
        <v>49450</v>
      </c>
    </row>
    <row r="86" spans="1:5" x14ac:dyDescent="0.3">
      <c r="A86" t="s">
        <v>1629</v>
      </c>
      <c r="B86" t="s">
        <v>1533</v>
      </c>
      <c r="C86">
        <v>66446</v>
      </c>
      <c r="D86">
        <v>12358</v>
      </c>
      <c r="E86">
        <v>78804</v>
      </c>
    </row>
    <row r="87" spans="1:5" x14ac:dyDescent="0.3">
      <c r="A87" t="s">
        <v>1630</v>
      </c>
      <c r="B87" t="s">
        <v>1531</v>
      </c>
      <c r="C87">
        <v>52588</v>
      </c>
      <c r="D87">
        <v>17075</v>
      </c>
      <c r="E87">
        <v>69663</v>
      </c>
    </row>
    <row r="88" spans="1:5" x14ac:dyDescent="0.3">
      <c r="A88" t="s">
        <v>1631</v>
      </c>
      <c r="B88" t="s">
        <v>1538</v>
      </c>
      <c r="C88">
        <v>55809</v>
      </c>
      <c r="D88">
        <v>11273</v>
      </c>
      <c r="E88">
        <v>67082</v>
      </c>
    </row>
    <row r="89" spans="1:5" x14ac:dyDescent="0.3">
      <c r="A89" t="s">
        <v>1632</v>
      </c>
      <c r="B89" t="s">
        <v>1529</v>
      </c>
      <c r="C89">
        <v>25012</v>
      </c>
      <c r="D89">
        <v>19706</v>
      </c>
      <c r="E89">
        <v>44718</v>
      </c>
    </row>
    <row r="90" spans="1:5" x14ac:dyDescent="0.3">
      <c r="A90" t="s">
        <v>1633</v>
      </c>
      <c r="B90" t="s">
        <v>1536</v>
      </c>
      <c r="C90">
        <v>65601</v>
      </c>
      <c r="D90">
        <v>9950</v>
      </c>
      <c r="E90">
        <v>75551</v>
      </c>
    </row>
    <row r="91" spans="1:5" x14ac:dyDescent="0.3">
      <c r="A91" t="s">
        <v>1634</v>
      </c>
      <c r="B91" t="s">
        <v>1529</v>
      </c>
      <c r="C91">
        <v>77157</v>
      </c>
      <c r="D91">
        <v>11486</v>
      </c>
      <c r="E91">
        <v>88643</v>
      </c>
    </row>
    <row r="92" spans="1:5" x14ac:dyDescent="0.3">
      <c r="A92" t="s">
        <v>1635</v>
      </c>
      <c r="B92" t="s">
        <v>1536</v>
      </c>
      <c r="C92">
        <v>68898</v>
      </c>
      <c r="D92">
        <v>10796</v>
      </c>
      <c r="E92">
        <v>79694</v>
      </c>
    </row>
    <row r="93" spans="1:5" x14ac:dyDescent="0.3">
      <c r="A93" t="s">
        <v>1636</v>
      </c>
      <c r="B93" t="s">
        <v>1536</v>
      </c>
      <c r="C93">
        <v>53581</v>
      </c>
      <c r="D93">
        <v>12706</v>
      </c>
      <c r="E93">
        <v>66287</v>
      </c>
    </row>
    <row r="94" spans="1:5" x14ac:dyDescent="0.3">
      <c r="A94" t="s">
        <v>1637</v>
      </c>
      <c r="B94" t="s">
        <v>1538</v>
      </c>
      <c r="C94">
        <v>76860</v>
      </c>
      <c r="D94">
        <v>14975</v>
      </c>
      <c r="E94">
        <v>91835</v>
      </c>
    </row>
    <row r="95" spans="1:5" x14ac:dyDescent="0.3">
      <c r="A95" t="s">
        <v>1638</v>
      </c>
      <c r="B95" t="s">
        <v>1538</v>
      </c>
      <c r="C95">
        <v>53702</v>
      </c>
      <c r="D95">
        <v>5308</v>
      </c>
      <c r="E95">
        <v>59010</v>
      </c>
    </row>
    <row r="96" spans="1:5" x14ac:dyDescent="0.3">
      <c r="A96" t="s">
        <v>1639</v>
      </c>
      <c r="B96" t="s">
        <v>1529</v>
      </c>
      <c r="C96">
        <v>28141</v>
      </c>
      <c r="D96">
        <v>5767</v>
      </c>
      <c r="E96">
        <v>33908</v>
      </c>
    </row>
    <row r="97" spans="1:5" x14ac:dyDescent="0.3">
      <c r="A97" t="s">
        <v>1640</v>
      </c>
      <c r="B97" t="s">
        <v>1536</v>
      </c>
      <c r="C97">
        <v>20939</v>
      </c>
      <c r="D97">
        <v>8511</v>
      </c>
      <c r="E97">
        <v>29450</v>
      </c>
    </row>
    <row r="98" spans="1:5" x14ac:dyDescent="0.3">
      <c r="A98" t="s">
        <v>1641</v>
      </c>
      <c r="B98" t="s">
        <v>1536</v>
      </c>
      <c r="C98">
        <v>20099</v>
      </c>
      <c r="D98">
        <v>12155</v>
      </c>
      <c r="E98">
        <v>32254</v>
      </c>
    </row>
    <row r="99" spans="1:5" x14ac:dyDescent="0.3">
      <c r="A99" t="s">
        <v>1642</v>
      </c>
      <c r="B99" t="s">
        <v>1533</v>
      </c>
      <c r="C99">
        <v>44648</v>
      </c>
      <c r="D99">
        <v>14341</v>
      </c>
      <c r="E99">
        <v>58989</v>
      </c>
    </row>
    <row r="100" spans="1:5" x14ac:dyDescent="0.3">
      <c r="A100" t="s">
        <v>1643</v>
      </c>
      <c r="B100" t="s">
        <v>1538</v>
      </c>
      <c r="C100">
        <v>60161</v>
      </c>
      <c r="D100">
        <v>6032</v>
      </c>
      <c r="E100">
        <v>66193</v>
      </c>
    </row>
    <row r="101" spans="1:5" x14ac:dyDescent="0.3">
      <c r="A101" t="s">
        <v>1644</v>
      </c>
      <c r="B101" t="s">
        <v>1536</v>
      </c>
      <c r="C101">
        <v>30577</v>
      </c>
      <c r="D101">
        <v>16849</v>
      </c>
      <c r="E101">
        <v>47426</v>
      </c>
    </row>
    <row r="102" spans="1:5" x14ac:dyDescent="0.3">
      <c r="A102" t="s">
        <v>1645</v>
      </c>
      <c r="B102" t="s">
        <v>1529</v>
      </c>
      <c r="C102">
        <v>66812</v>
      </c>
      <c r="D102">
        <v>13207</v>
      </c>
      <c r="E102">
        <v>80019</v>
      </c>
    </row>
    <row r="103" spans="1:5" x14ac:dyDescent="0.3">
      <c r="A103" t="s">
        <v>1646</v>
      </c>
      <c r="B103" t="s">
        <v>1531</v>
      </c>
      <c r="C103">
        <v>50124</v>
      </c>
      <c r="D103">
        <v>8519</v>
      </c>
      <c r="E103">
        <v>58643</v>
      </c>
    </row>
    <row r="104" spans="1:5" x14ac:dyDescent="0.3">
      <c r="A104" t="s">
        <v>1647</v>
      </c>
      <c r="B104" t="s">
        <v>1538</v>
      </c>
      <c r="C104">
        <v>38728</v>
      </c>
      <c r="D104">
        <v>15862</v>
      </c>
      <c r="E104">
        <v>54590</v>
      </c>
    </row>
    <row r="105" spans="1:5" x14ac:dyDescent="0.3">
      <c r="A105" t="s">
        <v>1648</v>
      </c>
      <c r="B105" t="s">
        <v>1531</v>
      </c>
      <c r="C105">
        <v>62465</v>
      </c>
      <c r="D105">
        <v>16641</v>
      </c>
      <c r="E105">
        <v>79106</v>
      </c>
    </row>
    <row r="106" spans="1:5" x14ac:dyDescent="0.3">
      <c r="A106" t="s">
        <v>1649</v>
      </c>
      <c r="B106" t="s">
        <v>1536</v>
      </c>
      <c r="C106">
        <v>72063</v>
      </c>
      <c r="D106">
        <v>18184</v>
      </c>
      <c r="E106">
        <v>90247</v>
      </c>
    </row>
    <row r="107" spans="1:5" x14ac:dyDescent="0.3">
      <c r="A107" t="s">
        <v>1650</v>
      </c>
      <c r="B107" t="s">
        <v>1533</v>
      </c>
      <c r="C107">
        <v>38909</v>
      </c>
      <c r="D107">
        <v>9043</v>
      </c>
      <c r="E107">
        <v>47952</v>
      </c>
    </row>
    <row r="108" spans="1:5" x14ac:dyDescent="0.3">
      <c r="A108" t="s">
        <v>1651</v>
      </c>
      <c r="B108" t="s">
        <v>1538</v>
      </c>
      <c r="C108">
        <v>41161</v>
      </c>
      <c r="D108">
        <v>13353</v>
      </c>
      <c r="E108">
        <v>54514</v>
      </c>
    </row>
    <row r="109" spans="1:5" x14ac:dyDescent="0.3">
      <c r="A109" t="s">
        <v>1652</v>
      </c>
      <c r="B109" t="s">
        <v>1538</v>
      </c>
      <c r="C109">
        <v>65527</v>
      </c>
      <c r="D109">
        <v>7785</v>
      </c>
      <c r="E109">
        <v>73312</v>
      </c>
    </row>
    <row r="110" spans="1:5" x14ac:dyDescent="0.3">
      <c r="A110" t="s">
        <v>1653</v>
      </c>
      <c r="B110" t="s">
        <v>1538</v>
      </c>
      <c r="C110">
        <v>53172</v>
      </c>
      <c r="D110">
        <v>11454</v>
      </c>
      <c r="E110">
        <v>64626</v>
      </c>
    </row>
    <row r="111" spans="1:5" x14ac:dyDescent="0.3">
      <c r="A111" t="s">
        <v>1654</v>
      </c>
      <c r="B111" t="s">
        <v>1529</v>
      </c>
      <c r="C111">
        <v>61843</v>
      </c>
      <c r="D111">
        <v>14722</v>
      </c>
      <c r="E111">
        <v>76565</v>
      </c>
    </row>
    <row r="112" spans="1:5" x14ac:dyDescent="0.3">
      <c r="A112" t="s">
        <v>1655</v>
      </c>
      <c r="B112" t="s">
        <v>1538</v>
      </c>
      <c r="C112">
        <v>68334</v>
      </c>
      <c r="D112">
        <v>10278</v>
      </c>
      <c r="E112">
        <v>78612</v>
      </c>
    </row>
    <row r="113" spans="1:5" x14ac:dyDescent="0.3">
      <c r="A113" t="s">
        <v>1656</v>
      </c>
      <c r="B113" t="s">
        <v>1533</v>
      </c>
      <c r="C113">
        <v>72448</v>
      </c>
      <c r="D113">
        <v>16977</v>
      </c>
      <c r="E113">
        <v>89425</v>
      </c>
    </row>
    <row r="114" spans="1:5" x14ac:dyDescent="0.3">
      <c r="A114" t="s">
        <v>1657</v>
      </c>
      <c r="B114" t="s">
        <v>1533</v>
      </c>
      <c r="C114">
        <v>33563</v>
      </c>
      <c r="D114">
        <v>13282</v>
      </c>
      <c r="E114">
        <v>46845</v>
      </c>
    </row>
    <row r="115" spans="1:5" x14ac:dyDescent="0.3">
      <c r="A115" t="s">
        <v>1658</v>
      </c>
      <c r="B115" t="s">
        <v>1536</v>
      </c>
      <c r="C115">
        <v>41498</v>
      </c>
      <c r="D115">
        <v>6236</v>
      </c>
      <c r="E115">
        <v>47734</v>
      </c>
    </row>
    <row r="116" spans="1:5" x14ac:dyDescent="0.3">
      <c r="A116" t="s">
        <v>1659</v>
      </c>
      <c r="B116" t="s">
        <v>1538</v>
      </c>
      <c r="C116">
        <v>39223</v>
      </c>
      <c r="D116">
        <v>12892</v>
      </c>
      <c r="E116">
        <v>52115</v>
      </c>
    </row>
    <row r="117" spans="1:5" x14ac:dyDescent="0.3">
      <c r="A117" t="s">
        <v>1660</v>
      </c>
      <c r="B117" t="s">
        <v>1531</v>
      </c>
      <c r="C117">
        <v>47286</v>
      </c>
      <c r="D117">
        <v>11809</v>
      </c>
      <c r="E117">
        <v>59095</v>
      </c>
    </row>
    <row r="118" spans="1:5" x14ac:dyDescent="0.3">
      <c r="A118" t="s">
        <v>1661</v>
      </c>
      <c r="B118" t="s">
        <v>1531</v>
      </c>
      <c r="C118">
        <v>27430</v>
      </c>
      <c r="D118">
        <v>11302</v>
      </c>
      <c r="E118">
        <v>38732</v>
      </c>
    </row>
    <row r="119" spans="1:5" x14ac:dyDescent="0.3">
      <c r="A119" t="s">
        <v>1662</v>
      </c>
      <c r="B119" t="s">
        <v>1536</v>
      </c>
      <c r="C119">
        <v>24149</v>
      </c>
      <c r="D119">
        <v>9398</v>
      </c>
      <c r="E119">
        <v>33547</v>
      </c>
    </row>
    <row r="120" spans="1:5" x14ac:dyDescent="0.3">
      <c r="A120" t="s">
        <v>1663</v>
      </c>
      <c r="B120" t="s">
        <v>1529</v>
      </c>
      <c r="C120">
        <v>59726</v>
      </c>
      <c r="D120">
        <v>9881</v>
      </c>
      <c r="E120">
        <v>69607</v>
      </c>
    </row>
    <row r="121" spans="1:5" x14ac:dyDescent="0.3">
      <c r="A121" t="s">
        <v>1664</v>
      </c>
      <c r="B121" t="s">
        <v>1538</v>
      </c>
      <c r="C121">
        <v>24157</v>
      </c>
      <c r="D121">
        <v>8931</v>
      </c>
      <c r="E121">
        <v>33088</v>
      </c>
    </row>
    <row r="122" spans="1:5" x14ac:dyDescent="0.3">
      <c r="A122" t="s">
        <v>1665</v>
      </c>
      <c r="B122" t="s">
        <v>1531</v>
      </c>
      <c r="C122">
        <v>75843</v>
      </c>
      <c r="D122">
        <v>8542</v>
      </c>
      <c r="E122">
        <v>84385</v>
      </c>
    </row>
    <row r="123" spans="1:5" x14ac:dyDescent="0.3">
      <c r="A123" t="s">
        <v>1666</v>
      </c>
      <c r="B123" t="s">
        <v>1536</v>
      </c>
      <c r="C123">
        <v>37683</v>
      </c>
      <c r="D123">
        <v>18616</v>
      </c>
      <c r="E123">
        <v>56299</v>
      </c>
    </row>
    <row r="124" spans="1:5" x14ac:dyDescent="0.3">
      <c r="A124" t="s">
        <v>1667</v>
      </c>
      <c r="B124" t="s">
        <v>1533</v>
      </c>
      <c r="C124">
        <v>40597</v>
      </c>
      <c r="D124">
        <v>11321</v>
      </c>
      <c r="E124">
        <v>51918</v>
      </c>
    </row>
    <row r="125" spans="1:5" x14ac:dyDescent="0.3">
      <c r="A125" t="s">
        <v>1668</v>
      </c>
      <c r="B125" t="s">
        <v>1538</v>
      </c>
      <c r="C125">
        <v>21336</v>
      </c>
      <c r="D125">
        <v>6813</v>
      </c>
      <c r="E125">
        <v>28149</v>
      </c>
    </row>
    <row r="126" spans="1:5" x14ac:dyDescent="0.3">
      <c r="A126" t="s">
        <v>1669</v>
      </c>
      <c r="B126" t="s">
        <v>1533</v>
      </c>
      <c r="C126">
        <v>23135</v>
      </c>
      <c r="D126">
        <v>13534</v>
      </c>
      <c r="E126">
        <v>36669</v>
      </c>
    </row>
    <row r="127" spans="1:5" x14ac:dyDescent="0.3">
      <c r="A127" t="s">
        <v>1670</v>
      </c>
      <c r="B127" t="s">
        <v>1529</v>
      </c>
      <c r="C127">
        <v>75427</v>
      </c>
      <c r="D127">
        <v>17837</v>
      </c>
      <c r="E127">
        <v>93264</v>
      </c>
    </row>
    <row r="128" spans="1:5" x14ac:dyDescent="0.3">
      <c r="A128" t="s">
        <v>1671</v>
      </c>
      <c r="B128" t="s">
        <v>1531</v>
      </c>
      <c r="C128">
        <v>75915</v>
      </c>
      <c r="D128">
        <v>17383</v>
      </c>
      <c r="E128">
        <v>93298</v>
      </c>
    </row>
    <row r="129" spans="1:5" x14ac:dyDescent="0.3">
      <c r="A129" t="s">
        <v>1672</v>
      </c>
      <c r="B129" t="s">
        <v>1533</v>
      </c>
      <c r="C129">
        <v>27531</v>
      </c>
      <c r="D129">
        <v>5500</v>
      </c>
      <c r="E129">
        <v>33031</v>
      </c>
    </row>
    <row r="130" spans="1:5" x14ac:dyDescent="0.3">
      <c r="A130" t="s">
        <v>1673</v>
      </c>
      <c r="B130" t="s">
        <v>1538</v>
      </c>
      <c r="C130">
        <v>24091</v>
      </c>
      <c r="D130">
        <v>7759</v>
      </c>
      <c r="E130">
        <v>31850</v>
      </c>
    </row>
    <row r="131" spans="1:5" x14ac:dyDescent="0.3">
      <c r="A131" t="s">
        <v>1674</v>
      </c>
      <c r="B131" t="s">
        <v>1536</v>
      </c>
      <c r="C131">
        <v>28148</v>
      </c>
      <c r="D131">
        <v>10643</v>
      </c>
      <c r="E131">
        <v>38791</v>
      </c>
    </row>
    <row r="132" spans="1:5" x14ac:dyDescent="0.3">
      <c r="A132" t="s">
        <v>1675</v>
      </c>
      <c r="B132" t="s">
        <v>1531</v>
      </c>
      <c r="C132">
        <v>64432</v>
      </c>
      <c r="D132">
        <v>9119</v>
      </c>
      <c r="E132">
        <v>73551</v>
      </c>
    </row>
    <row r="133" spans="1:5" x14ac:dyDescent="0.3">
      <c r="A133" t="s">
        <v>1676</v>
      </c>
      <c r="B133" t="s">
        <v>1533</v>
      </c>
      <c r="C133">
        <v>49486</v>
      </c>
      <c r="D133">
        <v>9371</v>
      </c>
      <c r="E133">
        <v>58857</v>
      </c>
    </row>
    <row r="134" spans="1:5" x14ac:dyDescent="0.3">
      <c r="A134" t="s">
        <v>1677</v>
      </c>
      <c r="B134" t="s">
        <v>1529</v>
      </c>
      <c r="C134">
        <v>29872</v>
      </c>
      <c r="D134">
        <v>10188</v>
      </c>
      <c r="E134">
        <v>40060</v>
      </c>
    </row>
    <row r="135" spans="1:5" x14ac:dyDescent="0.3">
      <c r="A135" t="s">
        <v>1678</v>
      </c>
      <c r="B135" t="s">
        <v>1531</v>
      </c>
      <c r="C135">
        <v>46487</v>
      </c>
      <c r="D135">
        <v>13098</v>
      </c>
      <c r="E135">
        <v>59585</v>
      </c>
    </row>
    <row r="136" spans="1:5" x14ac:dyDescent="0.3">
      <c r="A136" t="s">
        <v>1679</v>
      </c>
      <c r="B136" t="s">
        <v>1529</v>
      </c>
      <c r="C136">
        <v>49418</v>
      </c>
      <c r="D136">
        <v>10669</v>
      </c>
      <c r="E136">
        <v>60087</v>
      </c>
    </row>
    <row r="137" spans="1:5" x14ac:dyDescent="0.3">
      <c r="A137" t="s">
        <v>1680</v>
      </c>
      <c r="B137" t="s">
        <v>1531</v>
      </c>
      <c r="C137">
        <v>37586</v>
      </c>
      <c r="D137">
        <v>10802</v>
      </c>
      <c r="E137">
        <v>48388</v>
      </c>
    </row>
    <row r="138" spans="1:5" x14ac:dyDescent="0.3">
      <c r="A138" t="s">
        <v>1681</v>
      </c>
      <c r="B138" t="s">
        <v>1536</v>
      </c>
      <c r="C138">
        <v>79570</v>
      </c>
      <c r="D138">
        <v>18818</v>
      </c>
      <c r="E138">
        <v>98388</v>
      </c>
    </row>
    <row r="139" spans="1:5" x14ac:dyDescent="0.3">
      <c r="A139" t="s">
        <v>1682</v>
      </c>
      <c r="B139" t="s">
        <v>1533</v>
      </c>
      <c r="C139">
        <v>47113</v>
      </c>
      <c r="D139">
        <v>7465</v>
      </c>
      <c r="E139">
        <v>54578</v>
      </c>
    </row>
    <row r="140" spans="1:5" x14ac:dyDescent="0.3">
      <c r="A140" t="s">
        <v>1683</v>
      </c>
      <c r="B140" t="s">
        <v>1536</v>
      </c>
      <c r="C140">
        <v>38023</v>
      </c>
      <c r="D140">
        <v>7292</v>
      </c>
      <c r="E140">
        <v>45315</v>
      </c>
    </row>
    <row r="141" spans="1:5" x14ac:dyDescent="0.3">
      <c r="A141" t="s">
        <v>1684</v>
      </c>
      <c r="B141" t="s">
        <v>1538</v>
      </c>
      <c r="C141">
        <v>22364</v>
      </c>
      <c r="D141">
        <v>10552</v>
      </c>
      <c r="E141">
        <v>32916</v>
      </c>
    </row>
    <row r="142" spans="1:5" x14ac:dyDescent="0.3">
      <c r="A142" t="s">
        <v>1685</v>
      </c>
      <c r="B142" t="s">
        <v>1529</v>
      </c>
      <c r="C142">
        <v>78922</v>
      </c>
      <c r="D142">
        <v>17658</v>
      </c>
      <c r="E142">
        <v>96580</v>
      </c>
    </row>
    <row r="143" spans="1:5" x14ac:dyDescent="0.3">
      <c r="A143" t="s">
        <v>1686</v>
      </c>
      <c r="B143" t="s">
        <v>1538</v>
      </c>
      <c r="C143">
        <v>55600</v>
      </c>
      <c r="D143">
        <v>19893</v>
      </c>
      <c r="E143">
        <v>75493</v>
      </c>
    </row>
    <row r="144" spans="1:5" x14ac:dyDescent="0.3">
      <c r="A144" t="s">
        <v>1687</v>
      </c>
      <c r="B144" t="s">
        <v>1529</v>
      </c>
      <c r="C144">
        <v>57790</v>
      </c>
      <c r="D144">
        <v>16959</v>
      </c>
      <c r="E144">
        <v>74749</v>
      </c>
    </row>
    <row r="145" spans="1:5" x14ac:dyDescent="0.3">
      <c r="A145" t="s">
        <v>1688</v>
      </c>
      <c r="B145" t="s">
        <v>1531</v>
      </c>
      <c r="C145">
        <v>72447</v>
      </c>
      <c r="D145">
        <v>16120</v>
      </c>
      <c r="E145">
        <v>88567</v>
      </c>
    </row>
    <row r="146" spans="1:5" x14ac:dyDescent="0.3">
      <c r="A146" t="s">
        <v>1689</v>
      </c>
      <c r="B146" t="s">
        <v>1533</v>
      </c>
      <c r="C146">
        <v>79050</v>
      </c>
      <c r="D146">
        <v>12055</v>
      </c>
      <c r="E146">
        <v>91105</v>
      </c>
    </row>
    <row r="147" spans="1:5" x14ac:dyDescent="0.3">
      <c r="A147" t="s">
        <v>1690</v>
      </c>
      <c r="B147" t="s">
        <v>1538</v>
      </c>
      <c r="C147">
        <v>57536</v>
      </c>
      <c r="D147">
        <v>19912</v>
      </c>
      <c r="E147">
        <v>77448</v>
      </c>
    </row>
    <row r="148" spans="1:5" x14ac:dyDescent="0.3">
      <c r="A148" t="s">
        <v>1691</v>
      </c>
      <c r="B148" t="s">
        <v>1538</v>
      </c>
      <c r="C148">
        <v>73236</v>
      </c>
      <c r="D148">
        <v>17045</v>
      </c>
      <c r="E148">
        <v>90281</v>
      </c>
    </row>
    <row r="149" spans="1:5" x14ac:dyDescent="0.3">
      <c r="A149" t="s">
        <v>1692</v>
      </c>
      <c r="B149" t="s">
        <v>1536</v>
      </c>
      <c r="C149">
        <v>53221</v>
      </c>
      <c r="D149">
        <v>11446</v>
      </c>
      <c r="E149">
        <v>64667</v>
      </c>
    </row>
    <row r="150" spans="1:5" x14ac:dyDescent="0.3">
      <c r="A150" t="s">
        <v>1693</v>
      </c>
      <c r="B150" t="s">
        <v>1529</v>
      </c>
      <c r="C150">
        <v>72161</v>
      </c>
      <c r="D150">
        <v>13536</v>
      </c>
      <c r="E150">
        <v>85697</v>
      </c>
    </row>
    <row r="151" spans="1:5" x14ac:dyDescent="0.3">
      <c r="A151" t="s">
        <v>1694</v>
      </c>
      <c r="B151" t="s">
        <v>1538</v>
      </c>
      <c r="C151">
        <v>28650</v>
      </c>
      <c r="D151">
        <v>11251</v>
      </c>
      <c r="E151">
        <v>39901</v>
      </c>
    </row>
    <row r="152" spans="1:5" x14ac:dyDescent="0.3">
      <c r="A152" t="s">
        <v>1695</v>
      </c>
      <c r="B152" t="s">
        <v>1531</v>
      </c>
      <c r="C152">
        <v>75193</v>
      </c>
      <c r="D152">
        <v>9080</v>
      </c>
      <c r="E152">
        <v>84273</v>
      </c>
    </row>
    <row r="153" spans="1:5" x14ac:dyDescent="0.3">
      <c r="A153" t="s">
        <v>1696</v>
      </c>
      <c r="B153" t="s">
        <v>1533</v>
      </c>
      <c r="C153">
        <v>71983</v>
      </c>
      <c r="D153">
        <v>11299</v>
      </c>
      <c r="E153">
        <v>83282</v>
      </c>
    </row>
    <row r="154" spans="1:5" x14ac:dyDescent="0.3">
      <c r="A154" t="s">
        <v>1697</v>
      </c>
      <c r="B154" t="s">
        <v>1536</v>
      </c>
      <c r="C154">
        <v>46261</v>
      </c>
      <c r="D154">
        <v>8607</v>
      </c>
      <c r="E154">
        <v>54868</v>
      </c>
    </row>
    <row r="155" spans="1:5" x14ac:dyDescent="0.3">
      <c r="A155" t="s">
        <v>1698</v>
      </c>
      <c r="B155" t="s">
        <v>1531</v>
      </c>
      <c r="C155">
        <v>59093</v>
      </c>
      <c r="D155">
        <v>8717</v>
      </c>
      <c r="E155">
        <v>67810</v>
      </c>
    </row>
    <row r="156" spans="1:5" x14ac:dyDescent="0.3">
      <c r="A156" t="s">
        <v>1699</v>
      </c>
      <c r="B156" t="s">
        <v>1536</v>
      </c>
      <c r="C156">
        <v>34360</v>
      </c>
      <c r="D156">
        <v>16127</v>
      </c>
      <c r="E156">
        <v>50487</v>
      </c>
    </row>
    <row r="157" spans="1:5" x14ac:dyDescent="0.3">
      <c r="A157" t="s">
        <v>1700</v>
      </c>
      <c r="B157" t="s">
        <v>1538</v>
      </c>
      <c r="C157">
        <v>44733</v>
      </c>
      <c r="D157">
        <v>8236</v>
      </c>
      <c r="E157">
        <v>52969</v>
      </c>
    </row>
    <row r="158" spans="1:5" x14ac:dyDescent="0.3">
      <c r="A158" t="s">
        <v>1701</v>
      </c>
      <c r="B158" t="s">
        <v>1529</v>
      </c>
      <c r="C158">
        <v>41703</v>
      </c>
      <c r="D158">
        <v>18489</v>
      </c>
      <c r="E158">
        <v>60192</v>
      </c>
    </row>
    <row r="159" spans="1:5" x14ac:dyDescent="0.3">
      <c r="A159" t="s">
        <v>1702</v>
      </c>
      <c r="B159" t="s">
        <v>1538</v>
      </c>
      <c r="C159">
        <v>25207</v>
      </c>
      <c r="D159">
        <v>5385</v>
      </c>
      <c r="E159">
        <v>30592</v>
      </c>
    </row>
    <row r="160" spans="1:5" x14ac:dyDescent="0.3">
      <c r="A160" t="s">
        <v>1703</v>
      </c>
      <c r="B160" t="s">
        <v>1538</v>
      </c>
      <c r="C160">
        <v>64460</v>
      </c>
      <c r="D160">
        <v>16969</v>
      </c>
      <c r="E160">
        <v>81429</v>
      </c>
    </row>
    <row r="161" spans="1:5" x14ac:dyDescent="0.3">
      <c r="A161" t="s">
        <v>1704</v>
      </c>
      <c r="B161" t="s">
        <v>1533</v>
      </c>
      <c r="C161">
        <v>78178</v>
      </c>
      <c r="D161">
        <v>16105</v>
      </c>
      <c r="E161">
        <v>94283</v>
      </c>
    </row>
    <row r="162" spans="1:5" x14ac:dyDescent="0.3">
      <c r="A162" t="s">
        <v>1705</v>
      </c>
      <c r="B162" t="s">
        <v>1531</v>
      </c>
      <c r="C162">
        <v>46631</v>
      </c>
      <c r="D162">
        <v>13671</v>
      </c>
      <c r="E162">
        <v>60302</v>
      </c>
    </row>
    <row r="163" spans="1:5" x14ac:dyDescent="0.3">
      <c r="A163" t="s">
        <v>1706</v>
      </c>
      <c r="B163" t="s">
        <v>1536</v>
      </c>
      <c r="C163">
        <v>59107</v>
      </c>
      <c r="D163">
        <v>16520</v>
      </c>
      <c r="E163">
        <v>75627</v>
      </c>
    </row>
    <row r="164" spans="1:5" x14ac:dyDescent="0.3">
      <c r="A164" t="s">
        <v>1707</v>
      </c>
      <c r="B164" t="s">
        <v>1533</v>
      </c>
      <c r="C164">
        <v>24438</v>
      </c>
      <c r="D164">
        <v>16016</v>
      </c>
      <c r="E164">
        <v>40454</v>
      </c>
    </row>
    <row r="165" spans="1:5" x14ac:dyDescent="0.3">
      <c r="A165" t="s">
        <v>1708</v>
      </c>
      <c r="B165" t="s">
        <v>1538</v>
      </c>
      <c r="C165">
        <v>47960</v>
      </c>
      <c r="D165">
        <v>10934</v>
      </c>
      <c r="E165">
        <v>58894</v>
      </c>
    </row>
    <row r="166" spans="1:5" x14ac:dyDescent="0.3">
      <c r="A166" t="s">
        <v>1709</v>
      </c>
      <c r="B166" t="s">
        <v>1536</v>
      </c>
      <c r="C166">
        <v>55764</v>
      </c>
      <c r="D166">
        <v>18187</v>
      </c>
      <c r="E166">
        <v>73951</v>
      </c>
    </row>
    <row r="167" spans="1:5" x14ac:dyDescent="0.3">
      <c r="A167" t="s">
        <v>1710</v>
      </c>
      <c r="B167" t="s">
        <v>1536</v>
      </c>
      <c r="C167">
        <v>35270</v>
      </c>
      <c r="D167">
        <v>16164</v>
      </c>
      <c r="E167">
        <v>51434</v>
      </c>
    </row>
    <row r="168" spans="1:5" x14ac:dyDescent="0.3">
      <c r="A168" t="s">
        <v>1711</v>
      </c>
      <c r="B168" t="s">
        <v>1538</v>
      </c>
      <c r="C168">
        <v>67318</v>
      </c>
      <c r="D168">
        <v>8940</v>
      </c>
      <c r="E168">
        <v>76258</v>
      </c>
    </row>
    <row r="169" spans="1:5" x14ac:dyDescent="0.3">
      <c r="A169" t="s">
        <v>1712</v>
      </c>
      <c r="B169" t="s">
        <v>1536</v>
      </c>
      <c r="C169">
        <v>38698</v>
      </c>
      <c r="D169">
        <v>16745</v>
      </c>
      <c r="E169">
        <v>55443</v>
      </c>
    </row>
    <row r="170" spans="1:5" x14ac:dyDescent="0.3">
      <c r="A170" t="s">
        <v>1713</v>
      </c>
      <c r="B170" t="s">
        <v>1531</v>
      </c>
      <c r="C170">
        <v>24271</v>
      </c>
      <c r="D170">
        <v>9125</v>
      </c>
      <c r="E170">
        <v>33396</v>
      </c>
    </row>
    <row r="171" spans="1:5" x14ac:dyDescent="0.3">
      <c r="A171" t="s">
        <v>1714</v>
      </c>
      <c r="B171" t="s">
        <v>1533</v>
      </c>
      <c r="C171">
        <v>61142</v>
      </c>
      <c r="D171">
        <v>12476</v>
      </c>
      <c r="E171">
        <v>73618</v>
      </c>
    </row>
    <row r="172" spans="1:5" x14ac:dyDescent="0.3">
      <c r="A172" t="s">
        <v>1715</v>
      </c>
      <c r="B172" t="s">
        <v>1536</v>
      </c>
      <c r="C172">
        <v>73668</v>
      </c>
      <c r="D172">
        <v>16022</v>
      </c>
      <c r="E172">
        <v>89690</v>
      </c>
    </row>
    <row r="173" spans="1:5" x14ac:dyDescent="0.3">
      <c r="A173" t="s">
        <v>1716</v>
      </c>
      <c r="B173" t="s">
        <v>1529</v>
      </c>
      <c r="C173">
        <v>56473</v>
      </c>
      <c r="D173">
        <v>14174</v>
      </c>
      <c r="E173">
        <v>70647</v>
      </c>
    </row>
    <row r="174" spans="1:5" x14ac:dyDescent="0.3">
      <c r="A174" t="s">
        <v>1717</v>
      </c>
      <c r="B174" t="s">
        <v>1536</v>
      </c>
      <c r="C174">
        <v>68128</v>
      </c>
      <c r="D174">
        <v>5632</v>
      </c>
      <c r="E174">
        <v>73760</v>
      </c>
    </row>
    <row r="175" spans="1:5" x14ac:dyDescent="0.3">
      <c r="A175" t="s">
        <v>1718</v>
      </c>
      <c r="B175" t="s">
        <v>1529</v>
      </c>
      <c r="C175">
        <v>75326</v>
      </c>
      <c r="D175">
        <v>15391</v>
      </c>
      <c r="E175">
        <v>90717</v>
      </c>
    </row>
    <row r="176" spans="1:5" x14ac:dyDescent="0.3">
      <c r="A176" t="s">
        <v>1719</v>
      </c>
      <c r="B176" t="s">
        <v>1536</v>
      </c>
      <c r="C176">
        <v>72439</v>
      </c>
      <c r="D176">
        <v>15870</v>
      </c>
      <c r="E176">
        <v>88309</v>
      </c>
    </row>
    <row r="177" spans="1:5" x14ac:dyDescent="0.3">
      <c r="A177" t="s">
        <v>1720</v>
      </c>
      <c r="B177" t="s">
        <v>1538</v>
      </c>
      <c r="C177">
        <v>32058</v>
      </c>
      <c r="D177">
        <v>19932</v>
      </c>
      <c r="E177">
        <v>51990</v>
      </c>
    </row>
    <row r="178" spans="1:5" x14ac:dyDescent="0.3">
      <c r="A178" t="s">
        <v>1721</v>
      </c>
      <c r="B178" t="s">
        <v>1538</v>
      </c>
      <c r="C178">
        <v>53112</v>
      </c>
      <c r="D178">
        <v>17368</v>
      </c>
      <c r="E178">
        <v>70480</v>
      </c>
    </row>
    <row r="179" spans="1:5" x14ac:dyDescent="0.3">
      <c r="A179" t="s">
        <v>1722</v>
      </c>
      <c r="B179" t="s">
        <v>1531</v>
      </c>
      <c r="C179">
        <v>35249</v>
      </c>
      <c r="D179">
        <v>18239</v>
      </c>
      <c r="E179">
        <v>53488</v>
      </c>
    </row>
    <row r="180" spans="1:5" x14ac:dyDescent="0.3">
      <c r="A180" t="s">
        <v>1723</v>
      </c>
      <c r="B180" t="s">
        <v>1529</v>
      </c>
      <c r="C180">
        <v>55380</v>
      </c>
      <c r="D180">
        <v>17820</v>
      </c>
      <c r="E180">
        <v>73200</v>
      </c>
    </row>
    <row r="181" spans="1:5" x14ac:dyDescent="0.3">
      <c r="A181" t="s">
        <v>1724</v>
      </c>
      <c r="B181" t="s">
        <v>1529</v>
      </c>
      <c r="C181">
        <v>33476</v>
      </c>
      <c r="D181">
        <v>6606</v>
      </c>
      <c r="E181">
        <v>40082</v>
      </c>
    </row>
    <row r="182" spans="1:5" x14ac:dyDescent="0.3">
      <c r="A182" t="s">
        <v>1725</v>
      </c>
      <c r="B182" t="s">
        <v>1538</v>
      </c>
      <c r="C182">
        <v>57841</v>
      </c>
      <c r="D182">
        <v>5430</v>
      </c>
      <c r="E182">
        <v>63271</v>
      </c>
    </row>
    <row r="183" spans="1:5" x14ac:dyDescent="0.3">
      <c r="A183" t="s">
        <v>1726</v>
      </c>
      <c r="B183" t="s">
        <v>1536</v>
      </c>
      <c r="C183">
        <v>36086</v>
      </c>
      <c r="D183">
        <v>17595</v>
      </c>
      <c r="E183">
        <v>53681</v>
      </c>
    </row>
    <row r="184" spans="1:5" x14ac:dyDescent="0.3">
      <c r="A184" t="s">
        <v>1727</v>
      </c>
      <c r="B184" t="s">
        <v>1536</v>
      </c>
      <c r="C184">
        <v>59928</v>
      </c>
      <c r="D184">
        <v>5430</v>
      </c>
      <c r="E184">
        <v>65358</v>
      </c>
    </row>
    <row r="185" spans="1:5" x14ac:dyDescent="0.3">
      <c r="A185" t="s">
        <v>1728</v>
      </c>
      <c r="B185" t="s">
        <v>1533</v>
      </c>
      <c r="C185">
        <v>27493</v>
      </c>
      <c r="D185">
        <v>7993</v>
      </c>
      <c r="E185">
        <v>35486</v>
      </c>
    </row>
    <row r="186" spans="1:5" x14ac:dyDescent="0.3">
      <c r="A186" t="s">
        <v>1729</v>
      </c>
      <c r="B186" t="s">
        <v>1533</v>
      </c>
      <c r="C186">
        <v>26002</v>
      </c>
      <c r="D186">
        <v>8958</v>
      </c>
      <c r="E186">
        <v>34960</v>
      </c>
    </row>
    <row r="187" spans="1:5" x14ac:dyDescent="0.3">
      <c r="A187" t="s">
        <v>1730</v>
      </c>
      <c r="B187" t="s">
        <v>1536</v>
      </c>
      <c r="C187">
        <v>42301</v>
      </c>
      <c r="D187">
        <v>19218</v>
      </c>
      <c r="E187">
        <v>61519</v>
      </c>
    </row>
    <row r="188" spans="1:5" x14ac:dyDescent="0.3">
      <c r="A188" t="s">
        <v>1731</v>
      </c>
      <c r="B188" t="s">
        <v>1533</v>
      </c>
      <c r="C188">
        <v>45521</v>
      </c>
      <c r="D188">
        <v>5479</v>
      </c>
      <c r="E188">
        <v>51000</v>
      </c>
    </row>
    <row r="189" spans="1:5" x14ac:dyDescent="0.3">
      <c r="A189" t="s">
        <v>1732</v>
      </c>
      <c r="B189" t="s">
        <v>1538</v>
      </c>
      <c r="C189">
        <v>20978</v>
      </c>
      <c r="D189">
        <v>11196</v>
      </c>
      <c r="E189">
        <v>32174</v>
      </c>
    </row>
    <row r="190" spans="1:5" x14ac:dyDescent="0.3">
      <c r="A190" t="s">
        <v>1733</v>
      </c>
      <c r="B190" t="s">
        <v>1531</v>
      </c>
      <c r="C190">
        <v>73764</v>
      </c>
      <c r="D190">
        <v>7405</v>
      </c>
      <c r="E190">
        <v>81169</v>
      </c>
    </row>
    <row r="191" spans="1:5" x14ac:dyDescent="0.3">
      <c r="A191" t="s">
        <v>1734</v>
      </c>
      <c r="B191" t="s">
        <v>1529</v>
      </c>
      <c r="C191">
        <v>54673</v>
      </c>
      <c r="D191">
        <v>18849</v>
      </c>
      <c r="E191">
        <v>73522</v>
      </c>
    </row>
    <row r="192" spans="1:5" x14ac:dyDescent="0.3">
      <c r="A192" t="s">
        <v>1735</v>
      </c>
      <c r="B192" t="s">
        <v>1538</v>
      </c>
      <c r="C192">
        <v>52330</v>
      </c>
      <c r="D192">
        <v>19908</v>
      </c>
      <c r="E192">
        <v>72238</v>
      </c>
    </row>
    <row r="193" spans="1:5" x14ac:dyDescent="0.3">
      <c r="A193" t="s">
        <v>1736</v>
      </c>
      <c r="B193" t="s">
        <v>1531</v>
      </c>
      <c r="C193">
        <v>54738</v>
      </c>
      <c r="D193">
        <v>15792</v>
      </c>
      <c r="E193">
        <v>70530</v>
      </c>
    </row>
    <row r="194" spans="1:5" x14ac:dyDescent="0.3">
      <c r="A194" t="s">
        <v>1737</v>
      </c>
      <c r="B194" t="s">
        <v>1529</v>
      </c>
      <c r="C194">
        <v>22191</v>
      </c>
      <c r="D194">
        <v>7930</v>
      </c>
      <c r="E194">
        <v>30121</v>
      </c>
    </row>
    <row r="195" spans="1:5" x14ac:dyDescent="0.3">
      <c r="A195" t="s">
        <v>1738</v>
      </c>
      <c r="B195" t="s">
        <v>1538</v>
      </c>
      <c r="C195">
        <v>49116</v>
      </c>
      <c r="D195">
        <v>7798</v>
      </c>
      <c r="E195">
        <v>56914</v>
      </c>
    </row>
    <row r="196" spans="1:5" x14ac:dyDescent="0.3">
      <c r="A196" t="s">
        <v>1739</v>
      </c>
      <c r="B196" t="s">
        <v>1538</v>
      </c>
      <c r="C196">
        <v>53334</v>
      </c>
      <c r="D196">
        <v>7942</v>
      </c>
      <c r="E196">
        <v>61276</v>
      </c>
    </row>
    <row r="197" spans="1:5" x14ac:dyDescent="0.3">
      <c r="A197" t="s">
        <v>1740</v>
      </c>
      <c r="B197" t="s">
        <v>1538</v>
      </c>
      <c r="C197">
        <v>27923</v>
      </c>
      <c r="D197">
        <v>11381</v>
      </c>
      <c r="E197">
        <v>39304</v>
      </c>
    </row>
    <row r="198" spans="1:5" x14ac:dyDescent="0.3">
      <c r="A198" t="s">
        <v>1741</v>
      </c>
      <c r="B198" t="s">
        <v>1531</v>
      </c>
      <c r="C198">
        <v>64034</v>
      </c>
      <c r="D198">
        <v>13806</v>
      </c>
      <c r="E198">
        <v>77840</v>
      </c>
    </row>
    <row r="199" spans="1:5" x14ac:dyDescent="0.3">
      <c r="A199" t="s">
        <v>1742</v>
      </c>
      <c r="B199" t="s">
        <v>1533</v>
      </c>
      <c r="C199">
        <v>63722</v>
      </c>
      <c r="D199">
        <v>14699</v>
      </c>
      <c r="E199">
        <v>78421</v>
      </c>
    </row>
    <row r="200" spans="1:5" x14ac:dyDescent="0.3">
      <c r="A200" t="s">
        <v>1743</v>
      </c>
      <c r="B200" t="s">
        <v>1531</v>
      </c>
      <c r="C200">
        <v>53455</v>
      </c>
      <c r="D200">
        <v>6615</v>
      </c>
      <c r="E200">
        <v>60070</v>
      </c>
    </row>
    <row r="201" spans="1:5" x14ac:dyDescent="0.3">
      <c r="A201" t="s">
        <v>1744</v>
      </c>
      <c r="B201" t="s">
        <v>1533</v>
      </c>
      <c r="C201">
        <v>75827</v>
      </c>
      <c r="D201">
        <v>6697</v>
      </c>
      <c r="E201">
        <v>82524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H9" sqref="H9"/>
    </sheetView>
  </sheetViews>
  <sheetFormatPr defaultRowHeight="14.4" x14ac:dyDescent="0.3"/>
  <cols>
    <col min="1" max="1" width="13.33203125" customWidth="1"/>
    <col min="2" max="2" width="22.6640625" style="1" customWidth="1"/>
    <col min="4" max="4" width="18.33203125" customWidth="1"/>
    <col min="5" max="5" width="15.6640625" customWidth="1"/>
  </cols>
  <sheetData>
    <row r="1" spans="1:5" x14ac:dyDescent="0.3">
      <c r="A1" t="s">
        <v>1745</v>
      </c>
      <c r="B1" s="1" t="s">
        <v>1746</v>
      </c>
      <c r="C1" t="s">
        <v>1747</v>
      </c>
      <c r="D1" t="s">
        <v>1748</v>
      </c>
      <c r="E1" t="s">
        <v>1802</v>
      </c>
    </row>
    <row r="2" spans="1:5" x14ac:dyDescent="0.3">
      <c r="A2" t="s">
        <v>1749</v>
      </c>
      <c r="B2" s="1">
        <v>45591</v>
      </c>
      <c r="C2">
        <v>4790498</v>
      </c>
      <c r="D2">
        <v>20</v>
      </c>
      <c r="E2">
        <f t="shared" ref="E2:E7" si="0">C2*D2 / 100</f>
        <v>958099.6</v>
      </c>
    </row>
    <row r="3" spans="1:5" x14ac:dyDescent="0.3">
      <c r="A3" t="s">
        <v>1750</v>
      </c>
      <c r="B3" s="1">
        <v>45318</v>
      </c>
      <c r="C3">
        <v>4444983</v>
      </c>
      <c r="D3">
        <v>15</v>
      </c>
      <c r="E3">
        <f t="shared" si="0"/>
        <v>666747.44999999995</v>
      </c>
    </row>
    <row r="4" spans="1:5" x14ac:dyDescent="0.3">
      <c r="A4" t="s">
        <v>1751</v>
      </c>
      <c r="B4" s="1">
        <v>45556</v>
      </c>
      <c r="C4">
        <v>1777299</v>
      </c>
      <c r="D4">
        <v>15</v>
      </c>
      <c r="E4">
        <f t="shared" si="0"/>
        <v>266594.84999999998</v>
      </c>
    </row>
    <row r="5" spans="1:5" x14ac:dyDescent="0.3">
      <c r="A5" t="s">
        <v>1752</v>
      </c>
      <c r="B5" s="1">
        <v>45391</v>
      </c>
      <c r="C5">
        <v>2848471</v>
      </c>
      <c r="D5">
        <v>10</v>
      </c>
      <c r="E5">
        <f t="shared" si="0"/>
        <v>284847.09999999998</v>
      </c>
    </row>
    <row r="6" spans="1:5" x14ac:dyDescent="0.3">
      <c r="A6" t="s">
        <v>1753</v>
      </c>
      <c r="B6" s="1">
        <v>45569</v>
      </c>
      <c r="C6">
        <v>4222979</v>
      </c>
      <c r="D6">
        <v>15</v>
      </c>
      <c r="E6">
        <f t="shared" si="0"/>
        <v>633446.85</v>
      </c>
    </row>
    <row r="7" spans="1:5" x14ac:dyDescent="0.3">
      <c r="E7">
        <f t="shared" si="0"/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G26" sqref="G26"/>
    </sheetView>
  </sheetViews>
  <sheetFormatPr defaultRowHeight="14.4" x14ac:dyDescent="0.3"/>
  <cols>
    <col min="1" max="1" width="9.5546875" customWidth="1"/>
    <col min="2" max="2" width="19.21875" customWidth="1"/>
    <col min="3" max="3" width="18.109375" customWidth="1"/>
  </cols>
  <sheetData>
    <row r="1" spans="1:3" x14ac:dyDescent="0.3">
      <c r="A1" t="s">
        <v>2</v>
      </c>
      <c r="B1" t="s">
        <v>1754</v>
      </c>
      <c r="C1" t="s">
        <v>1755</v>
      </c>
    </row>
    <row r="2" spans="1:3" x14ac:dyDescent="0.3">
      <c r="A2" t="s">
        <v>26</v>
      </c>
      <c r="B2">
        <v>223</v>
      </c>
      <c r="C2">
        <v>143</v>
      </c>
    </row>
    <row r="3" spans="1:3" x14ac:dyDescent="0.3">
      <c r="A3" t="s">
        <v>35</v>
      </c>
      <c r="B3">
        <v>307</v>
      </c>
      <c r="C3">
        <v>369</v>
      </c>
    </row>
    <row r="4" spans="1:3" x14ac:dyDescent="0.3">
      <c r="A4" t="s">
        <v>22</v>
      </c>
      <c r="B4">
        <v>181</v>
      </c>
      <c r="C4">
        <v>103</v>
      </c>
    </row>
    <row r="5" spans="1:3" x14ac:dyDescent="0.3">
      <c r="A5" t="s">
        <v>9</v>
      </c>
      <c r="B5">
        <v>412</v>
      </c>
      <c r="C5">
        <v>370</v>
      </c>
    </row>
    <row r="6" spans="1:3" x14ac:dyDescent="0.3">
      <c r="A6" t="s">
        <v>13</v>
      </c>
      <c r="B6">
        <v>237</v>
      </c>
      <c r="C6">
        <v>171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E97D-C4C0-462D-B39B-28EC1BF6926F}">
  <dimension ref="A1"/>
  <sheetViews>
    <sheetView showGridLines="0" tabSelected="1" zoomScaleNormal="100" workbookViewId="0">
      <selection activeCell="W7" sqref="W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6384" width="8.88671875" style="5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Charts</vt:lpstr>
      </vt:variant>
      <vt:variant>
        <vt:i4>3</vt:i4>
      </vt:variant>
    </vt:vector>
  </HeadingPairs>
  <TitlesOfParts>
    <vt:vector size="17" baseType="lpstr">
      <vt:lpstr>Sales_Data</vt:lpstr>
      <vt:lpstr>MIS_Calculation</vt:lpstr>
      <vt:lpstr>P&amp;L_Statement</vt:lpstr>
      <vt:lpstr>Balance_Sheet</vt:lpstr>
      <vt:lpstr>Budget_Analysis</vt:lpstr>
      <vt:lpstr>Cash_Flow</vt:lpstr>
      <vt:lpstr>Production_Cost</vt:lpstr>
      <vt:lpstr>Sheet10</vt:lpstr>
      <vt:lpstr>Expense_Data</vt:lpstr>
      <vt:lpstr>Budget_Data</vt:lpstr>
      <vt:lpstr>Payroll_Data</vt:lpstr>
      <vt:lpstr>Asset_Data</vt:lpstr>
      <vt:lpstr>Inventory_Data</vt:lpstr>
      <vt:lpstr>Dashboard</vt:lpstr>
      <vt:lpstr>Chart1</vt:lpstr>
      <vt:lpstr>Chart2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ajaya pradhan</cp:lastModifiedBy>
  <dcterms:created xsi:type="dcterms:W3CDTF">2026-03-03T18:08:22Z</dcterms:created>
  <dcterms:modified xsi:type="dcterms:W3CDTF">2026-03-03T22:31:47Z</dcterms:modified>
</cp:coreProperties>
</file>